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272291361C\Desktop\NHT\"/>
    </mc:Choice>
  </mc:AlternateContent>
  <bookViews>
    <workbookView showHorizontalScroll="0" showVerticalScroll="0" showSheetTabs="0" xWindow="0" yWindow="102060" windowWidth="28800" windowHeight="12225"/>
  </bookViews>
  <sheets>
    <sheet name="DASHBOARD" sheetId="1" r:id="rId1"/>
    <sheet name="DATABASE" sheetId="1601" r:id="rId2"/>
    <sheet name="REPORT TEMPLATE" sheetId="487" r:id="rId3"/>
    <sheet name="INDIVIDUAL TEMPLATE" sheetId="814" r:id="rId4"/>
    <sheet name="OFFICE RANKINGS BY SYSTEM" sheetId="1520" r:id="rId5"/>
    <sheet name="LISTBOXES" sheetId="1179" r:id="rId6"/>
    <sheet name="REPORT TEMPLATE (2)" sheetId="1589" r:id="rId7"/>
    <sheet name="INDIVIDUAL TEMPLATE (2)" sheetId="1590" r:id="rId8"/>
    <sheet name="OFFICE RANKINGS BY SYSTEM (2)" sheetId="1594" r:id="rId9"/>
  </sheets>
  <functionGroups builtInGroupCount="18"/>
  <definedNames>
    <definedName name="_xlnm._FilterDatabase" localSheetId="3" hidden="1">'INDIVIDUAL TEMPLATE'!$A$5:$H$62</definedName>
    <definedName name="_xlnm._FilterDatabase" localSheetId="7" hidden="1">'INDIVIDUAL TEMPLATE (2)'!$A$5:$H$62</definedName>
    <definedName name="_xlnm._FilterDatabase" localSheetId="2" hidden="1">'REPORT TEMPLATE'!$A$10:$I$1114</definedName>
    <definedName name="_xlnm._FilterDatabase" localSheetId="6" hidden="1">'REPORT TEMPLATE (2)'!$A$5:$M$1114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090" i="487" l="1"/>
  <c r="M1089" i="487"/>
  <c r="L1089" i="487"/>
  <c r="K1089" i="487"/>
  <c r="J1089" i="487"/>
  <c r="I1089" i="487"/>
  <c r="M1088" i="487"/>
  <c r="M1025" i="487"/>
  <c r="L1024" i="487"/>
  <c r="K1024" i="487"/>
  <c r="I1024" i="487"/>
  <c r="J1024" i="487" s="1"/>
  <c r="M1023" i="487"/>
  <c r="M960" i="487"/>
  <c r="L959" i="487"/>
  <c r="K959" i="487"/>
  <c r="J959" i="487"/>
  <c r="I959" i="487"/>
  <c r="M959" i="487" s="1"/>
  <c r="M958" i="487"/>
  <c r="M895" i="487"/>
  <c r="L894" i="487"/>
  <c r="K894" i="487"/>
  <c r="I894" i="487"/>
  <c r="J894" i="487" s="1"/>
  <c r="M893" i="487"/>
  <c r="M830" i="487"/>
  <c r="K829" i="487"/>
  <c r="I829" i="487"/>
  <c r="J829" i="487" s="1"/>
  <c r="M828" i="487"/>
  <c r="M765" i="487"/>
  <c r="L764" i="487"/>
  <c r="K764" i="487"/>
  <c r="I764" i="487"/>
  <c r="J764" i="487" s="1"/>
  <c r="M763" i="487"/>
  <c r="M700" i="487"/>
  <c r="M699" i="487"/>
  <c r="L699" i="487"/>
  <c r="K699" i="487"/>
  <c r="J699" i="487"/>
  <c r="I699" i="487"/>
  <c r="M698" i="487"/>
  <c r="M635" i="487"/>
  <c r="L634" i="487"/>
  <c r="K634" i="487"/>
  <c r="J634" i="487"/>
  <c r="I634" i="487"/>
  <c r="M634" i="487" s="1"/>
  <c r="M633" i="487"/>
  <c r="M570" i="487"/>
  <c r="K569" i="487"/>
  <c r="J569" i="487"/>
  <c r="I569" i="487"/>
  <c r="M569" i="487" s="1"/>
  <c r="M568" i="487"/>
  <c r="M505" i="487"/>
  <c r="L504" i="487"/>
  <c r="K504" i="487"/>
  <c r="J504" i="487"/>
  <c r="I504" i="487"/>
  <c r="M504" i="487" s="1"/>
  <c r="M503" i="487"/>
  <c r="M440" i="487"/>
  <c r="L439" i="487"/>
  <c r="K439" i="487"/>
  <c r="J439" i="487"/>
  <c r="I439" i="487"/>
  <c r="M439" i="487" s="1"/>
  <c r="M438" i="487"/>
  <c r="M375" i="487"/>
  <c r="L374" i="487"/>
  <c r="K374" i="487"/>
  <c r="I374" i="487"/>
  <c r="J374" i="487" s="1"/>
  <c r="M373" i="487"/>
  <c r="M310" i="487"/>
  <c r="L309" i="487"/>
  <c r="K309" i="487"/>
  <c r="I309" i="487"/>
  <c r="J309" i="487" s="1"/>
  <c r="M308" i="487"/>
  <c r="M245" i="487"/>
  <c r="K244" i="487"/>
  <c r="I244" i="487"/>
  <c r="J244" i="487" s="1"/>
  <c r="M243" i="487"/>
  <c r="M180" i="487"/>
  <c r="L179" i="487"/>
  <c r="K179" i="487"/>
  <c r="J179" i="487"/>
  <c r="I179" i="487"/>
  <c r="M179" i="487" s="1"/>
  <c r="M178" i="487"/>
  <c r="M115" i="487"/>
  <c r="L114" i="487"/>
  <c r="K114" i="487"/>
  <c r="J114" i="487"/>
  <c r="I114" i="487"/>
  <c r="M114" i="487" s="1"/>
  <c r="M113" i="487"/>
  <c r="M50" i="487"/>
  <c r="K49" i="487"/>
  <c r="J49" i="487"/>
  <c r="I49" i="487"/>
  <c r="M49" i="487" s="1"/>
  <c r="M48" i="487"/>
  <c r="D152" i="1520"/>
  <c r="D153" i="1520"/>
  <c r="D154" i="1520"/>
  <c r="D155" i="1520"/>
  <c r="D156" i="1520"/>
  <c r="D157" i="1520"/>
  <c r="D158" i="1520"/>
  <c r="D159" i="1520"/>
  <c r="D160" i="1520"/>
  <c r="D161" i="1520"/>
  <c r="D162" i="1520"/>
  <c r="D163" i="1520"/>
  <c r="D164" i="1520"/>
  <c r="D165" i="1520"/>
  <c r="D166" i="1520"/>
  <c r="D151" i="1520"/>
  <c r="E166" i="1520"/>
  <c r="E165" i="1520"/>
  <c r="E164" i="1520"/>
  <c r="E163" i="1520"/>
  <c r="E162" i="1520"/>
  <c r="E161" i="1520"/>
  <c r="E160" i="1520"/>
  <c r="E159" i="1520"/>
  <c r="E158" i="1520"/>
  <c r="E157" i="1520"/>
  <c r="E156" i="1520"/>
  <c r="E155" i="1520"/>
  <c r="E154" i="1520"/>
  <c r="E153" i="1520"/>
  <c r="E152" i="1520"/>
  <c r="E151" i="1520"/>
  <c r="E149" i="1520"/>
  <c r="M1024" i="487" l="1"/>
  <c r="M894" i="487"/>
  <c r="L829" i="487"/>
  <c r="M829" i="487"/>
  <c r="M764" i="487"/>
  <c r="L569" i="487"/>
  <c r="M374" i="487"/>
  <c r="M309" i="487"/>
  <c r="L244" i="487"/>
  <c r="M244" i="487"/>
  <c r="L49" i="487"/>
  <c r="E226" i="1594"/>
  <c r="E225" i="1594"/>
  <c r="D225" i="1594"/>
  <c r="E224" i="1594"/>
  <c r="E223" i="1594"/>
  <c r="D223" i="1594"/>
  <c r="E222" i="1594"/>
  <c r="E221" i="1594"/>
  <c r="D221" i="1594"/>
  <c r="E220" i="1594"/>
  <c r="E219" i="1594"/>
  <c r="D219" i="1594"/>
  <c r="E218" i="1594"/>
  <c r="E217" i="1594"/>
  <c r="D217" i="1594"/>
  <c r="E216" i="1594"/>
  <c r="E215" i="1594"/>
  <c r="D215" i="1594"/>
  <c r="E214" i="1594"/>
  <c r="E213" i="1594"/>
  <c r="D213" i="1594"/>
  <c r="E212" i="1594"/>
  <c r="E211" i="1594"/>
  <c r="D226" i="1594" s="1"/>
  <c r="D211" i="1594"/>
  <c r="E209" i="1594"/>
  <c r="E206" i="1594"/>
  <c r="E205" i="1594"/>
  <c r="E204" i="1594"/>
  <c r="E203" i="1594"/>
  <c r="E202" i="1594"/>
  <c r="E201" i="1594"/>
  <c r="E200" i="1594"/>
  <c r="E199" i="1594"/>
  <c r="E198" i="1594"/>
  <c r="E197" i="1594"/>
  <c r="E196" i="1594"/>
  <c r="E195" i="1594"/>
  <c r="E194" i="1594"/>
  <c r="E193" i="1594"/>
  <c r="E192" i="1594"/>
  <c r="E191" i="1594"/>
  <c r="D205" i="1594" s="1"/>
  <c r="E189" i="1594"/>
  <c r="E186" i="1594"/>
  <c r="D186" i="1594"/>
  <c r="E185" i="1594"/>
  <c r="D185" i="1594"/>
  <c r="E184" i="1594"/>
  <c r="D184" i="1594"/>
  <c r="E183" i="1594"/>
  <c r="D183" i="1594"/>
  <c r="E182" i="1594"/>
  <c r="D182" i="1594"/>
  <c r="E181" i="1594"/>
  <c r="D181" i="1594"/>
  <c r="E180" i="1594"/>
  <c r="D180" i="1594"/>
  <c r="E179" i="1594"/>
  <c r="D179" i="1594"/>
  <c r="E178" i="1594"/>
  <c r="D178" i="1594"/>
  <c r="E177" i="1594"/>
  <c r="D177" i="1594"/>
  <c r="E176" i="1594"/>
  <c r="D176" i="1594"/>
  <c r="E175" i="1594"/>
  <c r="D175" i="1594"/>
  <c r="E174" i="1594"/>
  <c r="D174" i="1594"/>
  <c r="E173" i="1594"/>
  <c r="D173" i="1594"/>
  <c r="E172" i="1594"/>
  <c r="D172" i="1594"/>
  <c r="E171" i="1594"/>
  <c r="D171" i="1594"/>
  <c r="E169" i="1594"/>
  <c r="E166" i="1594"/>
  <c r="E165" i="1594"/>
  <c r="E164" i="1594"/>
  <c r="E163" i="1594"/>
  <c r="E162" i="1594"/>
  <c r="E161" i="1594"/>
  <c r="E160" i="1594"/>
  <c r="E159" i="1594"/>
  <c r="E158" i="1594"/>
  <c r="E157" i="1594"/>
  <c r="E156" i="1594"/>
  <c r="E155" i="1594"/>
  <c r="E154" i="1594"/>
  <c r="E153" i="1594"/>
  <c r="E152" i="1594"/>
  <c r="E151" i="1594"/>
  <c r="D166" i="1594" s="1"/>
  <c r="E149" i="1594"/>
  <c r="E146" i="1594"/>
  <c r="D146" i="1594"/>
  <c r="E145" i="1594"/>
  <c r="D145" i="1594"/>
  <c r="E144" i="1594"/>
  <c r="D144" i="1594"/>
  <c r="E143" i="1594"/>
  <c r="D143" i="1594"/>
  <c r="E142" i="1594"/>
  <c r="D142" i="1594"/>
  <c r="E141" i="1594"/>
  <c r="D141" i="1594"/>
  <c r="E140" i="1594"/>
  <c r="D140" i="1594"/>
  <c r="E139" i="1594"/>
  <c r="D139" i="1594"/>
  <c r="E138" i="1594"/>
  <c r="D138" i="1594"/>
  <c r="E137" i="1594"/>
  <c r="D137" i="1594"/>
  <c r="E136" i="1594"/>
  <c r="D136" i="1594"/>
  <c r="E135" i="1594"/>
  <c r="D135" i="1594"/>
  <c r="E134" i="1594"/>
  <c r="D134" i="1594"/>
  <c r="E133" i="1594"/>
  <c r="D133" i="1594"/>
  <c r="E132" i="1594"/>
  <c r="D132" i="1594"/>
  <c r="E131" i="1594"/>
  <c r="D131" i="1594"/>
  <c r="E129" i="1594"/>
  <c r="E126" i="1594"/>
  <c r="E125" i="1594"/>
  <c r="E124" i="1594"/>
  <c r="E123" i="1594"/>
  <c r="E122" i="1594"/>
  <c r="E121" i="1594"/>
  <c r="E120" i="1594"/>
  <c r="E119" i="1594"/>
  <c r="E118" i="1594"/>
  <c r="E117" i="1594"/>
  <c r="E116" i="1594"/>
  <c r="E115" i="1594"/>
  <c r="E114" i="1594"/>
  <c r="E113" i="1594"/>
  <c r="E112" i="1594"/>
  <c r="E111" i="1594"/>
  <c r="D125" i="1594" s="1"/>
  <c r="E109" i="1594"/>
  <c r="E106" i="1594"/>
  <c r="D106" i="1594"/>
  <c r="E105" i="1594"/>
  <c r="D105" i="1594"/>
  <c r="E104" i="1594"/>
  <c r="D104" i="1594"/>
  <c r="E103" i="1594"/>
  <c r="D103" i="1594"/>
  <c r="E102" i="1594"/>
  <c r="D102" i="1594"/>
  <c r="E101" i="1594"/>
  <c r="D101" i="1594"/>
  <c r="E100" i="1594"/>
  <c r="D100" i="1594"/>
  <c r="E99" i="1594"/>
  <c r="D99" i="1594"/>
  <c r="E98" i="1594"/>
  <c r="D98" i="1594"/>
  <c r="E97" i="1594"/>
  <c r="D97" i="1594"/>
  <c r="E96" i="1594"/>
  <c r="D96" i="1594"/>
  <c r="E95" i="1594"/>
  <c r="D95" i="1594"/>
  <c r="E94" i="1594"/>
  <c r="D94" i="1594"/>
  <c r="E93" i="1594"/>
  <c r="D93" i="1594"/>
  <c r="E92" i="1594"/>
  <c r="D92" i="1594"/>
  <c r="E91" i="1594"/>
  <c r="D91" i="1594"/>
  <c r="E89" i="1594"/>
  <c r="E86" i="1594"/>
  <c r="E85" i="1594"/>
  <c r="E84" i="1594"/>
  <c r="E83" i="1594"/>
  <c r="E82" i="1594"/>
  <c r="E81" i="1594"/>
  <c r="E80" i="1594"/>
  <c r="E79" i="1594"/>
  <c r="E78" i="1594"/>
  <c r="E77" i="1594"/>
  <c r="E76" i="1594"/>
  <c r="E75" i="1594"/>
  <c r="E74" i="1594"/>
  <c r="E73" i="1594"/>
  <c r="E72" i="1594"/>
  <c r="E71" i="1594"/>
  <c r="D86" i="1594" s="1"/>
  <c r="E69" i="1594"/>
  <c r="E66" i="1594"/>
  <c r="D66" i="1594"/>
  <c r="E65" i="1594"/>
  <c r="D65" i="1594"/>
  <c r="E64" i="1594"/>
  <c r="D64" i="1594"/>
  <c r="E63" i="1594"/>
  <c r="D63" i="1594"/>
  <c r="E62" i="1594"/>
  <c r="D62" i="1594"/>
  <c r="E61" i="1594"/>
  <c r="D61" i="1594"/>
  <c r="E60" i="1594"/>
  <c r="D60" i="1594"/>
  <c r="E59" i="1594"/>
  <c r="D59" i="1594"/>
  <c r="E58" i="1594"/>
  <c r="D58" i="1594"/>
  <c r="E57" i="1594"/>
  <c r="D57" i="1594"/>
  <c r="E56" i="1594"/>
  <c r="D56" i="1594"/>
  <c r="E55" i="1594"/>
  <c r="D55" i="1594"/>
  <c r="E54" i="1594"/>
  <c r="D54" i="1594"/>
  <c r="E53" i="1594"/>
  <c r="D53" i="1594"/>
  <c r="E52" i="1594"/>
  <c r="D52" i="1594"/>
  <c r="E51" i="1594"/>
  <c r="D51" i="1594"/>
  <c r="E49" i="1594"/>
  <c r="E46" i="1594"/>
  <c r="E45" i="1594"/>
  <c r="E44" i="1594"/>
  <c r="E43" i="1594"/>
  <c r="E42" i="1594"/>
  <c r="E41" i="1594"/>
  <c r="E40" i="1594"/>
  <c r="E39" i="1594"/>
  <c r="E38" i="1594"/>
  <c r="E37" i="1594"/>
  <c r="E36" i="1594"/>
  <c r="E35" i="1594"/>
  <c r="E34" i="1594"/>
  <c r="E33" i="1594"/>
  <c r="E32" i="1594"/>
  <c r="E31" i="1594"/>
  <c r="D45" i="1594" s="1"/>
  <c r="E29" i="1594"/>
  <c r="E26" i="1594"/>
  <c r="D26" i="1594"/>
  <c r="E25" i="1594"/>
  <c r="D25" i="1594"/>
  <c r="E24" i="1594"/>
  <c r="D24" i="1594"/>
  <c r="E23" i="1594"/>
  <c r="D23" i="1594"/>
  <c r="E22" i="1594"/>
  <c r="D22" i="1594"/>
  <c r="E21" i="1594"/>
  <c r="D21" i="1594"/>
  <c r="E20" i="1594"/>
  <c r="D20" i="1594"/>
  <c r="E19" i="1594"/>
  <c r="D19" i="1594"/>
  <c r="E18" i="1594"/>
  <c r="D18" i="1594"/>
  <c r="E17" i="1594"/>
  <c r="D17" i="1594"/>
  <c r="E16" i="1594"/>
  <c r="D16" i="1594"/>
  <c r="E15" i="1594"/>
  <c r="D15" i="1594"/>
  <c r="E14" i="1594"/>
  <c r="D14" i="1594"/>
  <c r="E13" i="1594"/>
  <c r="D13" i="1594"/>
  <c r="E12" i="1594"/>
  <c r="D12" i="1594"/>
  <c r="E11" i="1594"/>
  <c r="D11" i="1594"/>
  <c r="E9" i="1594"/>
  <c r="D32" i="1594" l="1"/>
  <c r="D34" i="1594"/>
  <c r="D36" i="1594"/>
  <c r="D38" i="1594"/>
  <c r="D40" i="1594"/>
  <c r="D42" i="1594"/>
  <c r="D44" i="1594"/>
  <c r="D46" i="1594"/>
  <c r="D71" i="1594"/>
  <c r="D73" i="1594"/>
  <c r="D75" i="1594"/>
  <c r="D77" i="1594"/>
  <c r="D79" i="1594"/>
  <c r="D81" i="1594"/>
  <c r="D83" i="1594"/>
  <c r="D85" i="1594"/>
  <c r="D112" i="1594"/>
  <c r="D114" i="1594"/>
  <c r="D116" i="1594"/>
  <c r="D118" i="1594"/>
  <c r="D120" i="1594"/>
  <c r="D122" i="1594"/>
  <c r="D124" i="1594"/>
  <c r="D126" i="1594"/>
  <c r="D151" i="1594"/>
  <c r="D153" i="1594"/>
  <c r="D155" i="1594"/>
  <c r="D157" i="1594"/>
  <c r="D159" i="1594"/>
  <c r="D161" i="1594"/>
  <c r="D163" i="1594"/>
  <c r="D165" i="1594"/>
  <c r="D192" i="1594"/>
  <c r="D194" i="1594"/>
  <c r="D196" i="1594"/>
  <c r="D198" i="1594"/>
  <c r="D200" i="1594"/>
  <c r="D202" i="1594"/>
  <c r="D204" i="1594"/>
  <c r="D206" i="1594"/>
  <c r="D212" i="1594"/>
  <c r="D214" i="1594"/>
  <c r="D216" i="1594"/>
  <c r="D218" i="1594"/>
  <c r="D220" i="1594"/>
  <c r="D222" i="1594"/>
  <c r="D224" i="1594"/>
  <c r="D31" i="1594"/>
  <c r="D33" i="1594"/>
  <c r="D35" i="1594"/>
  <c r="D37" i="1594"/>
  <c r="D39" i="1594"/>
  <c r="D41" i="1594"/>
  <c r="D43" i="1594"/>
  <c r="D72" i="1594"/>
  <c r="D74" i="1594"/>
  <c r="D76" i="1594"/>
  <c r="D78" i="1594"/>
  <c r="D80" i="1594"/>
  <c r="D82" i="1594"/>
  <c r="D84" i="1594"/>
  <c r="D111" i="1594"/>
  <c r="D113" i="1594"/>
  <c r="D115" i="1594"/>
  <c r="D117" i="1594"/>
  <c r="D119" i="1594"/>
  <c r="D121" i="1594"/>
  <c r="D123" i="1594"/>
  <c r="D152" i="1594"/>
  <c r="D154" i="1594"/>
  <c r="D156" i="1594"/>
  <c r="D158" i="1594"/>
  <c r="D160" i="1594"/>
  <c r="D162" i="1594"/>
  <c r="D164" i="1594"/>
  <c r="D191" i="1594"/>
  <c r="D193" i="1594"/>
  <c r="D195" i="1594"/>
  <c r="D197" i="1594"/>
  <c r="D199" i="1594"/>
  <c r="D201" i="1594"/>
  <c r="D203" i="1594"/>
  <c r="M1112" i="1589"/>
  <c r="M1111" i="1589"/>
  <c r="H1110" i="1589"/>
  <c r="G1110" i="1589"/>
  <c r="L1110" i="1589" s="1"/>
  <c r="F1110" i="1589"/>
  <c r="E1110" i="1589"/>
  <c r="L1109" i="1589"/>
  <c r="K1109" i="1589"/>
  <c r="J1109" i="1589"/>
  <c r="I1109" i="1589"/>
  <c r="M1109" i="1589" s="1"/>
  <c r="K1108" i="1589"/>
  <c r="I1108" i="1589"/>
  <c r="J1108" i="1589" s="1"/>
  <c r="L1107" i="1589"/>
  <c r="J1107" i="1589"/>
  <c r="I1107" i="1589"/>
  <c r="K1107" i="1589" s="1"/>
  <c r="M1106" i="1589"/>
  <c r="I1106" i="1589"/>
  <c r="L1105" i="1589"/>
  <c r="K1105" i="1589"/>
  <c r="J1105" i="1589"/>
  <c r="I1105" i="1589"/>
  <c r="M1105" i="1589" s="1"/>
  <c r="K1104" i="1589"/>
  <c r="I1104" i="1589"/>
  <c r="J1104" i="1589" s="1"/>
  <c r="L1103" i="1589"/>
  <c r="J1103" i="1589"/>
  <c r="I1103" i="1589"/>
  <c r="K1103" i="1589" s="1"/>
  <c r="I1102" i="1589"/>
  <c r="L1101" i="1589"/>
  <c r="K1101" i="1589"/>
  <c r="J1101" i="1589"/>
  <c r="I1101" i="1589"/>
  <c r="M1101" i="1589" s="1"/>
  <c r="K1100" i="1589"/>
  <c r="I1100" i="1589"/>
  <c r="J1100" i="1589" s="1"/>
  <c r="M1099" i="1589"/>
  <c r="M1098" i="1589"/>
  <c r="H1097" i="1589"/>
  <c r="G1097" i="1589"/>
  <c r="F1097" i="1589"/>
  <c r="E1097" i="1589"/>
  <c r="K1096" i="1589"/>
  <c r="I1096" i="1589"/>
  <c r="J1096" i="1589" s="1"/>
  <c r="L1095" i="1589"/>
  <c r="J1095" i="1589"/>
  <c r="I1095" i="1589"/>
  <c r="K1095" i="1589" s="1"/>
  <c r="I1094" i="1589"/>
  <c r="L1093" i="1589"/>
  <c r="K1093" i="1589"/>
  <c r="J1093" i="1589"/>
  <c r="I1093" i="1589"/>
  <c r="M1093" i="1589" s="1"/>
  <c r="K1092" i="1589"/>
  <c r="I1092" i="1589"/>
  <c r="J1092" i="1589" s="1"/>
  <c r="M1091" i="1589"/>
  <c r="M1090" i="1589"/>
  <c r="L1089" i="1589"/>
  <c r="K1089" i="1589"/>
  <c r="J1089" i="1589"/>
  <c r="I1089" i="1589"/>
  <c r="M1089" i="1589" s="1"/>
  <c r="M1088" i="1589"/>
  <c r="M1087" i="1589"/>
  <c r="I1086" i="1589"/>
  <c r="M1085" i="1589"/>
  <c r="M1084" i="1589"/>
  <c r="L1083" i="1589"/>
  <c r="J1083" i="1589"/>
  <c r="I1083" i="1589"/>
  <c r="K1083" i="1589" s="1"/>
  <c r="I1082" i="1589"/>
  <c r="L1081" i="1589"/>
  <c r="K1081" i="1589"/>
  <c r="J1081" i="1589"/>
  <c r="I1081" i="1589"/>
  <c r="M1081" i="1589" s="1"/>
  <c r="K1080" i="1589"/>
  <c r="I1080" i="1589"/>
  <c r="J1080" i="1589" s="1"/>
  <c r="L1079" i="1589"/>
  <c r="J1079" i="1589"/>
  <c r="I1079" i="1589"/>
  <c r="K1079" i="1589" s="1"/>
  <c r="I1078" i="1589"/>
  <c r="L1077" i="1589"/>
  <c r="K1077" i="1589"/>
  <c r="J1077" i="1589"/>
  <c r="I1077" i="1589"/>
  <c r="M1077" i="1589" s="1"/>
  <c r="M1076" i="1589"/>
  <c r="M1075" i="1589"/>
  <c r="I1074" i="1589"/>
  <c r="M1073" i="1589"/>
  <c r="M1072" i="1589"/>
  <c r="H1071" i="1589"/>
  <c r="G1071" i="1589"/>
  <c r="F1071" i="1589"/>
  <c r="E1071" i="1589"/>
  <c r="I1070" i="1589"/>
  <c r="L1069" i="1589"/>
  <c r="K1069" i="1589"/>
  <c r="J1069" i="1589"/>
  <c r="I1069" i="1589"/>
  <c r="M1069" i="1589" s="1"/>
  <c r="M1068" i="1589"/>
  <c r="M1067" i="1589"/>
  <c r="I1066" i="1589"/>
  <c r="M1065" i="1589"/>
  <c r="M1064" i="1589"/>
  <c r="H1063" i="1589"/>
  <c r="G1063" i="1589"/>
  <c r="G1113" i="1589" s="1"/>
  <c r="F1063" i="1589"/>
  <c r="E1063" i="1589"/>
  <c r="E1113" i="1589" s="1"/>
  <c r="M1062" i="1589"/>
  <c r="I1062" i="1589"/>
  <c r="L1061" i="1589"/>
  <c r="K1061" i="1589"/>
  <c r="J1061" i="1589"/>
  <c r="I1061" i="1589"/>
  <c r="M1061" i="1589" s="1"/>
  <c r="K1060" i="1589"/>
  <c r="I1060" i="1589"/>
  <c r="J1060" i="1589" s="1"/>
  <c r="L1059" i="1589"/>
  <c r="J1059" i="1589"/>
  <c r="I1059" i="1589"/>
  <c r="K1059" i="1589" s="1"/>
  <c r="I1058" i="1589"/>
  <c r="L1057" i="1589"/>
  <c r="K1057" i="1589"/>
  <c r="J1057" i="1589"/>
  <c r="I1057" i="1589"/>
  <c r="M1057" i="1589" s="1"/>
  <c r="K1056" i="1589"/>
  <c r="I1056" i="1589"/>
  <c r="J1056" i="1589" s="1"/>
  <c r="L1055" i="1589"/>
  <c r="J1055" i="1589"/>
  <c r="I1055" i="1589"/>
  <c r="K1055" i="1589" s="1"/>
  <c r="M1054" i="1589"/>
  <c r="M1053" i="1589"/>
  <c r="K1052" i="1589"/>
  <c r="I1052" i="1589"/>
  <c r="J1052" i="1589" s="1"/>
  <c r="M1051" i="1589"/>
  <c r="M1050" i="1589"/>
  <c r="D1050" i="1589"/>
  <c r="M1049" i="1589"/>
  <c r="M1047" i="1589"/>
  <c r="M1046" i="1589"/>
  <c r="H1045" i="1589"/>
  <c r="G1045" i="1589"/>
  <c r="F1045" i="1589"/>
  <c r="E1045" i="1589"/>
  <c r="L1044" i="1589"/>
  <c r="K1044" i="1589"/>
  <c r="J1044" i="1589"/>
  <c r="I1044" i="1589"/>
  <c r="M1044" i="1589" s="1"/>
  <c r="I1043" i="1589"/>
  <c r="L1042" i="1589"/>
  <c r="J1042" i="1589"/>
  <c r="I1042" i="1589"/>
  <c r="M1042" i="1589" s="1"/>
  <c r="K1041" i="1589"/>
  <c r="I1041" i="1589"/>
  <c r="J1041" i="1589" s="1"/>
  <c r="L1040" i="1589"/>
  <c r="K1040" i="1589"/>
  <c r="J1040" i="1589"/>
  <c r="I1040" i="1589"/>
  <c r="M1040" i="1589" s="1"/>
  <c r="I1039" i="1589"/>
  <c r="L1038" i="1589"/>
  <c r="J1038" i="1589"/>
  <c r="I1038" i="1589"/>
  <c r="M1038" i="1589" s="1"/>
  <c r="M1037" i="1589"/>
  <c r="K1037" i="1589"/>
  <c r="I1037" i="1589"/>
  <c r="L1036" i="1589"/>
  <c r="K1036" i="1589"/>
  <c r="J1036" i="1589"/>
  <c r="I1036" i="1589"/>
  <c r="M1036" i="1589" s="1"/>
  <c r="K1035" i="1589"/>
  <c r="I1035" i="1589"/>
  <c r="M1034" i="1589"/>
  <c r="M1033" i="1589"/>
  <c r="H1032" i="1589"/>
  <c r="G1032" i="1589"/>
  <c r="F1032" i="1589"/>
  <c r="K1032" i="1589" s="1"/>
  <c r="E1032" i="1589"/>
  <c r="I1031" i="1589"/>
  <c r="L1030" i="1589"/>
  <c r="J1030" i="1589"/>
  <c r="I1030" i="1589"/>
  <c r="M1030" i="1589" s="1"/>
  <c r="M1029" i="1589"/>
  <c r="K1029" i="1589"/>
  <c r="I1029" i="1589"/>
  <c r="L1028" i="1589"/>
  <c r="K1028" i="1589"/>
  <c r="J1028" i="1589"/>
  <c r="I1028" i="1589"/>
  <c r="M1028" i="1589" s="1"/>
  <c r="I1027" i="1589"/>
  <c r="M1026" i="1589"/>
  <c r="M1025" i="1589"/>
  <c r="L1024" i="1589"/>
  <c r="K1024" i="1589"/>
  <c r="J1024" i="1589"/>
  <c r="I1024" i="1589"/>
  <c r="M1024" i="1589" s="1"/>
  <c r="M1023" i="1589"/>
  <c r="M1022" i="1589"/>
  <c r="I1021" i="1589"/>
  <c r="M1020" i="1589"/>
  <c r="M1019" i="1589"/>
  <c r="L1018" i="1589"/>
  <c r="J1018" i="1589"/>
  <c r="I1018" i="1589"/>
  <c r="M1018" i="1589" s="1"/>
  <c r="I1017" i="1589"/>
  <c r="L1016" i="1589"/>
  <c r="K1016" i="1589"/>
  <c r="J1016" i="1589"/>
  <c r="I1016" i="1589"/>
  <c r="M1016" i="1589" s="1"/>
  <c r="M1015" i="1589"/>
  <c r="I1015" i="1589"/>
  <c r="L1014" i="1589"/>
  <c r="J1014" i="1589"/>
  <c r="I1014" i="1589"/>
  <c r="M1014" i="1589" s="1"/>
  <c r="I1013" i="1589"/>
  <c r="L1012" i="1589"/>
  <c r="K1012" i="1589"/>
  <c r="J1012" i="1589"/>
  <c r="I1012" i="1589"/>
  <c r="M1012" i="1589" s="1"/>
  <c r="M1011" i="1589"/>
  <c r="M1010" i="1589"/>
  <c r="M1009" i="1589"/>
  <c r="K1009" i="1589"/>
  <c r="I1009" i="1589"/>
  <c r="M1008" i="1589"/>
  <c r="M1007" i="1589"/>
  <c r="H1006" i="1589"/>
  <c r="G1006" i="1589"/>
  <c r="F1006" i="1589"/>
  <c r="E1006" i="1589"/>
  <c r="I1005" i="1589"/>
  <c r="L1004" i="1589"/>
  <c r="K1004" i="1589"/>
  <c r="J1004" i="1589"/>
  <c r="I1004" i="1589"/>
  <c r="M1004" i="1589" s="1"/>
  <c r="M1003" i="1589"/>
  <c r="M1002" i="1589"/>
  <c r="M1001" i="1589"/>
  <c r="K1001" i="1589"/>
  <c r="I1001" i="1589"/>
  <c r="M1000" i="1589"/>
  <c r="M999" i="1589"/>
  <c r="L998" i="1589"/>
  <c r="H998" i="1589"/>
  <c r="G998" i="1589"/>
  <c r="G1048" i="1589" s="1"/>
  <c r="F998" i="1589"/>
  <c r="E998" i="1589"/>
  <c r="E1048" i="1589" s="1"/>
  <c r="I997" i="1589"/>
  <c r="L996" i="1589"/>
  <c r="K996" i="1589"/>
  <c r="J996" i="1589"/>
  <c r="I996" i="1589"/>
  <c r="M996" i="1589" s="1"/>
  <c r="I995" i="1589"/>
  <c r="L994" i="1589"/>
  <c r="J994" i="1589"/>
  <c r="I994" i="1589"/>
  <c r="M994" i="1589" s="1"/>
  <c r="M993" i="1589"/>
  <c r="K993" i="1589"/>
  <c r="I993" i="1589"/>
  <c r="L992" i="1589"/>
  <c r="K992" i="1589"/>
  <c r="J992" i="1589"/>
  <c r="I992" i="1589"/>
  <c r="M992" i="1589" s="1"/>
  <c r="K991" i="1589"/>
  <c r="I991" i="1589"/>
  <c r="L990" i="1589"/>
  <c r="J990" i="1589"/>
  <c r="I990" i="1589"/>
  <c r="I998" i="1589" s="1"/>
  <c r="M989" i="1589"/>
  <c r="M988" i="1589"/>
  <c r="I987" i="1589"/>
  <c r="M986" i="1589"/>
  <c r="M985" i="1589"/>
  <c r="D985" i="1589"/>
  <c r="M984" i="1589"/>
  <c r="M982" i="1589"/>
  <c r="M981" i="1589"/>
  <c r="H980" i="1589"/>
  <c r="G980" i="1589"/>
  <c r="L980" i="1589" s="1"/>
  <c r="F980" i="1589"/>
  <c r="E980" i="1589"/>
  <c r="I979" i="1589"/>
  <c r="I978" i="1589"/>
  <c r="L977" i="1589"/>
  <c r="K977" i="1589"/>
  <c r="J977" i="1589"/>
  <c r="I977" i="1589"/>
  <c r="M977" i="1589" s="1"/>
  <c r="L976" i="1589"/>
  <c r="K976" i="1589"/>
  <c r="I976" i="1589"/>
  <c r="J976" i="1589" s="1"/>
  <c r="I975" i="1589"/>
  <c r="I974" i="1589"/>
  <c r="L973" i="1589"/>
  <c r="K973" i="1589"/>
  <c r="J973" i="1589"/>
  <c r="I973" i="1589"/>
  <c r="M973" i="1589" s="1"/>
  <c r="L972" i="1589"/>
  <c r="K972" i="1589"/>
  <c r="I972" i="1589"/>
  <c r="J972" i="1589" s="1"/>
  <c r="M971" i="1589"/>
  <c r="L971" i="1589"/>
  <c r="I971" i="1589"/>
  <c r="I970" i="1589"/>
  <c r="M969" i="1589"/>
  <c r="M968" i="1589"/>
  <c r="L967" i="1589"/>
  <c r="H967" i="1589"/>
  <c r="G967" i="1589"/>
  <c r="F967" i="1589"/>
  <c r="K967" i="1589" s="1"/>
  <c r="E967" i="1589"/>
  <c r="I966" i="1589"/>
  <c r="L965" i="1589"/>
  <c r="K965" i="1589"/>
  <c r="J965" i="1589"/>
  <c r="I965" i="1589"/>
  <c r="M965" i="1589" s="1"/>
  <c r="L964" i="1589"/>
  <c r="K964" i="1589"/>
  <c r="I964" i="1589"/>
  <c r="J964" i="1589" s="1"/>
  <c r="M963" i="1589"/>
  <c r="I963" i="1589"/>
  <c r="M962" i="1589"/>
  <c r="J962" i="1589"/>
  <c r="I962" i="1589"/>
  <c r="M961" i="1589"/>
  <c r="M960" i="1589"/>
  <c r="M959" i="1589"/>
  <c r="I959" i="1589"/>
  <c r="M958" i="1589"/>
  <c r="M957" i="1589"/>
  <c r="L956" i="1589"/>
  <c r="K956" i="1589"/>
  <c r="I956" i="1589"/>
  <c r="J956" i="1589" s="1"/>
  <c r="M955" i="1589"/>
  <c r="M954" i="1589"/>
  <c r="L953" i="1589"/>
  <c r="K953" i="1589"/>
  <c r="J953" i="1589"/>
  <c r="I953" i="1589"/>
  <c r="M953" i="1589" s="1"/>
  <c r="L952" i="1589"/>
  <c r="K952" i="1589"/>
  <c r="I952" i="1589"/>
  <c r="J952" i="1589" s="1"/>
  <c r="I951" i="1589"/>
  <c r="M950" i="1589"/>
  <c r="I950" i="1589"/>
  <c r="L950" i="1589" s="1"/>
  <c r="L949" i="1589"/>
  <c r="K949" i="1589"/>
  <c r="J949" i="1589"/>
  <c r="I949" i="1589"/>
  <c r="M949" i="1589" s="1"/>
  <c r="M948" i="1589"/>
  <c r="I948" i="1589"/>
  <c r="J948" i="1589" s="1"/>
  <c r="M947" i="1589"/>
  <c r="I947" i="1589"/>
  <c r="K947" i="1589" s="1"/>
  <c r="M946" i="1589"/>
  <c r="M945" i="1589"/>
  <c r="M944" i="1589"/>
  <c r="L944" i="1589"/>
  <c r="K944" i="1589"/>
  <c r="I944" i="1589"/>
  <c r="J944" i="1589" s="1"/>
  <c r="M943" i="1589"/>
  <c r="M942" i="1589"/>
  <c r="H941" i="1589"/>
  <c r="G941" i="1589"/>
  <c r="F941" i="1589"/>
  <c r="E941" i="1589"/>
  <c r="M940" i="1589"/>
  <c r="L940" i="1589"/>
  <c r="I940" i="1589"/>
  <c r="J940" i="1589" s="1"/>
  <c r="M939" i="1589"/>
  <c r="L939" i="1589"/>
  <c r="I939" i="1589"/>
  <c r="M938" i="1589"/>
  <c r="M937" i="1589"/>
  <c r="I936" i="1589"/>
  <c r="J936" i="1589" s="1"/>
  <c r="M935" i="1589"/>
  <c r="M934" i="1589"/>
  <c r="H933" i="1589"/>
  <c r="M933" i="1589" s="1"/>
  <c r="G933" i="1589"/>
  <c r="F933" i="1589"/>
  <c r="F983" i="1589" s="1"/>
  <c r="E933" i="1589"/>
  <c r="M932" i="1589"/>
  <c r="L932" i="1589"/>
  <c r="K932" i="1589"/>
  <c r="I932" i="1589"/>
  <c r="J932" i="1589" s="1"/>
  <c r="M931" i="1589"/>
  <c r="L931" i="1589"/>
  <c r="J931" i="1589"/>
  <c r="I931" i="1589"/>
  <c r="K931" i="1589" s="1"/>
  <c r="M930" i="1589"/>
  <c r="K930" i="1589"/>
  <c r="J930" i="1589"/>
  <c r="I930" i="1589"/>
  <c r="L930" i="1589" s="1"/>
  <c r="L929" i="1589"/>
  <c r="K929" i="1589"/>
  <c r="J929" i="1589"/>
  <c r="I929" i="1589"/>
  <c r="M929" i="1589" s="1"/>
  <c r="M928" i="1589"/>
  <c r="L928" i="1589"/>
  <c r="K928" i="1589"/>
  <c r="I928" i="1589"/>
  <c r="J928" i="1589" s="1"/>
  <c r="M927" i="1589"/>
  <c r="L927" i="1589"/>
  <c r="J927" i="1589"/>
  <c r="I927" i="1589"/>
  <c r="K927" i="1589" s="1"/>
  <c r="M926" i="1589"/>
  <c r="K926" i="1589"/>
  <c r="J926" i="1589"/>
  <c r="I926" i="1589"/>
  <c r="L926" i="1589" s="1"/>
  <c r="L925" i="1589"/>
  <c r="K925" i="1589"/>
  <c r="J925" i="1589"/>
  <c r="I925" i="1589"/>
  <c r="I933" i="1589" s="1"/>
  <c r="M924" i="1589"/>
  <c r="M923" i="1589"/>
  <c r="M922" i="1589"/>
  <c r="I922" i="1589"/>
  <c r="L922" i="1589" s="1"/>
  <c r="M921" i="1589"/>
  <c r="M920" i="1589"/>
  <c r="D920" i="1589"/>
  <c r="M919" i="1589"/>
  <c r="H918" i="1589"/>
  <c r="M917" i="1589"/>
  <c r="M916" i="1589"/>
  <c r="H915" i="1589"/>
  <c r="G915" i="1589"/>
  <c r="F915" i="1589"/>
  <c r="K915" i="1589" s="1"/>
  <c r="E915" i="1589"/>
  <c r="J915" i="1589" s="1"/>
  <c r="L914" i="1589"/>
  <c r="K914" i="1589"/>
  <c r="J914" i="1589"/>
  <c r="I914" i="1589"/>
  <c r="M914" i="1589" s="1"/>
  <c r="M913" i="1589"/>
  <c r="I913" i="1589"/>
  <c r="J913" i="1589" s="1"/>
  <c r="M912" i="1589"/>
  <c r="I912" i="1589"/>
  <c r="K912" i="1589" s="1"/>
  <c r="M911" i="1589"/>
  <c r="I911" i="1589"/>
  <c r="L911" i="1589" s="1"/>
  <c r="L910" i="1589"/>
  <c r="K910" i="1589"/>
  <c r="J910" i="1589"/>
  <c r="I910" i="1589"/>
  <c r="M910" i="1589" s="1"/>
  <c r="M909" i="1589"/>
  <c r="I909" i="1589"/>
  <c r="J909" i="1589" s="1"/>
  <c r="M908" i="1589"/>
  <c r="I908" i="1589"/>
  <c r="K908" i="1589" s="1"/>
  <c r="M907" i="1589"/>
  <c r="I907" i="1589"/>
  <c r="L907" i="1589" s="1"/>
  <c r="L906" i="1589"/>
  <c r="K906" i="1589"/>
  <c r="J906" i="1589"/>
  <c r="I906" i="1589"/>
  <c r="M906" i="1589" s="1"/>
  <c r="M905" i="1589"/>
  <c r="I905" i="1589"/>
  <c r="J905" i="1589" s="1"/>
  <c r="M904" i="1589"/>
  <c r="M903" i="1589"/>
  <c r="J902" i="1589"/>
  <c r="H902" i="1589"/>
  <c r="G902" i="1589"/>
  <c r="L902" i="1589" s="1"/>
  <c r="F902" i="1589"/>
  <c r="K902" i="1589" s="1"/>
  <c r="E902" i="1589"/>
  <c r="I902" i="1589" s="1"/>
  <c r="I901" i="1589"/>
  <c r="L900" i="1589"/>
  <c r="K900" i="1589"/>
  <c r="J900" i="1589"/>
  <c r="I900" i="1589"/>
  <c r="M900" i="1589" s="1"/>
  <c r="L899" i="1589"/>
  <c r="K899" i="1589"/>
  <c r="I899" i="1589"/>
  <c r="J899" i="1589" s="1"/>
  <c r="L898" i="1589"/>
  <c r="I898" i="1589"/>
  <c r="K898" i="1589" s="1"/>
  <c r="I897" i="1589"/>
  <c r="M896" i="1589"/>
  <c r="M895" i="1589"/>
  <c r="L894" i="1589"/>
  <c r="I894" i="1589"/>
  <c r="K894" i="1589" s="1"/>
  <c r="M893" i="1589"/>
  <c r="M892" i="1589"/>
  <c r="L891" i="1589"/>
  <c r="K891" i="1589"/>
  <c r="I891" i="1589"/>
  <c r="J891" i="1589" s="1"/>
  <c r="M890" i="1589"/>
  <c r="M889" i="1589"/>
  <c r="L888" i="1589"/>
  <c r="K888" i="1589"/>
  <c r="J888" i="1589"/>
  <c r="I888" i="1589"/>
  <c r="M888" i="1589" s="1"/>
  <c r="L887" i="1589"/>
  <c r="K887" i="1589"/>
  <c r="I887" i="1589"/>
  <c r="J887" i="1589" s="1"/>
  <c r="L886" i="1589"/>
  <c r="I886" i="1589"/>
  <c r="K886" i="1589" s="1"/>
  <c r="I885" i="1589"/>
  <c r="L884" i="1589"/>
  <c r="K884" i="1589"/>
  <c r="J884" i="1589"/>
  <c r="I884" i="1589"/>
  <c r="M884" i="1589" s="1"/>
  <c r="L883" i="1589"/>
  <c r="K883" i="1589"/>
  <c r="I883" i="1589"/>
  <c r="J883" i="1589" s="1"/>
  <c r="L882" i="1589"/>
  <c r="I882" i="1589"/>
  <c r="K882" i="1589" s="1"/>
  <c r="M881" i="1589"/>
  <c r="M880" i="1589"/>
  <c r="L879" i="1589"/>
  <c r="K879" i="1589"/>
  <c r="I879" i="1589"/>
  <c r="J879" i="1589" s="1"/>
  <c r="M878" i="1589"/>
  <c r="M877" i="1589"/>
  <c r="H876" i="1589"/>
  <c r="G876" i="1589"/>
  <c r="F876" i="1589"/>
  <c r="E876" i="1589"/>
  <c r="L875" i="1589"/>
  <c r="K875" i="1589"/>
  <c r="I875" i="1589"/>
  <c r="J875" i="1589" s="1"/>
  <c r="M874" i="1589"/>
  <c r="I874" i="1589"/>
  <c r="M873" i="1589"/>
  <c r="M872" i="1589"/>
  <c r="L871" i="1589"/>
  <c r="K871" i="1589"/>
  <c r="I871" i="1589"/>
  <c r="J871" i="1589" s="1"/>
  <c r="M870" i="1589"/>
  <c r="M869" i="1589"/>
  <c r="J868" i="1589"/>
  <c r="H868" i="1589"/>
  <c r="G868" i="1589"/>
  <c r="F868" i="1589"/>
  <c r="E868" i="1589"/>
  <c r="L867" i="1589"/>
  <c r="K867" i="1589"/>
  <c r="I867" i="1589"/>
  <c r="J867" i="1589" s="1"/>
  <c r="M866" i="1589"/>
  <c r="L866" i="1589"/>
  <c r="I866" i="1589"/>
  <c r="I865" i="1589"/>
  <c r="L864" i="1589"/>
  <c r="K864" i="1589"/>
  <c r="J864" i="1589"/>
  <c r="I864" i="1589"/>
  <c r="M864" i="1589" s="1"/>
  <c r="L863" i="1589"/>
  <c r="K863" i="1589"/>
  <c r="I863" i="1589"/>
  <c r="J863" i="1589" s="1"/>
  <c r="M862" i="1589"/>
  <c r="I862" i="1589"/>
  <c r="M861" i="1589"/>
  <c r="J861" i="1589"/>
  <c r="I861" i="1589"/>
  <c r="L860" i="1589"/>
  <c r="K860" i="1589"/>
  <c r="J860" i="1589"/>
  <c r="I860" i="1589"/>
  <c r="M859" i="1589"/>
  <c r="M858" i="1589"/>
  <c r="M857" i="1589"/>
  <c r="I857" i="1589"/>
  <c r="M856" i="1589"/>
  <c r="M855" i="1589"/>
  <c r="D855" i="1589"/>
  <c r="M854" i="1589"/>
  <c r="M852" i="1589"/>
  <c r="M851" i="1589"/>
  <c r="H850" i="1589"/>
  <c r="G850" i="1589"/>
  <c r="F850" i="1589"/>
  <c r="E850" i="1589"/>
  <c r="J850" i="1589" s="1"/>
  <c r="L849" i="1589"/>
  <c r="K849" i="1589"/>
  <c r="J849" i="1589"/>
  <c r="I849" i="1589"/>
  <c r="M849" i="1589" s="1"/>
  <c r="L848" i="1589"/>
  <c r="K848" i="1589"/>
  <c r="I848" i="1589"/>
  <c r="J848" i="1589" s="1"/>
  <c r="M847" i="1589"/>
  <c r="L847" i="1589"/>
  <c r="I847" i="1589"/>
  <c r="I846" i="1589"/>
  <c r="L845" i="1589"/>
  <c r="K845" i="1589"/>
  <c r="J845" i="1589"/>
  <c r="I845" i="1589"/>
  <c r="M845" i="1589" s="1"/>
  <c r="L844" i="1589"/>
  <c r="K844" i="1589"/>
  <c r="I844" i="1589"/>
  <c r="J844" i="1589" s="1"/>
  <c r="M843" i="1589"/>
  <c r="L843" i="1589"/>
  <c r="I843" i="1589"/>
  <c r="M842" i="1589"/>
  <c r="J842" i="1589"/>
  <c r="I842" i="1589"/>
  <c r="L841" i="1589"/>
  <c r="K841" i="1589"/>
  <c r="J841" i="1589"/>
  <c r="I841" i="1589"/>
  <c r="M841" i="1589" s="1"/>
  <c r="L840" i="1589"/>
  <c r="K840" i="1589"/>
  <c r="I840" i="1589"/>
  <c r="J840" i="1589" s="1"/>
  <c r="M839" i="1589"/>
  <c r="M838" i="1589"/>
  <c r="J837" i="1589"/>
  <c r="H837" i="1589"/>
  <c r="G837" i="1589"/>
  <c r="F837" i="1589"/>
  <c r="K837" i="1589" s="1"/>
  <c r="E837" i="1589"/>
  <c r="I837" i="1589" s="1"/>
  <c r="L836" i="1589"/>
  <c r="K836" i="1589"/>
  <c r="I836" i="1589"/>
  <c r="J836" i="1589" s="1"/>
  <c r="M835" i="1589"/>
  <c r="L835" i="1589"/>
  <c r="I835" i="1589"/>
  <c r="M834" i="1589"/>
  <c r="J834" i="1589"/>
  <c r="I834" i="1589"/>
  <c r="L833" i="1589"/>
  <c r="K833" i="1589"/>
  <c r="J833" i="1589"/>
  <c r="I833" i="1589"/>
  <c r="M833" i="1589" s="1"/>
  <c r="L832" i="1589"/>
  <c r="K832" i="1589"/>
  <c r="I832" i="1589"/>
  <c r="J832" i="1589" s="1"/>
  <c r="M831" i="1589"/>
  <c r="M830" i="1589"/>
  <c r="L829" i="1589"/>
  <c r="K829" i="1589"/>
  <c r="J829" i="1589"/>
  <c r="I829" i="1589"/>
  <c r="M829" i="1589" s="1"/>
  <c r="M828" i="1589"/>
  <c r="M827" i="1589"/>
  <c r="I826" i="1589"/>
  <c r="M825" i="1589"/>
  <c r="M824" i="1589"/>
  <c r="I823" i="1589"/>
  <c r="I822" i="1589"/>
  <c r="L821" i="1589"/>
  <c r="K821" i="1589"/>
  <c r="J821" i="1589"/>
  <c r="I821" i="1589"/>
  <c r="M821" i="1589" s="1"/>
  <c r="L820" i="1589"/>
  <c r="K820" i="1589"/>
  <c r="I820" i="1589"/>
  <c r="J820" i="1589" s="1"/>
  <c r="M819" i="1589"/>
  <c r="L819" i="1589"/>
  <c r="I819" i="1589"/>
  <c r="I818" i="1589"/>
  <c r="L817" i="1589"/>
  <c r="K817" i="1589"/>
  <c r="J817" i="1589"/>
  <c r="I817" i="1589"/>
  <c r="M817" i="1589" s="1"/>
  <c r="M816" i="1589"/>
  <c r="M815" i="1589"/>
  <c r="M814" i="1589"/>
  <c r="J814" i="1589"/>
  <c r="I814" i="1589"/>
  <c r="M813" i="1589"/>
  <c r="M812" i="1589"/>
  <c r="M811" i="1589"/>
  <c r="I811" i="1589"/>
  <c r="L811" i="1589" s="1"/>
  <c r="H811" i="1589"/>
  <c r="G811" i="1589"/>
  <c r="F811" i="1589"/>
  <c r="E811" i="1589"/>
  <c r="J811" i="1589" s="1"/>
  <c r="M810" i="1589"/>
  <c r="J810" i="1589"/>
  <c r="I810" i="1589"/>
  <c r="L809" i="1589"/>
  <c r="K809" i="1589"/>
  <c r="J809" i="1589"/>
  <c r="I809" i="1589"/>
  <c r="M809" i="1589" s="1"/>
  <c r="M808" i="1589"/>
  <c r="M807" i="1589"/>
  <c r="M806" i="1589"/>
  <c r="I806" i="1589"/>
  <c r="M805" i="1589"/>
  <c r="M804" i="1589"/>
  <c r="H803" i="1589"/>
  <c r="H853" i="1589" s="1"/>
  <c r="G803" i="1589"/>
  <c r="F803" i="1589"/>
  <c r="E803" i="1589"/>
  <c r="M802" i="1589"/>
  <c r="I802" i="1589"/>
  <c r="L801" i="1589"/>
  <c r="K801" i="1589"/>
  <c r="J801" i="1589"/>
  <c r="I801" i="1589"/>
  <c r="M801" i="1589" s="1"/>
  <c r="L800" i="1589"/>
  <c r="K800" i="1589"/>
  <c r="I800" i="1589"/>
  <c r="J800" i="1589" s="1"/>
  <c r="I799" i="1589"/>
  <c r="I798" i="1589"/>
  <c r="L797" i="1589"/>
  <c r="K797" i="1589"/>
  <c r="J797" i="1589"/>
  <c r="I797" i="1589"/>
  <c r="M797" i="1589" s="1"/>
  <c r="L796" i="1589"/>
  <c r="K796" i="1589"/>
  <c r="I796" i="1589"/>
  <c r="J796" i="1589" s="1"/>
  <c r="M795" i="1589"/>
  <c r="L795" i="1589"/>
  <c r="I795" i="1589"/>
  <c r="M794" i="1589"/>
  <c r="M793" i="1589"/>
  <c r="L792" i="1589"/>
  <c r="K792" i="1589"/>
  <c r="I792" i="1589"/>
  <c r="J792" i="1589" s="1"/>
  <c r="M791" i="1589"/>
  <c r="M790" i="1589"/>
  <c r="D790" i="1589"/>
  <c r="M789" i="1589"/>
  <c r="M787" i="1589"/>
  <c r="M786" i="1589"/>
  <c r="H785" i="1589"/>
  <c r="G785" i="1589"/>
  <c r="L785" i="1589" s="1"/>
  <c r="F785" i="1589"/>
  <c r="E785" i="1589"/>
  <c r="M784" i="1589"/>
  <c r="L784" i="1589"/>
  <c r="I784" i="1589"/>
  <c r="K784" i="1589" s="1"/>
  <c r="M783" i="1589"/>
  <c r="K783" i="1589"/>
  <c r="I783" i="1589"/>
  <c r="L783" i="1589" s="1"/>
  <c r="L782" i="1589"/>
  <c r="K782" i="1589"/>
  <c r="J782" i="1589"/>
  <c r="I782" i="1589"/>
  <c r="M782" i="1589" s="1"/>
  <c r="M781" i="1589"/>
  <c r="L781" i="1589"/>
  <c r="I781" i="1589"/>
  <c r="J781" i="1589" s="1"/>
  <c r="M780" i="1589"/>
  <c r="L780" i="1589"/>
  <c r="I780" i="1589"/>
  <c r="K780" i="1589" s="1"/>
  <c r="M779" i="1589"/>
  <c r="K779" i="1589"/>
  <c r="I779" i="1589"/>
  <c r="L779" i="1589" s="1"/>
  <c r="L778" i="1589"/>
  <c r="K778" i="1589"/>
  <c r="J778" i="1589"/>
  <c r="I778" i="1589"/>
  <c r="M778" i="1589" s="1"/>
  <c r="M777" i="1589"/>
  <c r="L777" i="1589"/>
  <c r="I777" i="1589"/>
  <c r="J777" i="1589" s="1"/>
  <c r="M776" i="1589"/>
  <c r="L776" i="1589"/>
  <c r="I776" i="1589"/>
  <c r="K776" i="1589" s="1"/>
  <c r="M775" i="1589"/>
  <c r="K775" i="1589"/>
  <c r="I775" i="1589"/>
  <c r="L775" i="1589" s="1"/>
  <c r="M774" i="1589"/>
  <c r="M773" i="1589"/>
  <c r="H772" i="1589"/>
  <c r="G772" i="1589"/>
  <c r="F772" i="1589"/>
  <c r="E772" i="1589"/>
  <c r="L772" i="1589" s="1"/>
  <c r="I771" i="1589"/>
  <c r="L771" i="1589" s="1"/>
  <c r="L770" i="1589"/>
  <c r="K770" i="1589"/>
  <c r="J770" i="1589"/>
  <c r="I770" i="1589"/>
  <c r="M770" i="1589" s="1"/>
  <c r="I769" i="1589"/>
  <c r="J769" i="1589" s="1"/>
  <c r="I768" i="1589"/>
  <c r="K768" i="1589" s="1"/>
  <c r="I767" i="1589"/>
  <c r="L767" i="1589" s="1"/>
  <c r="M766" i="1589"/>
  <c r="M765" i="1589"/>
  <c r="M764" i="1589"/>
  <c r="L764" i="1589"/>
  <c r="I764" i="1589"/>
  <c r="K764" i="1589" s="1"/>
  <c r="M763" i="1589"/>
  <c r="M762" i="1589"/>
  <c r="I761" i="1589"/>
  <c r="J761" i="1589" s="1"/>
  <c r="M760" i="1589"/>
  <c r="M759" i="1589"/>
  <c r="L758" i="1589"/>
  <c r="K758" i="1589"/>
  <c r="J758" i="1589"/>
  <c r="I758" i="1589"/>
  <c r="M758" i="1589" s="1"/>
  <c r="M757" i="1589"/>
  <c r="L757" i="1589"/>
  <c r="I757" i="1589"/>
  <c r="J757" i="1589" s="1"/>
  <c r="M756" i="1589"/>
  <c r="L756" i="1589"/>
  <c r="I756" i="1589"/>
  <c r="K756" i="1589" s="1"/>
  <c r="M755" i="1589"/>
  <c r="K755" i="1589"/>
  <c r="I755" i="1589"/>
  <c r="L755" i="1589" s="1"/>
  <c r="L754" i="1589"/>
  <c r="K754" i="1589"/>
  <c r="J754" i="1589"/>
  <c r="I754" i="1589"/>
  <c r="M754" i="1589" s="1"/>
  <c r="M753" i="1589"/>
  <c r="L753" i="1589"/>
  <c r="I753" i="1589"/>
  <c r="J753" i="1589" s="1"/>
  <c r="M752" i="1589"/>
  <c r="L752" i="1589"/>
  <c r="I752" i="1589"/>
  <c r="K752" i="1589" s="1"/>
  <c r="M751" i="1589"/>
  <c r="M750" i="1589"/>
  <c r="I749" i="1589"/>
  <c r="J749" i="1589" s="1"/>
  <c r="M748" i="1589"/>
  <c r="M747" i="1589"/>
  <c r="H746" i="1589"/>
  <c r="G746" i="1589"/>
  <c r="F746" i="1589"/>
  <c r="E746" i="1589"/>
  <c r="M745" i="1589"/>
  <c r="L745" i="1589"/>
  <c r="K745" i="1589"/>
  <c r="I745" i="1589"/>
  <c r="J745" i="1589" s="1"/>
  <c r="M744" i="1589"/>
  <c r="L744" i="1589"/>
  <c r="J744" i="1589"/>
  <c r="I744" i="1589"/>
  <c r="M743" i="1589"/>
  <c r="M742" i="1589"/>
  <c r="M741" i="1589"/>
  <c r="I741" i="1589"/>
  <c r="J741" i="1589" s="1"/>
  <c r="M740" i="1589"/>
  <c r="M739" i="1589"/>
  <c r="J738" i="1589"/>
  <c r="H738" i="1589"/>
  <c r="H788" i="1589" s="1"/>
  <c r="G738" i="1589"/>
  <c r="F738" i="1589"/>
  <c r="F788" i="1589" s="1"/>
  <c r="E738" i="1589"/>
  <c r="I737" i="1589"/>
  <c r="J737" i="1589" s="1"/>
  <c r="I736" i="1589"/>
  <c r="K736" i="1589" s="1"/>
  <c r="I735" i="1589"/>
  <c r="L735" i="1589" s="1"/>
  <c r="L734" i="1589"/>
  <c r="K734" i="1589"/>
  <c r="J734" i="1589"/>
  <c r="I734" i="1589"/>
  <c r="M734" i="1589" s="1"/>
  <c r="I733" i="1589"/>
  <c r="J733" i="1589" s="1"/>
  <c r="I732" i="1589"/>
  <c r="K732" i="1589" s="1"/>
  <c r="I731" i="1589"/>
  <c r="L731" i="1589" s="1"/>
  <c r="L730" i="1589"/>
  <c r="K730" i="1589"/>
  <c r="J730" i="1589"/>
  <c r="I730" i="1589"/>
  <c r="I738" i="1589" s="1"/>
  <c r="M729" i="1589"/>
  <c r="M728" i="1589"/>
  <c r="M727" i="1589"/>
  <c r="K727" i="1589"/>
  <c r="I727" i="1589"/>
  <c r="L727" i="1589" s="1"/>
  <c r="M726" i="1589"/>
  <c r="M725" i="1589"/>
  <c r="D725" i="1589"/>
  <c r="M724" i="1589"/>
  <c r="M722" i="1589"/>
  <c r="M721" i="1589"/>
  <c r="H720" i="1589"/>
  <c r="G720" i="1589"/>
  <c r="L720" i="1589" s="1"/>
  <c r="F720" i="1589"/>
  <c r="K720" i="1589" s="1"/>
  <c r="E720" i="1589"/>
  <c r="J720" i="1589" s="1"/>
  <c r="L719" i="1589"/>
  <c r="K719" i="1589"/>
  <c r="J719" i="1589"/>
  <c r="I719" i="1589"/>
  <c r="M719" i="1589" s="1"/>
  <c r="L718" i="1589"/>
  <c r="K718" i="1589"/>
  <c r="I718" i="1589"/>
  <c r="J718" i="1589" s="1"/>
  <c r="L717" i="1589"/>
  <c r="I717" i="1589"/>
  <c r="K717" i="1589" s="1"/>
  <c r="I716" i="1589"/>
  <c r="L716" i="1589" s="1"/>
  <c r="L715" i="1589"/>
  <c r="K715" i="1589"/>
  <c r="J715" i="1589"/>
  <c r="I715" i="1589"/>
  <c r="M715" i="1589" s="1"/>
  <c r="L714" i="1589"/>
  <c r="K714" i="1589"/>
  <c r="I714" i="1589"/>
  <c r="J714" i="1589" s="1"/>
  <c r="L713" i="1589"/>
  <c r="I713" i="1589"/>
  <c r="K713" i="1589" s="1"/>
  <c r="I712" i="1589"/>
  <c r="L712" i="1589" s="1"/>
  <c r="L711" i="1589"/>
  <c r="K711" i="1589"/>
  <c r="J711" i="1589"/>
  <c r="I711" i="1589"/>
  <c r="M711" i="1589" s="1"/>
  <c r="L710" i="1589"/>
  <c r="K710" i="1589"/>
  <c r="I710" i="1589"/>
  <c r="J710" i="1589" s="1"/>
  <c r="M709" i="1589"/>
  <c r="M708" i="1589"/>
  <c r="H707" i="1589"/>
  <c r="M707" i="1589" s="1"/>
  <c r="G707" i="1589"/>
  <c r="L707" i="1589" s="1"/>
  <c r="F707" i="1589"/>
  <c r="K707" i="1589" s="1"/>
  <c r="E707" i="1589"/>
  <c r="I707" i="1589" s="1"/>
  <c r="L706" i="1589"/>
  <c r="K706" i="1589"/>
  <c r="I706" i="1589"/>
  <c r="J706" i="1589" s="1"/>
  <c r="L705" i="1589"/>
  <c r="I705" i="1589"/>
  <c r="K705" i="1589" s="1"/>
  <c r="I704" i="1589"/>
  <c r="L704" i="1589" s="1"/>
  <c r="L703" i="1589"/>
  <c r="K703" i="1589"/>
  <c r="J703" i="1589"/>
  <c r="I703" i="1589"/>
  <c r="M703" i="1589" s="1"/>
  <c r="L702" i="1589"/>
  <c r="K702" i="1589"/>
  <c r="I702" i="1589"/>
  <c r="J702" i="1589" s="1"/>
  <c r="M701" i="1589"/>
  <c r="M700" i="1589"/>
  <c r="L699" i="1589"/>
  <c r="K699" i="1589"/>
  <c r="J699" i="1589"/>
  <c r="I699" i="1589"/>
  <c r="M699" i="1589" s="1"/>
  <c r="M698" i="1589"/>
  <c r="M697" i="1589"/>
  <c r="I696" i="1589"/>
  <c r="L696" i="1589" s="1"/>
  <c r="M695" i="1589"/>
  <c r="M694" i="1589"/>
  <c r="L693" i="1589"/>
  <c r="I693" i="1589"/>
  <c r="K693" i="1589" s="1"/>
  <c r="I692" i="1589"/>
  <c r="L692" i="1589" s="1"/>
  <c r="L691" i="1589"/>
  <c r="K691" i="1589"/>
  <c r="J691" i="1589"/>
  <c r="I691" i="1589"/>
  <c r="M691" i="1589" s="1"/>
  <c r="L690" i="1589"/>
  <c r="K690" i="1589"/>
  <c r="I690" i="1589"/>
  <c r="J690" i="1589" s="1"/>
  <c r="L689" i="1589"/>
  <c r="I689" i="1589"/>
  <c r="K689" i="1589" s="1"/>
  <c r="I688" i="1589"/>
  <c r="L688" i="1589" s="1"/>
  <c r="L687" i="1589"/>
  <c r="K687" i="1589"/>
  <c r="J687" i="1589"/>
  <c r="I687" i="1589"/>
  <c r="M687" i="1589" s="1"/>
  <c r="M686" i="1589"/>
  <c r="M685" i="1589"/>
  <c r="I684" i="1589"/>
  <c r="L684" i="1589" s="1"/>
  <c r="M683" i="1589"/>
  <c r="M682" i="1589"/>
  <c r="H681" i="1589"/>
  <c r="G681" i="1589"/>
  <c r="F681" i="1589"/>
  <c r="E681" i="1589"/>
  <c r="I680" i="1589"/>
  <c r="L679" i="1589"/>
  <c r="K679" i="1589"/>
  <c r="J679" i="1589"/>
  <c r="I679" i="1589"/>
  <c r="M679" i="1589" s="1"/>
  <c r="M678" i="1589"/>
  <c r="M677" i="1589"/>
  <c r="I676" i="1589"/>
  <c r="M675" i="1589"/>
  <c r="M674" i="1589"/>
  <c r="H673" i="1589"/>
  <c r="G673" i="1589"/>
  <c r="F673" i="1589"/>
  <c r="E673" i="1589"/>
  <c r="E723" i="1589" s="1"/>
  <c r="M672" i="1589"/>
  <c r="I672" i="1589"/>
  <c r="L671" i="1589"/>
  <c r="K671" i="1589"/>
  <c r="J671" i="1589"/>
  <c r="I671" i="1589"/>
  <c r="M671" i="1589" s="1"/>
  <c r="L670" i="1589"/>
  <c r="K670" i="1589"/>
  <c r="I670" i="1589"/>
  <c r="J670" i="1589" s="1"/>
  <c r="L669" i="1589"/>
  <c r="I669" i="1589"/>
  <c r="K669" i="1589" s="1"/>
  <c r="I668" i="1589"/>
  <c r="L667" i="1589"/>
  <c r="K667" i="1589"/>
  <c r="J667" i="1589"/>
  <c r="I667" i="1589"/>
  <c r="M667" i="1589" s="1"/>
  <c r="L666" i="1589"/>
  <c r="K666" i="1589"/>
  <c r="I666" i="1589"/>
  <c r="J666" i="1589" s="1"/>
  <c r="L665" i="1589"/>
  <c r="I665" i="1589"/>
  <c r="K665" i="1589" s="1"/>
  <c r="M664" i="1589"/>
  <c r="M663" i="1589"/>
  <c r="L662" i="1589"/>
  <c r="K662" i="1589"/>
  <c r="I662" i="1589"/>
  <c r="J662" i="1589" s="1"/>
  <c r="M661" i="1589"/>
  <c r="M660" i="1589"/>
  <c r="D660" i="1589"/>
  <c r="M659" i="1589"/>
  <c r="H658" i="1589"/>
  <c r="M657" i="1589"/>
  <c r="M656" i="1589"/>
  <c r="K655" i="1589"/>
  <c r="H655" i="1589"/>
  <c r="G655" i="1589"/>
  <c r="L655" i="1589" s="1"/>
  <c r="F655" i="1589"/>
  <c r="E655" i="1589"/>
  <c r="J655" i="1589" s="1"/>
  <c r="L654" i="1589"/>
  <c r="I654" i="1589"/>
  <c r="K654" i="1589" s="1"/>
  <c r="I653" i="1589"/>
  <c r="L652" i="1589"/>
  <c r="K652" i="1589"/>
  <c r="J652" i="1589"/>
  <c r="I652" i="1589"/>
  <c r="M652" i="1589" s="1"/>
  <c r="L651" i="1589"/>
  <c r="K651" i="1589"/>
  <c r="I651" i="1589"/>
  <c r="J651" i="1589" s="1"/>
  <c r="M650" i="1589"/>
  <c r="L650" i="1589"/>
  <c r="I650" i="1589"/>
  <c r="I649" i="1589"/>
  <c r="L648" i="1589"/>
  <c r="K648" i="1589"/>
  <c r="J648" i="1589"/>
  <c r="I648" i="1589"/>
  <c r="M648" i="1589" s="1"/>
  <c r="L647" i="1589"/>
  <c r="K647" i="1589"/>
  <c r="I647" i="1589"/>
  <c r="J647" i="1589" s="1"/>
  <c r="M646" i="1589"/>
  <c r="L646" i="1589"/>
  <c r="I646" i="1589"/>
  <c r="M645" i="1589"/>
  <c r="J645" i="1589"/>
  <c r="I645" i="1589"/>
  <c r="M644" i="1589"/>
  <c r="M643" i="1589"/>
  <c r="H642" i="1589"/>
  <c r="L642" i="1589" s="1"/>
  <c r="G642" i="1589"/>
  <c r="F642" i="1589"/>
  <c r="E642" i="1589"/>
  <c r="M641" i="1589"/>
  <c r="J641" i="1589"/>
  <c r="I641" i="1589"/>
  <c r="L640" i="1589"/>
  <c r="K640" i="1589"/>
  <c r="J640" i="1589"/>
  <c r="I640" i="1589"/>
  <c r="M640" i="1589" s="1"/>
  <c r="L639" i="1589"/>
  <c r="K639" i="1589"/>
  <c r="I639" i="1589"/>
  <c r="J639" i="1589" s="1"/>
  <c r="I638" i="1589"/>
  <c r="M637" i="1589"/>
  <c r="J637" i="1589"/>
  <c r="I637" i="1589"/>
  <c r="M636" i="1589"/>
  <c r="M635" i="1589"/>
  <c r="I634" i="1589"/>
  <c r="M633" i="1589"/>
  <c r="M632" i="1589"/>
  <c r="L631" i="1589"/>
  <c r="K631" i="1589"/>
  <c r="I631" i="1589"/>
  <c r="J631" i="1589" s="1"/>
  <c r="M630" i="1589"/>
  <c r="M629" i="1589"/>
  <c r="L628" i="1589"/>
  <c r="K628" i="1589"/>
  <c r="J628" i="1589"/>
  <c r="I628" i="1589"/>
  <c r="M628" i="1589" s="1"/>
  <c r="L627" i="1589"/>
  <c r="K627" i="1589"/>
  <c r="I627" i="1589"/>
  <c r="J627" i="1589" s="1"/>
  <c r="I626" i="1589"/>
  <c r="I625" i="1589"/>
  <c r="L624" i="1589"/>
  <c r="K624" i="1589"/>
  <c r="J624" i="1589"/>
  <c r="I624" i="1589"/>
  <c r="M624" i="1589" s="1"/>
  <c r="L623" i="1589"/>
  <c r="K623" i="1589"/>
  <c r="I623" i="1589"/>
  <c r="J623" i="1589" s="1"/>
  <c r="M622" i="1589"/>
  <c r="L622" i="1589"/>
  <c r="I622" i="1589"/>
  <c r="M621" i="1589"/>
  <c r="M620" i="1589"/>
  <c r="L619" i="1589"/>
  <c r="K619" i="1589"/>
  <c r="I619" i="1589"/>
  <c r="J619" i="1589" s="1"/>
  <c r="M618" i="1589"/>
  <c r="M617" i="1589"/>
  <c r="H616" i="1589"/>
  <c r="G616" i="1589"/>
  <c r="F616" i="1589"/>
  <c r="E616" i="1589"/>
  <c r="L615" i="1589"/>
  <c r="K615" i="1589"/>
  <c r="I615" i="1589"/>
  <c r="J615" i="1589" s="1"/>
  <c r="I614" i="1589"/>
  <c r="M613" i="1589"/>
  <c r="M612" i="1589"/>
  <c r="L611" i="1589"/>
  <c r="K611" i="1589"/>
  <c r="I611" i="1589"/>
  <c r="J611" i="1589" s="1"/>
  <c r="M610" i="1589"/>
  <c r="M609" i="1589"/>
  <c r="H608" i="1589"/>
  <c r="G608" i="1589"/>
  <c r="F608" i="1589"/>
  <c r="F658" i="1589" s="1"/>
  <c r="E608" i="1589"/>
  <c r="L607" i="1589"/>
  <c r="K607" i="1589"/>
  <c r="I607" i="1589"/>
  <c r="J607" i="1589" s="1"/>
  <c r="I606" i="1589"/>
  <c r="M605" i="1589"/>
  <c r="J605" i="1589"/>
  <c r="I605" i="1589"/>
  <c r="L604" i="1589"/>
  <c r="K604" i="1589"/>
  <c r="J604" i="1589"/>
  <c r="I604" i="1589"/>
  <c r="M604" i="1589" s="1"/>
  <c r="L603" i="1589"/>
  <c r="K603" i="1589"/>
  <c r="I603" i="1589"/>
  <c r="J603" i="1589" s="1"/>
  <c r="I602" i="1589"/>
  <c r="I601" i="1589"/>
  <c r="L600" i="1589"/>
  <c r="K600" i="1589"/>
  <c r="J600" i="1589"/>
  <c r="I600" i="1589"/>
  <c r="M599" i="1589"/>
  <c r="M598" i="1589"/>
  <c r="K597" i="1589"/>
  <c r="J597" i="1589"/>
  <c r="I597" i="1589"/>
  <c r="L597" i="1589" s="1"/>
  <c r="M596" i="1589"/>
  <c r="M595" i="1589"/>
  <c r="D595" i="1589"/>
  <c r="M594" i="1589"/>
  <c r="M592" i="1589"/>
  <c r="M591" i="1589"/>
  <c r="H590" i="1589"/>
  <c r="G590" i="1589"/>
  <c r="F590" i="1589"/>
  <c r="K590" i="1589" s="1"/>
  <c r="E590" i="1589"/>
  <c r="L589" i="1589"/>
  <c r="K589" i="1589"/>
  <c r="J589" i="1589"/>
  <c r="I589" i="1589"/>
  <c r="M589" i="1589" s="1"/>
  <c r="L588" i="1589"/>
  <c r="K588" i="1589"/>
  <c r="I588" i="1589"/>
  <c r="J588" i="1589" s="1"/>
  <c r="L587" i="1589"/>
  <c r="J587" i="1589"/>
  <c r="I587" i="1589"/>
  <c r="K587" i="1589" s="1"/>
  <c r="K586" i="1589"/>
  <c r="J586" i="1589"/>
  <c r="I586" i="1589"/>
  <c r="L586" i="1589" s="1"/>
  <c r="L585" i="1589"/>
  <c r="K585" i="1589"/>
  <c r="J585" i="1589"/>
  <c r="I585" i="1589"/>
  <c r="M585" i="1589" s="1"/>
  <c r="L584" i="1589"/>
  <c r="K584" i="1589"/>
  <c r="I584" i="1589"/>
  <c r="J584" i="1589" s="1"/>
  <c r="L583" i="1589"/>
  <c r="J583" i="1589"/>
  <c r="I583" i="1589"/>
  <c r="K583" i="1589" s="1"/>
  <c r="K582" i="1589"/>
  <c r="J582" i="1589"/>
  <c r="I582" i="1589"/>
  <c r="L582" i="1589" s="1"/>
  <c r="L581" i="1589"/>
  <c r="K581" i="1589"/>
  <c r="J581" i="1589"/>
  <c r="I581" i="1589"/>
  <c r="M581" i="1589" s="1"/>
  <c r="L580" i="1589"/>
  <c r="K580" i="1589"/>
  <c r="I580" i="1589"/>
  <c r="J580" i="1589" s="1"/>
  <c r="M579" i="1589"/>
  <c r="M578" i="1589"/>
  <c r="H577" i="1589"/>
  <c r="G577" i="1589"/>
  <c r="L577" i="1589" s="1"/>
  <c r="F577" i="1589"/>
  <c r="K577" i="1589" s="1"/>
  <c r="E577" i="1589"/>
  <c r="M576" i="1589"/>
  <c r="L576" i="1589"/>
  <c r="K576" i="1589"/>
  <c r="I576" i="1589"/>
  <c r="J576" i="1589" s="1"/>
  <c r="M575" i="1589"/>
  <c r="L575" i="1589"/>
  <c r="J575" i="1589"/>
  <c r="I575" i="1589"/>
  <c r="K575" i="1589" s="1"/>
  <c r="M574" i="1589"/>
  <c r="K574" i="1589"/>
  <c r="J574" i="1589"/>
  <c r="I574" i="1589"/>
  <c r="L574" i="1589" s="1"/>
  <c r="L573" i="1589"/>
  <c r="K573" i="1589"/>
  <c r="J573" i="1589"/>
  <c r="I573" i="1589"/>
  <c r="M573" i="1589" s="1"/>
  <c r="M572" i="1589"/>
  <c r="L572" i="1589"/>
  <c r="K572" i="1589"/>
  <c r="I572" i="1589"/>
  <c r="J572" i="1589" s="1"/>
  <c r="M571" i="1589"/>
  <c r="M570" i="1589"/>
  <c r="L569" i="1589"/>
  <c r="K569" i="1589"/>
  <c r="J569" i="1589"/>
  <c r="I569" i="1589"/>
  <c r="M569" i="1589" s="1"/>
  <c r="M568" i="1589"/>
  <c r="M567" i="1589"/>
  <c r="M566" i="1589"/>
  <c r="K566" i="1589"/>
  <c r="J566" i="1589"/>
  <c r="I566" i="1589"/>
  <c r="L566" i="1589" s="1"/>
  <c r="M565" i="1589"/>
  <c r="M564" i="1589"/>
  <c r="I563" i="1589"/>
  <c r="K563" i="1589" s="1"/>
  <c r="I562" i="1589"/>
  <c r="L562" i="1589" s="1"/>
  <c r="I561" i="1589"/>
  <c r="M561" i="1589" s="1"/>
  <c r="K560" i="1589"/>
  <c r="J560" i="1589"/>
  <c r="I560" i="1589"/>
  <c r="M560" i="1589" s="1"/>
  <c r="L559" i="1589"/>
  <c r="K559" i="1589"/>
  <c r="J559" i="1589"/>
  <c r="I559" i="1589"/>
  <c r="M559" i="1589" s="1"/>
  <c r="L558" i="1589"/>
  <c r="I558" i="1589"/>
  <c r="K558" i="1589" s="1"/>
  <c r="I557" i="1589"/>
  <c r="L557" i="1589" s="1"/>
  <c r="M556" i="1589"/>
  <c r="M555" i="1589"/>
  <c r="L554" i="1589"/>
  <c r="I554" i="1589"/>
  <c r="K554" i="1589" s="1"/>
  <c r="M553" i="1589"/>
  <c r="M552" i="1589"/>
  <c r="H551" i="1589"/>
  <c r="G551" i="1589"/>
  <c r="F551" i="1589"/>
  <c r="E551" i="1589"/>
  <c r="L550" i="1589"/>
  <c r="I550" i="1589"/>
  <c r="K550" i="1589" s="1"/>
  <c r="I549" i="1589"/>
  <c r="L549" i="1589" s="1"/>
  <c r="M548" i="1589"/>
  <c r="M547" i="1589"/>
  <c r="L546" i="1589"/>
  <c r="I546" i="1589"/>
  <c r="K546" i="1589" s="1"/>
  <c r="M545" i="1589"/>
  <c r="M544" i="1589"/>
  <c r="H543" i="1589"/>
  <c r="H593" i="1589" s="1"/>
  <c r="G543" i="1589"/>
  <c r="G593" i="1589" s="1"/>
  <c r="F543" i="1589"/>
  <c r="J543" i="1589" s="1"/>
  <c r="E543" i="1589"/>
  <c r="E593" i="1589" s="1"/>
  <c r="L542" i="1589"/>
  <c r="I542" i="1589"/>
  <c r="K542" i="1589" s="1"/>
  <c r="I541" i="1589"/>
  <c r="L541" i="1589" s="1"/>
  <c r="K540" i="1589"/>
  <c r="J540" i="1589"/>
  <c r="I540" i="1589"/>
  <c r="M540" i="1589" s="1"/>
  <c r="L539" i="1589"/>
  <c r="K539" i="1589"/>
  <c r="J539" i="1589"/>
  <c r="I539" i="1589"/>
  <c r="M539" i="1589" s="1"/>
  <c r="L538" i="1589"/>
  <c r="I538" i="1589"/>
  <c r="K538" i="1589" s="1"/>
  <c r="I537" i="1589"/>
  <c r="L537" i="1589" s="1"/>
  <c r="K536" i="1589"/>
  <c r="J536" i="1589"/>
  <c r="I536" i="1589"/>
  <c r="M536" i="1589" s="1"/>
  <c r="L535" i="1589"/>
  <c r="K535" i="1589"/>
  <c r="J535" i="1589"/>
  <c r="I535" i="1589"/>
  <c r="I543" i="1589" s="1"/>
  <c r="M534" i="1589"/>
  <c r="M533" i="1589"/>
  <c r="K532" i="1589"/>
  <c r="J532" i="1589"/>
  <c r="I532" i="1589"/>
  <c r="M532" i="1589" s="1"/>
  <c r="M531" i="1589"/>
  <c r="M530" i="1589"/>
  <c r="D530" i="1589"/>
  <c r="M529" i="1589"/>
  <c r="M527" i="1589"/>
  <c r="M526" i="1589"/>
  <c r="H525" i="1589"/>
  <c r="G525" i="1589"/>
  <c r="L525" i="1589" s="1"/>
  <c r="F525" i="1589"/>
  <c r="K525" i="1589" s="1"/>
  <c r="E525" i="1589"/>
  <c r="L524" i="1589"/>
  <c r="K524" i="1589"/>
  <c r="J524" i="1589"/>
  <c r="I524" i="1589"/>
  <c r="M524" i="1589" s="1"/>
  <c r="L523" i="1589"/>
  <c r="I523" i="1589"/>
  <c r="K523" i="1589" s="1"/>
  <c r="I522" i="1589"/>
  <c r="L522" i="1589" s="1"/>
  <c r="K521" i="1589"/>
  <c r="J521" i="1589"/>
  <c r="I521" i="1589"/>
  <c r="M521" i="1589" s="1"/>
  <c r="L520" i="1589"/>
  <c r="K520" i="1589"/>
  <c r="J520" i="1589"/>
  <c r="I520" i="1589"/>
  <c r="M520" i="1589" s="1"/>
  <c r="L519" i="1589"/>
  <c r="I519" i="1589"/>
  <c r="K519" i="1589" s="1"/>
  <c r="I518" i="1589"/>
  <c r="L518" i="1589" s="1"/>
  <c r="K517" i="1589"/>
  <c r="J517" i="1589"/>
  <c r="I517" i="1589"/>
  <c r="M517" i="1589" s="1"/>
  <c r="L516" i="1589"/>
  <c r="K516" i="1589"/>
  <c r="J516" i="1589"/>
  <c r="I516" i="1589"/>
  <c r="M516" i="1589" s="1"/>
  <c r="L515" i="1589"/>
  <c r="I515" i="1589"/>
  <c r="I525" i="1589" s="1"/>
  <c r="M525" i="1589" s="1"/>
  <c r="M514" i="1589"/>
  <c r="M513" i="1589"/>
  <c r="H512" i="1589"/>
  <c r="M512" i="1589" s="1"/>
  <c r="G512" i="1589"/>
  <c r="L512" i="1589" s="1"/>
  <c r="F512" i="1589"/>
  <c r="J512" i="1589" s="1"/>
  <c r="E512" i="1589"/>
  <c r="I512" i="1589" s="1"/>
  <c r="L511" i="1589"/>
  <c r="I511" i="1589"/>
  <c r="K511" i="1589" s="1"/>
  <c r="I510" i="1589"/>
  <c r="L510" i="1589" s="1"/>
  <c r="K509" i="1589"/>
  <c r="J509" i="1589"/>
  <c r="I509" i="1589"/>
  <c r="M509" i="1589" s="1"/>
  <c r="L508" i="1589"/>
  <c r="K508" i="1589"/>
  <c r="J508" i="1589"/>
  <c r="I508" i="1589"/>
  <c r="M508" i="1589" s="1"/>
  <c r="L507" i="1589"/>
  <c r="I507" i="1589"/>
  <c r="K507" i="1589" s="1"/>
  <c r="M506" i="1589"/>
  <c r="M505" i="1589"/>
  <c r="L504" i="1589"/>
  <c r="K504" i="1589"/>
  <c r="J504" i="1589"/>
  <c r="I504" i="1589"/>
  <c r="M504" i="1589" s="1"/>
  <c r="M503" i="1589"/>
  <c r="M502" i="1589"/>
  <c r="K501" i="1589"/>
  <c r="J501" i="1589"/>
  <c r="I501" i="1589"/>
  <c r="M501" i="1589" s="1"/>
  <c r="M500" i="1589"/>
  <c r="M499" i="1589"/>
  <c r="M498" i="1589"/>
  <c r="I498" i="1589"/>
  <c r="K497" i="1589"/>
  <c r="J497" i="1589"/>
  <c r="I497" i="1589"/>
  <c r="M497" i="1589" s="1"/>
  <c r="L496" i="1589"/>
  <c r="K496" i="1589"/>
  <c r="J496" i="1589"/>
  <c r="I496" i="1589"/>
  <c r="M496" i="1589" s="1"/>
  <c r="L495" i="1589"/>
  <c r="I495" i="1589"/>
  <c r="K495" i="1589" s="1"/>
  <c r="I494" i="1589"/>
  <c r="K493" i="1589"/>
  <c r="J493" i="1589"/>
  <c r="I493" i="1589"/>
  <c r="M493" i="1589" s="1"/>
  <c r="L492" i="1589"/>
  <c r="K492" i="1589"/>
  <c r="J492" i="1589"/>
  <c r="I492" i="1589"/>
  <c r="M492" i="1589" s="1"/>
  <c r="M491" i="1589"/>
  <c r="M490" i="1589"/>
  <c r="K489" i="1589"/>
  <c r="J489" i="1589"/>
  <c r="I489" i="1589"/>
  <c r="M489" i="1589" s="1"/>
  <c r="M488" i="1589"/>
  <c r="M487" i="1589"/>
  <c r="I486" i="1589"/>
  <c r="L486" i="1589" s="1"/>
  <c r="H486" i="1589"/>
  <c r="G486" i="1589"/>
  <c r="F486" i="1589"/>
  <c r="E486" i="1589"/>
  <c r="J486" i="1589" s="1"/>
  <c r="K485" i="1589"/>
  <c r="J485" i="1589"/>
  <c r="I485" i="1589"/>
  <c r="M485" i="1589" s="1"/>
  <c r="L484" i="1589"/>
  <c r="K484" i="1589"/>
  <c r="J484" i="1589"/>
  <c r="I484" i="1589"/>
  <c r="M484" i="1589" s="1"/>
  <c r="M483" i="1589"/>
  <c r="M482" i="1589"/>
  <c r="K481" i="1589"/>
  <c r="J481" i="1589"/>
  <c r="I481" i="1589"/>
  <c r="M481" i="1589" s="1"/>
  <c r="M480" i="1589"/>
  <c r="M479" i="1589"/>
  <c r="H478" i="1589"/>
  <c r="H528" i="1589" s="1"/>
  <c r="G478" i="1589"/>
  <c r="F478" i="1589"/>
  <c r="E478" i="1589"/>
  <c r="K477" i="1589"/>
  <c r="J477" i="1589"/>
  <c r="I477" i="1589"/>
  <c r="M477" i="1589" s="1"/>
  <c r="L476" i="1589"/>
  <c r="K476" i="1589"/>
  <c r="J476" i="1589"/>
  <c r="I476" i="1589"/>
  <c r="M476" i="1589" s="1"/>
  <c r="I475" i="1589"/>
  <c r="M474" i="1589"/>
  <c r="I474" i="1589"/>
  <c r="K473" i="1589"/>
  <c r="J473" i="1589"/>
  <c r="I473" i="1589"/>
  <c r="M473" i="1589" s="1"/>
  <c r="L472" i="1589"/>
  <c r="K472" i="1589"/>
  <c r="J472" i="1589"/>
  <c r="I472" i="1589"/>
  <c r="M472" i="1589" s="1"/>
  <c r="I471" i="1589"/>
  <c r="I470" i="1589"/>
  <c r="M469" i="1589"/>
  <c r="M468" i="1589"/>
  <c r="I467" i="1589"/>
  <c r="M466" i="1589"/>
  <c r="M465" i="1589"/>
  <c r="D465" i="1589"/>
  <c r="M464" i="1589"/>
  <c r="F463" i="1589"/>
  <c r="M462" i="1589"/>
  <c r="M461" i="1589"/>
  <c r="H460" i="1589"/>
  <c r="L460" i="1589" s="1"/>
  <c r="G460" i="1589"/>
  <c r="F460" i="1589"/>
  <c r="E460" i="1589"/>
  <c r="M459" i="1589"/>
  <c r="J459" i="1589"/>
  <c r="I459" i="1589"/>
  <c r="K458" i="1589"/>
  <c r="J458" i="1589"/>
  <c r="I458" i="1589"/>
  <c r="M458" i="1589" s="1"/>
  <c r="L457" i="1589"/>
  <c r="K457" i="1589"/>
  <c r="J457" i="1589"/>
  <c r="I457" i="1589"/>
  <c r="M457" i="1589" s="1"/>
  <c r="I456" i="1589"/>
  <c r="M455" i="1589"/>
  <c r="I455" i="1589"/>
  <c r="K454" i="1589"/>
  <c r="J454" i="1589"/>
  <c r="I454" i="1589"/>
  <c r="M454" i="1589" s="1"/>
  <c r="L453" i="1589"/>
  <c r="K453" i="1589"/>
  <c r="J453" i="1589"/>
  <c r="I453" i="1589"/>
  <c r="M453" i="1589" s="1"/>
  <c r="I452" i="1589"/>
  <c r="I451" i="1589"/>
  <c r="K450" i="1589"/>
  <c r="J450" i="1589"/>
  <c r="I450" i="1589"/>
  <c r="M450" i="1589" s="1"/>
  <c r="M449" i="1589"/>
  <c r="M448" i="1589"/>
  <c r="H447" i="1589"/>
  <c r="G447" i="1589"/>
  <c r="F447" i="1589"/>
  <c r="E447" i="1589"/>
  <c r="L447" i="1589" s="1"/>
  <c r="K446" i="1589"/>
  <c r="J446" i="1589"/>
  <c r="I446" i="1589"/>
  <c r="M446" i="1589" s="1"/>
  <c r="L445" i="1589"/>
  <c r="K445" i="1589"/>
  <c r="J445" i="1589"/>
  <c r="I445" i="1589"/>
  <c r="M445" i="1589" s="1"/>
  <c r="M444" i="1589"/>
  <c r="L444" i="1589"/>
  <c r="I444" i="1589"/>
  <c r="I443" i="1589"/>
  <c r="K442" i="1589"/>
  <c r="J442" i="1589"/>
  <c r="I442" i="1589"/>
  <c r="M442" i="1589" s="1"/>
  <c r="M441" i="1589"/>
  <c r="M440" i="1589"/>
  <c r="I439" i="1589"/>
  <c r="M438" i="1589"/>
  <c r="M437" i="1589"/>
  <c r="M436" i="1589"/>
  <c r="L436" i="1589"/>
  <c r="I436" i="1589"/>
  <c r="M435" i="1589"/>
  <c r="M434" i="1589"/>
  <c r="L433" i="1589"/>
  <c r="K433" i="1589"/>
  <c r="J433" i="1589"/>
  <c r="I433" i="1589"/>
  <c r="M433" i="1589" s="1"/>
  <c r="M432" i="1589"/>
  <c r="L432" i="1589"/>
  <c r="I432" i="1589"/>
  <c r="M431" i="1589"/>
  <c r="J431" i="1589"/>
  <c r="I431" i="1589"/>
  <c r="K430" i="1589"/>
  <c r="J430" i="1589"/>
  <c r="I430" i="1589"/>
  <c r="M430" i="1589" s="1"/>
  <c r="L429" i="1589"/>
  <c r="K429" i="1589"/>
  <c r="J429" i="1589"/>
  <c r="I429" i="1589"/>
  <c r="M429" i="1589" s="1"/>
  <c r="I428" i="1589"/>
  <c r="M427" i="1589"/>
  <c r="J427" i="1589"/>
  <c r="I427" i="1589"/>
  <c r="M426" i="1589"/>
  <c r="M425" i="1589"/>
  <c r="I424" i="1589"/>
  <c r="M423" i="1589"/>
  <c r="M422" i="1589"/>
  <c r="H421" i="1589"/>
  <c r="G421" i="1589"/>
  <c r="F421" i="1589"/>
  <c r="E421" i="1589"/>
  <c r="M420" i="1589"/>
  <c r="L420" i="1589"/>
  <c r="I420" i="1589"/>
  <c r="M419" i="1589"/>
  <c r="J419" i="1589"/>
  <c r="I419" i="1589"/>
  <c r="M418" i="1589"/>
  <c r="M417" i="1589"/>
  <c r="M416" i="1589"/>
  <c r="L416" i="1589"/>
  <c r="I416" i="1589"/>
  <c r="M415" i="1589"/>
  <c r="M414" i="1589"/>
  <c r="H413" i="1589"/>
  <c r="G413" i="1589"/>
  <c r="G463" i="1589" s="1"/>
  <c r="F413" i="1589"/>
  <c r="K413" i="1589" s="1"/>
  <c r="E413" i="1589"/>
  <c r="M412" i="1589"/>
  <c r="I412" i="1589"/>
  <c r="J412" i="1589" s="1"/>
  <c r="M411" i="1589"/>
  <c r="I411" i="1589"/>
  <c r="K411" i="1589" s="1"/>
  <c r="M410" i="1589"/>
  <c r="I410" i="1589"/>
  <c r="L410" i="1589" s="1"/>
  <c r="L409" i="1589"/>
  <c r="K409" i="1589"/>
  <c r="J409" i="1589"/>
  <c r="I409" i="1589"/>
  <c r="M409" i="1589" s="1"/>
  <c r="M408" i="1589"/>
  <c r="I408" i="1589"/>
  <c r="J408" i="1589" s="1"/>
  <c r="M407" i="1589"/>
  <c r="I407" i="1589"/>
  <c r="K407" i="1589" s="1"/>
  <c r="M406" i="1589"/>
  <c r="I406" i="1589"/>
  <c r="L406" i="1589" s="1"/>
  <c r="L405" i="1589"/>
  <c r="K405" i="1589"/>
  <c r="J405" i="1589"/>
  <c r="I405" i="1589"/>
  <c r="I413" i="1589" s="1"/>
  <c r="M404" i="1589"/>
  <c r="M403" i="1589"/>
  <c r="K402" i="1589"/>
  <c r="J402" i="1589"/>
  <c r="I402" i="1589"/>
  <c r="L402" i="1589" s="1"/>
  <c r="M401" i="1589"/>
  <c r="M400" i="1589"/>
  <c r="D400" i="1589"/>
  <c r="M399" i="1589"/>
  <c r="M397" i="1589"/>
  <c r="M396" i="1589"/>
  <c r="H395" i="1589"/>
  <c r="G395" i="1589"/>
  <c r="F395" i="1589"/>
  <c r="F398" i="1589" s="1"/>
  <c r="E395" i="1589"/>
  <c r="L394" i="1589"/>
  <c r="K394" i="1589"/>
  <c r="J394" i="1589"/>
  <c r="I394" i="1589"/>
  <c r="M394" i="1589" s="1"/>
  <c r="L393" i="1589"/>
  <c r="K393" i="1589"/>
  <c r="I393" i="1589"/>
  <c r="J393" i="1589" s="1"/>
  <c r="L392" i="1589"/>
  <c r="J392" i="1589"/>
  <c r="I392" i="1589"/>
  <c r="K392" i="1589" s="1"/>
  <c r="K391" i="1589"/>
  <c r="J391" i="1589"/>
  <c r="I391" i="1589"/>
  <c r="L391" i="1589" s="1"/>
  <c r="L390" i="1589"/>
  <c r="K390" i="1589"/>
  <c r="J390" i="1589"/>
  <c r="I390" i="1589"/>
  <c r="M390" i="1589" s="1"/>
  <c r="L389" i="1589"/>
  <c r="K389" i="1589"/>
  <c r="I389" i="1589"/>
  <c r="J389" i="1589" s="1"/>
  <c r="L388" i="1589"/>
  <c r="J388" i="1589"/>
  <c r="I388" i="1589"/>
  <c r="K388" i="1589" s="1"/>
  <c r="K387" i="1589"/>
  <c r="J387" i="1589"/>
  <c r="I387" i="1589"/>
  <c r="L387" i="1589" s="1"/>
  <c r="L386" i="1589"/>
  <c r="K386" i="1589"/>
  <c r="J386" i="1589"/>
  <c r="I386" i="1589"/>
  <c r="M386" i="1589" s="1"/>
  <c r="L385" i="1589"/>
  <c r="K385" i="1589"/>
  <c r="I385" i="1589"/>
  <c r="J385" i="1589" s="1"/>
  <c r="M384" i="1589"/>
  <c r="M383" i="1589"/>
  <c r="H382" i="1589"/>
  <c r="G382" i="1589"/>
  <c r="L382" i="1589" s="1"/>
  <c r="F382" i="1589"/>
  <c r="K382" i="1589" s="1"/>
  <c r="E382" i="1589"/>
  <c r="M381" i="1589"/>
  <c r="L381" i="1589"/>
  <c r="K381" i="1589"/>
  <c r="I381" i="1589"/>
  <c r="J381" i="1589" s="1"/>
  <c r="M380" i="1589"/>
  <c r="L380" i="1589"/>
  <c r="J380" i="1589"/>
  <c r="I380" i="1589"/>
  <c r="K380" i="1589" s="1"/>
  <c r="M379" i="1589"/>
  <c r="K379" i="1589"/>
  <c r="J379" i="1589"/>
  <c r="I379" i="1589"/>
  <c r="L379" i="1589" s="1"/>
  <c r="L378" i="1589"/>
  <c r="K378" i="1589"/>
  <c r="J378" i="1589"/>
  <c r="I378" i="1589"/>
  <c r="M378" i="1589" s="1"/>
  <c r="M377" i="1589"/>
  <c r="L377" i="1589"/>
  <c r="K377" i="1589"/>
  <c r="I377" i="1589"/>
  <c r="J377" i="1589" s="1"/>
  <c r="M376" i="1589"/>
  <c r="M375" i="1589"/>
  <c r="L374" i="1589"/>
  <c r="K374" i="1589"/>
  <c r="J374" i="1589"/>
  <c r="I374" i="1589"/>
  <c r="M374" i="1589" s="1"/>
  <c r="M373" i="1589"/>
  <c r="M372" i="1589"/>
  <c r="M371" i="1589"/>
  <c r="K371" i="1589"/>
  <c r="J371" i="1589"/>
  <c r="I371" i="1589"/>
  <c r="L371" i="1589" s="1"/>
  <c r="M370" i="1589"/>
  <c r="M369" i="1589"/>
  <c r="I368" i="1589"/>
  <c r="K368" i="1589" s="1"/>
  <c r="I367" i="1589"/>
  <c r="L367" i="1589" s="1"/>
  <c r="K366" i="1589"/>
  <c r="J366" i="1589"/>
  <c r="I366" i="1589"/>
  <c r="M366" i="1589" s="1"/>
  <c r="L365" i="1589"/>
  <c r="K365" i="1589"/>
  <c r="J365" i="1589"/>
  <c r="I365" i="1589"/>
  <c r="M365" i="1589" s="1"/>
  <c r="L364" i="1589"/>
  <c r="I364" i="1589"/>
  <c r="K364" i="1589" s="1"/>
  <c r="I363" i="1589"/>
  <c r="L363" i="1589" s="1"/>
  <c r="K362" i="1589"/>
  <c r="J362" i="1589"/>
  <c r="I362" i="1589"/>
  <c r="M362" i="1589" s="1"/>
  <c r="M361" i="1589"/>
  <c r="M360" i="1589"/>
  <c r="I359" i="1589"/>
  <c r="L359" i="1589" s="1"/>
  <c r="M358" i="1589"/>
  <c r="M357" i="1589"/>
  <c r="H356" i="1589"/>
  <c r="G356" i="1589"/>
  <c r="F356" i="1589"/>
  <c r="E356" i="1589"/>
  <c r="I355" i="1589"/>
  <c r="L355" i="1589" s="1"/>
  <c r="K354" i="1589"/>
  <c r="J354" i="1589"/>
  <c r="I354" i="1589"/>
  <c r="M354" i="1589" s="1"/>
  <c r="M353" i="1589"/>
  <c r="M352" i="1589"/>
  <c r="I351" i="1589"/>
  <c r="L351" i="1589" s="1"/>
  <c r="M350" i="1589"/>
  <c r="M349" i="1589"/>
  <c r="H348" i="1589"/>
  <c r="H398" i="1589" s="1"/>
  <c r="G348" i="1589"/>
  <c r="G398" i="1589" s="1"/>
  <c r="L398" i="1589" s="1"/>
  <c r="F348" i="1589"/>
  <c r="E348" i="1589"/>
  <c r="E398" i="1589" s="1"/>
  <c r="J398" i="1589" s="1"/>
  <c r="I347" i="1589"/>
  <c r="L347" i="1589" s="1"/>
  <c r="K346" i="1589"/>
  <c r="J346" i="1589"/>
  <c r="I346" i="1589"/>
  <c r="M346" i="1589" s="1"/>
  <c r="L345" i="1589"/>
  <c r="K345" i="1589"/>
  <c r="J345" i="1589"/>
  <c r="I345" i="1589"/>
  <c r="M345" i="1589" s="1"/>
  <c r="L344" i="1589"/>
  <c r="I344" i="1589"/>
  <c r="K344" i="1589" s="1"/>
  <c r="I343" i="1589"/>
  <c r="L343" i="1589" s="1"/>
  <c r="K342" i="1589"/>
  <c r="J342" i="1589"/>
  <c r="I342" i="1589"/>
  <c r="M342" i="1589" s="1"/>
  <c r="L341" i="1589"/>
  <c r="K341" i="1589"/>
  <c r="J341" i="1589"/>
  <c r="I341" i="1589"/>
  <c r="M341" i="1589" s="1"/>
  <c r="L340" i="1589"/>
  <c r="I340" i="1589"/>
  <c r="K340" i="1589" s="1"/>
  <c r="M339" i="1589"/>
  <c r="M338" i="1589"/>
  <c r="L337" i="1589"/>
  <c r="K337" i="1589"/>
  <c r="J337" i="1589"/>
  <c r="I337" i="1589"/>
  <c r="M337" i="1589" s="1"/>
  <c r="M336" i="1589"/>
  <c r="M335" i="1589"/>
  <c r="D335" i="1589"/>
  <c r="M334" i="1589"/>
  <c r="M332" i="1589"/>
  <c r="M331" i="1589"/>
  <c r="H330" i="1589"/>
  <c r="G330" i="1589"/>
  <c r="L330" i="1589" s="1"/>
  <c r="F330" i="1589"/>
  <c r="J330" i="1589" s="1"/>
  <c r="E330" i="1589"/>
  <c r="L329" i="1589"/>
  <c r="I329" i="1589"/>
  <c r="K329" i="1589" s="1"/>
  <c r="I328" i="1589"/>
  <c r="L328" i="1589" s="1"/>
  <c r="K327" i="1589"/>
  <c r="J327" i="1589"/>
  <c r="I327" i="1589"/>
  <c r="M327" i="1589" s="1"/>
  <c r="L326" i="1589"/>
  <c r="K326" i="1589"/>
  <c r="J326" i="1589"/>
  <c r="I326" i="1589"/>
  <c r="M326" i="1589" s="1"/>
  <c r="L325" i="1589"/>
  <c r="I325" i="1589"/>
  <c r="K325" i="1589" s="1"/>
  <c r="I324" i="1589"/>
  <c r="L324" i="1589" s="1"/>
  <c r="K323" i="1589"/>
  <c r="J323" i="1589"/>
  <c r="I323" i="1589"/>
  <c r="M323" i="1589" s="1"/>
  <c r="L322" i="1589"/>
  <c r="K322" i="1589"/>
  <c r="J322" i="1589"/>
  <c r="I322" i="1589"/>
  <c r="M322" i="1589" s="1"/>
  <c r="L321" i="1589"/>
  <c r="I321" i="1589"/>
  <c r="K321" i="1589" s="1"/>
  <c r="I320" i="1589"/>
  <c r="L320" i="1589" s="1"/>
  <c r="M319" i="1589"/>
  <c r="M318" i="1589"/>
  <c r="H317" i="1589"/>
  <c r="G317" i="1589"/>
  <c r="F317" i="1589"/>
  <c r="E317" i="1589"/>
  <c r="K317" i="1589" s="1"/>
  <c r="I316" i="1589"/>
  <c r="L316" i="1589" s="1"/>
  <c r="K315" i="1589"/>
  <c r="J315" i="1589"/>
  <c r="I315" i="1589"/>
  <c r="M315" i="1589" s="1"/>
  <c r="L314" i="1589"/>
  <c r="K314" i="1589"/>
  <c r="J314" i="1589"/>
  <c r="I314" i="1589"/>
  <c r="M314" i="1589" s="1"/>
  <c r="L313" i="1589"/>
  <c r="I313" i="1589"/>
  <c r="K313" i="1589" s="1"/>
  <c r="I312" i="1589"/>
  <c r="L312" i="1589" s="1"/>
  <c r="M311" i="1589"/>
  <c r="M310" i="1589"/>
  <c r="L309" i="1589"/>
  <c r="I309" i="1589"/>
  <c r="K309" i="1589" s="1"/>
  <c r="M308" i="1589"/>
  <c r="M307" i="1589"/>
  <c r="L306" i="1589"/>
  <c r="K306" i="1589"/>
  <c r="J306" i="1589"/>
  <c r="I306" i="1589"/>
  <c r="M306" i="1589" s="1"/>
  <c r="M305" i="1589"/>
  <c r="M304" i="1589"/>
  <c r="K303" i="1589"/>
  <c r="J303" i="1589"/>
  <c r="I303" i="1589"/>
  <c r="M303" i="1589" s="1"/>
  <c r="L302" i="1589"/>
  <c r="K302" i="1589"/>
  <c r="J302" i="1589"/>
  <c r="I302" i="1589"/>
  <c r="M302" i="1589" s="1"/>
  <c r="L301" i="1589"/>
  <c r="I301" i="1589"/>
  <c r="K301" i="1589" s="1"/>
  <c r="I300" i="1589"/>
  <c r="L300" i="1589" s="1"/>
  <c r="K299" i="1589"/>
  <c r="J299" i="1589"/>
  <c r="I299" i="1589"/>
  <c r="M299" i="1589" s="1"/>
  <c r="L298" i="1589"/>
  <c r="K298" i="1589"/>
  <c r="J298" i="1589"/>
  <c r="I298" i="1589"/>
  <c r="M298" i="1589" s="1"/>
  <c r="L297" i="1589"/>
  <c r="I297" i="1589"/>
  <c r="K297" i="1589" s="1"/>
  <c r="M296" i="1589"/>
  <c r="M295" i="1589"/>
  <c r="L294" i="1589"/>
  <c r="K294" i="1589"/>
  <c r="J294" i="1589"/>
  <c r="I294" i="1589"/>
  <c r="M294" i="1589" s="1"/>
  <c r="M293" i="1589"/>
  <c r="M292" i="1589"/>
  <c r="H291" i="1589"/>
  <c r="G291" i="1589"/>
  <c r="F291" i="1589"/>
  <c r="E291" i="1589"/>
  <c r="L290" i="1589"/>
  <c r="K290" i="1589"/>
  <c r="J290" i="1589"/>
  <c r="I290" i="1589"/>
  <c r="M290" i="1589" s="1"/>
  <c r="I289" i="1589"/>
  <c r="I291" i="1589" s="1"/>
  <c r="M288" i="1589"/>
  <c r="M287" i="1589"/>
  <c r="L286" i="1589"/>
  <c r="K286" i="1589"/>
  <c r="J286" i="1589"/>
  <c r="I286" i="1589"/>
  <c r="M286" i="1589" s="1"/>
  <c r="M285" i="1589"/>
  <c r="M284" i="1589"/>
  <c r="H283" i="1589"/>
  <c r="G283" i="1589"/>
  <c r="G333" i="1589" s="1"/>
  <c r="F283" i="1589"/>
  <c r="F333" i="1589" s="1"/>
  <c r="E283" i="1589"/>
  <c r="L282" i="1589"/>
  <c r="K282" i="1589"/>
  <c r="J282" i="1589"/>
  <c r="I282" i="1589"/>
  <c r="M282" i="1589" s="1"/>
  <c r="L281" i="1589"/>
  <c r="I281" i="1589"/>
  <c r="K281" i="1589" s="1"/>
  <c r="I280" i="1589"/>
  <c r="L280" i="1589" s="1"/>
  <c r="K279" i="1589"/>
  <c r="J279" i="1589"/>
  <c r="I279" i="1589"/>
  <c r="M279" i="1589" s="1"/>
  <c r="L278" i="1589"/>
  <c r="K278" i="1589"/>
  <c r="J278" i="1589"/>
  <c r="I278" i="1589"/>
  <c r="M278" i="1589" s="1"/>
  <c r="L277" i="1589"/>
  <c r="I277" i="1589"/>
  <c r="K277" i="1589" s="1"/>
  <c r="I276" i="1589"/>
  <c r="L276" i="1589" s="1"/>
  <c r="K275" i="1589"/>
  <c r="J275" i="1589"/>
  <c r="I275" i="1589"/>
  <c r="I283" i="1589" s="1"/>
  <c r="M274" i="1589"/>
  <c r="M273" i="1589"/>
  <c r="I272" i="1589"/>
  <c r="L272" i="1589" s="1"/>
  <c r="M271" i="1589"/>
  <c r="M270" i="1589"/>
  <c r="D270" i="1589"/>
  <c r="M269" i="1589"/>
  <c r="M267" i="1589"/>
  <c r="M266" i="1589"/>
  <c r="H265" i="1589"/>
  <c r="G265" i="1589"/>
  <c r="F265" i="1589"/>
  <c r="K265" i="1589" s="1"/>
  <c r="E265" i="1589"/>
  <c r="L265" i="1589" s="1"/>
  <c r="K264" i="1589"/>
  <c r="J264" i="1589"/>
  <c r="I264" i="1589"/>
  <c r="M264" i="1589" s="1"/>
  <c r="L263" i="1589"/>
  <c r="K263" i="1589"/>
  <c r="J263" i="1589"/>
  <c r="I263" i="1589"/>
  <c r="M263" i="1589" s="1"/>
  <c r="I262" i="1589"/>
  <c r="K262" i="1589" s="1"/>
  <c r="J261" i="1589"/>
  <c r="I261" i="1589"/>
  <c r="L261" i="1589" s="1"/>
  <c r="K260" i="1589"/>
  <c r="J260" i="1589"/>
  <c r="I260" i="1589"/>
  <c r="M260" i="1589" s="1"/>
  <c r="L259" i="1589"/>
  <c r="K259" i="1589"/>
  <c r="J259" i="1589"/>
  <c r="I259" i="1589"/>
  <c r="M259" i="1589" s="1"/>
  <c r="I258" i="1589"/>
  <c r="K258" i="1589" s="1"/>
  <c r="J257" i="1589"/>
  <c r="I257" i="1589"/>
  <c r="L257" i="1589" s="1"/>
  <c r="K256" i="1589"/>
  <c r="J256" i="1589"/>
  <c r="I256" i="1589"/>
  <c r="M256" i="1589" s="1"/>
  <c r="L255" i="1589"/>
  <c r="K255" i="1589"/>
  <c r="J255" i="1589"/>
  <c r="I255" i="1589"/>
  <c r="M255" i="1589" s="1"/>
  <c r="M254" i="1589"/>
  <c r="M253" i="1589"/>
  <c r="H252" i="1589"/>
  <c r="G252" i="1589"/>
  <c r="L252" i="1589" s="1"/>
  <c r="F252" i="1589"/>
  <c r="J252" i="1589" s="1"/>
  <c r="E252" i="1589"/>
  <c r="I252" i="1589" s="1"/>
  <c r="M252" i="1589" s="1"/>
  <c r="L251" i="1589"/>
  <c r="K251" i="1589"/>
  <c r="J251" i="1589"/>
  <c r="I251" i="1589"/>
  <c r="M251" i="1589" s="1"/>
  <c r="I250" i="1589"/>
  <c r="K250" i="1589" s="1"/>
  <c r="J249" i="1589"/>
  <c r="I249" i="1589"/>
  <c r="L249" i="1589" s="1"/>
  <c r="K248" i="1589"/>
  <c r="J248" i="1589"/>
  <c r="I248" i="1589"/>
  <c r="M248" i="1589" s="1"/>
  <c r="L247" i="1589"/>
  <c r="K247" i="1589"/>
  <c r="J247" i="1589"/>
  <c r="I247" i="1589"/>
  <c r="M247" i="1589" s="1"/>
  <c r="M246" i="1589"/>
  <c r="M245" i="1589"/>
  <c r="K244" i="1589"/>
  <c r="J244" i="1589"/>
  <c r="I244" i="1589"/>
  <c r="M244" i="1589" s="1"/>
  <c r="M243" i="1589"/>
  <c r="M242" i="1589"/>
  <c r="J241" i="1589"/>
  <c r="I241" i="1589"/>
  <c r="L241" i="1589" s="1"/>
  <c r="M240" i="1589"/>
  <c r="M239" i="1589"/>
  <c r="I238" i="1589"/>
  <c r="K238" i="1589" s="1"/>
  <c r="J237" i="1589"/>
  <c r="I237" i="1589"/>
  <c r="L237" i="1589" s="1"/>
  <c r="K236" i="1589"/>
  <c r="J236" i="1589"/>
  <c r="I236" i="1589"/>
  <c r="M236" i="1589" s="1"/>
  <c r="L235" i="1589"/>
  <c r="K235" i="1589"/>
  <c r="J235" i="1589"/>
  <c r="I235" i="1589"/>
  <c r="M235" i="1589" s="1"/>
  <c r="I234" i="1589"/>
  <c r="K234" i="1589" s="1"/>
  <c r="J233" i="1589"/>
  <c r="I233" i="1589"/>
  <c r="L233" i="1589" s="1"/>
  <c r="K232" i="1589"/>
  <c r="J232" i="1589"/>
  <c r="I232" i="1589"/>
  <c r="M232" i="1589" s="1"/>
  <c r="M231" i="1589"/>
  <c r="M230" i="1589"/>
  <c r="J229" i="1589"/>
  <c r="I229" i="1589"/>
  <c r="L229" i="1589" s="1"/>
  <c r="M228" i="1589"/>
  <c r="M227" i="1589"/>
  <c r="I226" i="1589"/>
  <c r="K226" i="1589" s="1"/>
  <c r="H226" i="1589"/>
  <c r="G226" i="1589"/>
  <c r="F226" i="1589"/>
  <c r="E226" i="1589"/>
  <c r="J226" i="1589" s="1"/>
  <c r="J225" i="1589"/>
  <c r="I225" i="1589"/>
  <c r="L225" i="1589" s="1"/>
  <c r="K224" i="1589"/>
  <c r="J224" i="1589"/>
  <c r="I224" i="1589"/>
  <c r="M224" i="1589" s="1"/>
  <c r="M223" i="1589"/>
  <c r="M222" i="1589"/>
  <c r="J221" i="1589"/>
  <c r="I221" i="1589"/>
  <c r="L221" i="1589" s="1"/>
  <c r="M220" i="1589"/>
  <c r="M219" i="1589"/>
  <c r="H218" i="1589"/>
  <c r="H268" i="1589" s="1"/>
  <c r="G218" i="1589"/>
  <c r="F218" i="1589"/>
  <c r="E218" i="1589"/>
  <c r="E268" i="1589" s="1"/>
  <c r="J217" i="1589"/>
  <c r="I217" i="1589"/>
  <c r="L217" i="1589" s="1"/>
  <c r="K216" i="1589"/>
  <c r="J216" i="1589"/>
  <c r="I216" i="1589"/>
  <c r="M216" i="1589" s="1"/>
  <c r="L215" i="1589"/>
  <c r="K215" i="1589"/>
  <c r="J215" i="1589"/>
  <c r="I215" i="1589"/>
  <c r="M215" i="1589" s="1"/>
  <c r="I214" i="1589"/>
  <c r="K214" i="1589" s="1"/>
  <c r="J213" i="1589"/>
  <c r="I213" i="1589"/>
  <c r="L213" i="1589" s="1"/>
  <c r="K212" i="1589"/>
  <c r="J212" i="1589"/>
  <c r="I212" i="1589"/>
  <c r="M212" i="1589" s="1"/>
  <c r="L211" i="1589"/>
  <c r="K211" i="1589"/>
  <c r="J211" i="1589"/>
  <c r="I211" i="1589"/>
  <c r="M211" i="1589" s="1"/>
  <c r="I210" i="1589"/>
  <c r="K210" i="1589" s="1"/>
  <c r="M209" i="1589"/>
  <c r="M208" i="1589"/>
  <c r="L207" i="1589"/>
  <c r="K207" i="1589"/>
  <c r="J207" i="1589"/>
  <c r="I207" i="1589"/>
  <c r="M207" i="1589" s="1"/>
  <c r="M206" i="1589"/>
  <c r="M205" i="1589"/>
  <c r="D205" i="1589"/>
  <c r="M204" i="1589"/>
  <c r="M202" i="1589"/>
  <c r="M201" i="1589"/>
  <c r="H200" i="1589"/>
  <c r="G200" i="1589"/>
  <c r="L200" i="1589" s="1"/>
  <c r="F200" i="1589"/>
  <c r="J200" i="1589" s="1"/>
  <c r="E200" i="1589"/>
  <c r="L199" i="1589"/>
  <c r="I199" i="1589"/>
  <c r="K199" i="1589" s="1"/>
  <c r="I198" i="1589"/>
  <c r="L198" i="1589" s="1"/>
  <c r="K197" i="1589"/>
  <c r="J197" i="1589"/>
  <c r="I197" i="1589"/>
  <c r="M197" i="1589" s="1"/>
  <c r="L196" i="1589"/>
  <c r="K196" i="1589"/>
  <c r="J196" i="1589"/>
  <c r="I196" i="1589"/>
  <c r="M196" i="1589" s="1"/>
  <c r="L195" i="1589"/>
  <c r="I195" i="1589"/>
  <c r="K195" i="1589" s="1"/>
  <c r="I194" i="1589"/>
  <c r="L194" i="1589" s="1"/>
  <c r="K193" i="1589"/>
  <c r="J193" i="1589"/>
  <c r="I193" i="1589"/>
  <c r="M193" i="1589" s="1"/>
  <c r="L192" i="1589"/>
  <c r="K192" i="1589"/>
  <c r="J192" i="1589"/>
  <c r="I192" i="1589"/>
  <c r="M192" i="1589" s="1"/>
  <c r="L191" i="1589"/>
  <c r="I191" i="1589"/>
  <c r="K191" i="1589" s="1"/>
  <c r="I190" i="1589"/>
  <c r="L190" i="1589" s="1"/>
  <c r="M189" i="1589"/>
  <c r="M188" i="1589"/>
  <c r="H187" i="1589"/>
  <c r="G187" i="1589"/>
  <c r="F187" i="1589"/>
  <c r="E187" i="1589"/>
  <c r="K187" i="1589" s="1"/>
  <c r="I186" i="1589"/>
  <c r="L186" i="1589" s="1"/>
  <c r="K185" i="1589"/>
  <c r="J185" i="1589"/>
  <c r="I185" i="1589"/>
  <c r="M185" i="1589" s="1"/>
  <c r="L184" i="1589"/>
  <c r="K184" i="1589"/>
  <c r="J184" i="1589"/>
  <c r="I184" i="1589"/>
  <c r="M184" i="1589" s="1"/>
  <c r="L183" i="1589"/>
  <c r="I183" i="1589"/>
  <c r="K183" i="1589" s="1"/>
  <c r="I182" i="1589"/>
  <c r="L182" i="1589" s="1"/>
  <c r="M181" i="1589"/>
  <c r="M180" i="1589"/>
  <c r="L179" i="1589"/>
  <c r="I179" i="1589"/>
  <c r="K179" i="1589" s="1"/>
  <c r="M178" i="1589"/>
  <c r="M177" i="1589"/>
  <c r="L176" i="1589"/>
  <c r="K176" i="1589"/>
  <c r="J176" i="1589"/>
  <c r="I176" i="1589"/>
  <c r="M176" i="1589" s="1"/>
  <c r="M175" i="1589"/>
  <c r="M174" i="1589"/>
  <c r="K173" i="1589"/>
  <c r="J173" i="1589"/>
  <c r="I173" i="1589"/>
  <c r="M173" i="1589" s="1"/>
  <c r="L172" i="1589"/>
  <c r="K172" i="1589"/>
  <c r="J172" i="1589"/>
  <c r="I172" i="1589"/>
  <c r="M172" i="1589" s="1"/>
  <c r="L171" i="1589"/>
  <c r="I171" i="1589"/>
  <c r="K171" i="1589" s="1"/>
  <c r="I170" i="1589"/>
  <c r="L170" i="1589" s="1"/>
  <c r="K169" i="1589"/>
  <c r="J169" i="1589"/>
  <c r="I169" i="1589"/>
  <c r="M169" i="1589" s="1"/>
  <c r="L168" i="1589"/>
  <c r="K168" i="1589"/>
  <c r="J168" i="1589"/>
  <c r="I168" i="1589"/>
  <c r="M168" i="1589" s="1"/>
  <c r="L167" i="1589"/>
  <c r="I167" i="1589"/>
  <c r="K167" i="1589" s="1"/>
  <c r="M166" i="1589"/>
  <c r="M165" i="1589"/>
  <c r="L164" i="1589"/>
  <c r="K164" i="1589"/>
  <c r="J164" i="1589"/>
  <c r="I164" i="1589"/>
  <c r="M164" i="1589" s="1"/>
  <c r="M163" i="1589"/>
  <c r="M162" i="1589"/>
  <c r="H161" i="1589"/>
  <c r="G161" i="1589"/>
  <c r="F161" i="1589"/>
  <c r="E161" i="1589"/>
  <c r="L160" i="1589"/>
  <c r="K160" i="1589"/>
  <c r="J160" i="1589"/>
  <c r="I160" i="1589"/>
  <c r="M160" i="1589" s="1"/>
  <c r="L159" i="1589"/>
  <c r="I159" i="1589"/>
  <c r="I161" i="1589" s="1"/>
  <c r="M158" i="1589"/>
  <c r="M157" i="1589"/>
  <c r="L156" i="1589"/>
  <c r="K156" i="1589"/>
  <c r="J156" i="1589"/>
  <c r="I156" i="1589"/>
  <c r="M156" i="1589" s="1"/>
  <c r="M155" i="1589"/>
  <c r="M154" i="1589"/>
  <c r="H153" i="1589"/>
  <c r="G153" i="1589"/>
  <c r="G203" i="1589" s="1"/>
  <c r="F153" i="1589"/>
  <c r="F203" i="1589" s="1"/>
  <c r="E153" i="1589"/>
  <c r="L152" i="1589"/>
  <c r="K152" i="1589"/>
  <c r="J152" i="1589"/>
  <c r="I152" i="1589"/>
  <c r="M152" i="1589" s="1"/>
  <c r="L151" i="1589"/>
  <c r="I151" i="1589"/>
  <c r="K151" i="1589" s="1"/>
  <c r="I150" i="1589"/>
  <c r="L150" i="1589" s="1"/>
  <c r="K149" i="1589"/>
  <c r="J149" i="1589"/>
  <c r="I149" i="1589"/>
  <c r="M149" i="1589" s="1"/>
  <c r="L148" i="1589"/>
  <c r="K148" i="1589"/>
  <c r="J148" i="1589"/>
  <c r="I148" i="1589"/>
  <c r="M148" i="1589" s="1"/>
  <c r="L147" i="1589"/>
  <c r="I147" i="1589"/>
  <c r="K147" i="1589" s="1"/>
  <c r="I146" i="1589"/>
  <c r="L146" i="1589" s="1"/>
  <c r="K145" i="1589"/>
  <c r="J145" i="1589"/>
  <c r="I145" i="1589"/>
  <c r="I153" i="1589" s="1"/>
  <c r="M144" i="1589"/>
  <c r="M143" i="1589"/>
  <c r="I142" i="1589"/>
  <c r="L142" i="1589" s="1"/>
  <c r="M141" i="1589"/>
  <c r="M140" i="1589"/>
  <c r="D140" i="1589"/>
  <c r="M139" i="1589"/>
  <c r="M137" i="1589"/>
  <c r="M136" i="1589"/>
  <c r="H135" i="1589"/>
  <c r="G135" i="1589"/>
  <c r="F135" i="1589"/>
  <c r="K135" i="1589" s="1"/>
  <c r="E135" i="1589"/>
  <c r="L135" i="1589" s="1"/>
  <c r="K134" i="1589"/>
  <c r="J134" i="1589"/>
  <c r="I134" i="1589"/>
  <c r="M134" i="1589" s="1"/>
  <c r="L133" i="1589"/>
  <c r="K133" i="1589"/>
  <c r="J133" i="1589"/>
  <c r="I133" i="1589"/>
  <c r="M133" i="1589" s="1"/>
  <c r="L132" i="1589"/>
  <c r="I132" i="1589"/>
  <c r="K132" i="1589" s="1"/>
  <c r="I131" i="1589"/>
  <c r="L131" i="1589" s="1"/>
  <c r="K130" i="1589"/>
  <c r="J130" i="1589"/>
  <c r="I130" i="1589"/>
  <c r="M130" i="1589" s="1"/>
  <c r="L129" i="1589"/>
  <c r="K129" i="1589"/>
  <c r="J129" i="1589"/>
  <c r="I129" i="1589"/>
  <c r="M129" i="1589" s="1"/>
  <c r="L128" i="1589"/>
  <c r="I128" i="1589"/>
  <c r="K128" i="1589" s="1"/>
  <c r="I127" i="1589"/>
  <c r="L127" i="1589" s="1"/>
  <c r="K126" i="1589"/>
  <c r="J126" i="1589"/>
  <c r="I126" i="1589"/>
  <c r="M126" i="1589" s="1"/>
  <c r="L125" i="1589"/>
  <c r="K125" i="1589"/>
  <c r="J125" i="1589"/>
  <c r="I125" i="1589"/>
  <c r="M125" i="1589" s="1"/>
  <c r="M124" i="1589"/>
  <c r="M123" i="1589"/>
  <c r="H122" i="1589"/>
  <c r="G122" i="1589"/>
  <c r="L122" i="1589" s="1"/>
  <c r="F122" i="1589"/>
  <c r="K122" i="1589" s="1"/>
  <c r="E122" i="1589"/>
  <c r="I122" i="1589" s="1"/>
  <c r="M122" i="1589" s="1"/>
  <c r="L121" i="1589"/>
  <c r="K121" i="1589"/>
  <c r="J121" i="1589"/>
  <c r="I121" i="1589"/>
  <c r="M121" i="1589" s="1"/>
  <c r="L120" i="1589"/>
  <c r="I120" i="1589"/>
  <c r="K120" i="1589" s="1"/>
  <c r="I119" i="1589"/>
  <c r="L119" i="1589" s="1"/>
  <c r="K118" i="1589"/>
  <c r="J118" i="1589"/>
  <c r="I118" i="1589"/>
  <c r="M118" i="1589" s="1"/>
  <c r="L117" i="1589"/>
  <c r="K117" i="1589"/>
  <c r="J117" i="1589"/>
  <c r="I117" i="1589"/>
  <c r="M117" i="1589" s="1"/>
  <c r="M116" i="1589"/>
  <c r="M115" i="1589"/>
  <c r="K114" i="1589"/>
  <c r="J114" i="1589"/>
  <c r="I114" i="1589"/>
  <c r="M114" i="1589" s="1"/>
  <c r="M113" i="1589"/>
  <c r="M112" i="1589"/>
  <c r="I111" i="1589"/>
  <c r="L111" i="1589" s="1"/>
  <c r="M110" i="1589"/>
  <c r="M109" i="1589"/>
  <c r="L108" i="1589"/>
  <c r="I108" i="1589"/>
  <c r="K108" i="1589" s="1"/>
  <c r="I107" i="1589"/>
  <c r="L107" i="1589" s="1"/>
  <c r="K106" i="1589"/>
  <c r="J106" i="1589"/>
  <c r="I106" i="1589"/>
  <c r="M106" i="1589" s="1"/>
  <c r="L105" i="1589"/>
  <c r="K105" i="1589"/>
  <c r="J105" i="1589"/>
  <c r="I105" i="1589"/>
  <c r="M105" i="1589" s="1"/>
  <c r="L104" i="1589"/>
  <c r="I104" i="1589"/>
  <c r="K104" i="1589" s="1"/>
  <c r="I103" i="1589"/>
  <c r="L103" i="1589" s="1"/>
  <c r="K102" i="1589"/>
  <c r="J102" i="1589"/>
  <c r="I102" i="1589"/>
  <c r="M102" i="1589" s="1"/>
  <c r="M101" i="1589"/>
  <c r="M100" i="1589"/>
  <c r="I99" i="1589"/>
  <c r="L99" i="1589" s="1"/>
  <c r="M98" i="1589"/>
  <c r="M97" i="1589"/>
  <c r="H96" i="1589"/>
  <c r="G96" i="1589"/>
  <c r="F96" i="1589"/>
  <c r="E96" i="1589"/>
  <c r="I95" i="1589"/>
  <c r="L95" i="1589" s="1"/>
  <c r="K94" i="1589"/>
  <c r="J94" i="1589"/>
  <c r="I94" i="1589"/>
  <c r="M94" i="1589" s="1"/>
  <c r="M93" i="1589"/>
  <c r="M92" i="1589"/>
  <c r="I91" i="1589"/>
  <c r="L91" i="1589" s="1"/>
  <c r="M90" i="1589"/>
  <c r="M89" i="1589"/>
  <c r="L88" i="1589"/>
  <c r="H88" i="1589"/>
  <c r="G88" i="1589"/>
  <c r="F88" i="1589"/>
  <c r="E88" i="1589"/>
  <c r="E138" i="1589" s="1"/>
  <c r="M87" i="1589"/>
  <c r="I87" i="1589"/>
  <c r="K86" i="1589"/>
  <c r="J86" i="1589"/>
  <c r="I86" i="1589"/>
  <c r="M86" i="1589" s="1"/>
  <c r="L85" i="1589"/>
  <c r="K85" i="1589"/>
  <c r="J85" i="1589"/>
  <c r="I85" i="1589"/>
  <c r="M85" i="1589" s="1"/>
  <c r="M84" i="1589"/>
  <c r="L84" i="1589"/>
  <c r="I84" i="1589"/>
  <c r="K84" i="1589" s="1"/>
  <c r="M83" i="1589"/>
  <c r="I83" i="1589"/>
  <c r="K82" i="1589"/>
  <c r="J82" i="1589"/>
  <c r="I82" i="1589"/>
  <c r="M82" i="1589" s="1"/>
  <c r="L81" i="1589"/>
  <c r="K81" i="1589"/>
  <c r="J81" i="1589"/>
  <c r="I81" i="1589"/>
  <c r="M81" i="1589" s="1"/>
  <c r="L80" i="1589"/>
  <c r="I80" i="1589"/>
  <c r="K80" i="1589" s="1"/>
  <c r="M79" i="1589"/>
  <c r="M78" i="1589"/>
  <c r="L77" i="1589"/>
  <c r="K77" i="1589"/>
  <c r="J77" i="1589"/>
  <c r="I77" i="1589"/>
  <c r="M77" i="1589" s="1"/>
  <c r="M76" i="1589"/>
  <c r="M75" i="1589"/>
  <c r="D75" i="1589"/>
  <c r="M74" i="1589"/>
  <c r="H73" i="1589"/>
  <c r="M72" i="1589"/>
  <c r="M71" i="1589"/>
  <c r="L70" i="1589"/>
  <c r="H70" i="1589"/>
  <c r="G70" i="1589"/>
  <c r="F70" i="1589"/>
  <c r="E70" i="1589"/>
  <c r="K70" i="1589" s="1"/>
  <c r="I69" i="1589"/>
  <c r="M69" i="1589" s="1"/>
  <c r="K68" i="1589"/>
  <c r="J68" i="1589"/>
  <c r="I68" i="1589"/>
  <c r="M68" i="1589" s="1"/>
  <c r="L67" i="1589"/>
  <c r="K67" i="1589"/>
  <c r="J67" i="1589"/>
  <c r="I67" i="1589"/>
  <c r="M67" i="1589" s="1"/>
  <c r="L66" i="1589"/>
  <c r="I66" i="1589"/>
  <c r="K66" i="1589" s="1"/>
  <c r="M65" i="1589"/>
  <c r="I65" i="1589"/>
  <c r="K64" i="1589"/>
  <c r="J64" i="1589"/>
  <c r="I64" i="1589"/>
  <c r="M64" i="1589" s="1"/>
  <c r="L63" i="1589"/>
  <c r="K63" i="1589"/>
  <c r="J63" i="1589"/>
  <c r="I63" i="1589"/>
  <c r="M63" i="1589" s="1"/>
  <c r="M62" i="1589"/>
  <c r="L62" i="1589"/>
  <c r="I62" i="1589"/>
  <c r="K62" i="1589" s="1"/>
  <c r="M61" i="1589"/>
  <c r="I61" i="1589"/>
  <c r="K60" i="1589"/>
  <c r="J60" i="1589"/>
  <c r="I60" i="1589"/>
  <c r="M60" i="1589" s="1"/>
  <c r="M59" i="1589"/>
  <c r="M58" i="1589"/>
  <c r="H57" i="1589"/>
  <c r="G57" i="1589"/>
  <c r="F57" i="1589"/>
  <c r="E57" i="1589"/>
  <c r="K56" i="1589"/>
  <c r="J56" i="1589"/>
  <c r="I56" i="1589"/>
  <c r="M56" i="1589" s="1"/>
  <c r="L55" i="1589"/>
  <c r="K55" i="1589"/>
  <c r="J55" i="1589"/>
  <c r="I55" i="1589"/>
  <c r="M55" i="1589" s="1"/>
  <c r="M54" i="1589"/>
  <c r="L54" i="1589"/>
  <c r="I54" i="1589"/>
  <c r="K54" i="1589" s="1"/>
  <c r="I53" i="1589"/>
  <c r="K52" i="1589"/>
  <c r="J52" i="1589"/>
  <c r="I52" i="1589"/>
  <c r="M52" i="1589" s="1"/>
  <c r="M51" i="1589"/>
  <c r="M50" i="1589"/>
  <c r="M49" i="1589"/>
  <c r="I49" i="1589"/>
  <c r="M48" i="1589"/>
  <c r="M47" i="1589"/>
  <c r="L46" i="1589"/>
  <c r="I46" i="1589"/>
  <c r="K46" i="1589" s="1"/>
  <c r="M45" i="1589"/>
  <c r="M44" i="1589"/>
  <c r="L43" i="1589"/>
  <c r="K43" i="1589"/>
  <c r="J43" i="1589"/>
  <c r="I43" i="1589"/>
  <c r="M43" i="1589" s="1"/>
  <c r="M42" i="1589"/>
  <c r="L42" i="1589"/>
  <c r="I42" i="1589"/>
  <c r="K42" i="1589" s="1"/>
  <c r="I41" i="1589"/>
  <c r="M41" i="1589" s="1"/>
  <c r="K40" i="1589"/>
  <c r="J40" i="1589"/>
  <c r="I40" i="1589"/>
  <c r="M40" i="1589" s="1"/>
  <c r="L39" i="1589"/>
  <c r="K39" i="1589"/>
  <c r="J39" i="1589"/>
  <c r="I39" i="1589"/>
  <c r="M39" i="1589" s="1"/>
  <c r="L38" i="1589"/>
  <c r="I38" i="1589"/>
  <c r="K38" i="1589" s="1"/>
  <c r="M37" i="1589"/>
  <c r="I37" i="1589"/>
  <c r="M36" i="1589"/>
  <c r="M35" i="1589"/>
  <c r="L34" i="1589"/>
  <c r="I34" i="1589"/>
  <c r="K34" i="1589" s="1"/>
  <c r="M33" i="1589"/>
  <c r="M32" i="1589"/>
  <c r="H31" i="1589"/>
  <c r="G31" i="1589"/>
  <c r="F31" i="1589"/>
  <c r="E31" i="1589"/>
  <c r="L30" i="1589"/>
  <c r="I30" i="1589"/>
  <c r="K30" i="1589" s="1"/>
  <c r="I29" i="1589"/>
  <c r="M28" i="1589"/>
  <c r="M27" i="1589"/>
  <c r="L26" i="1589"/>
  <c r="I26" i="1589"/>
  <c r="K26" i="1589" s="1"/>
  <c r="M25" i="1589"/>
  <c r="M24" i="1589"/>
  <c r="H23" i="1589"/>
  <c r="G23" i="1589"/>
  <c r="F23" i="1589"/>
  <c r="J23" i="1589" s="1"/>
  <c r="E23" i="1589"/>
  <c r="M22" i="1589"/>
  <c r="L22" i="1589"/>
  <c r="I22" i="1589"/>
  <c r="K22" i="1589" s="1"/>
  <c r="I21" i="1589"/>
  <c r="K20" i="1589"/>
  <c r="J20" i="1589"/>
  <c r="I20" i="1589"/>
  <c r="M20" i="1589" s="1"/>
  <c r="L19" i="1589"/>
  <c r="K19" i="1589"/>
  <c r="J19" i="1589"/>
  <c r="I19" i="1589"/>
  <c r="M19" i="1589" s="1"/>
  <c r="L18" i="1589"/>
  <c r="I18" i="1589"/>
  <c r="K18" i="1589" s="1"/>
  <c r="M17" i="1589"/>
  <c r="I17" i="1589"/>
  <c r="K16" i="1589"/>
  <c r="J16" i="1589"/>
  <c r="I16" i="1589"/>
  <c r="M16" i="1589" s="1"/>
  <c r="L15" i="1589"/>
  <c r="K15" i="1589"/>
  <c r="J15" i="1589"/>
  <c r="I15" i="1589"/>
  <c r="I23" i="1589" s="1"/>
  <c r="M14" i="1589"/>
  <c r="M13" i="1589"/>
  <c r="K12" i="1589"/>
  <c r="J12" i="1589"/>
  <c r="I12" i="1589"/>
  <c r="M12" i="1589" s="1"/>
  <c r="D10" i="1589"/>
  <c r="G73" i="1589" l="1"/>
  <c r="L23" i="1589"/>
  <c r="M31" i="1589"/>
  <c r="L37" i="1589"/>
  <c r="J37" i="1589"/>
  <c r="K37" i="1589"/>
  <c r="L61" i="1589"/>
  <c r="I70" i="1589"/>
  <c r="J61" i="1589"/>
  <c r="K61" i="1589"/>
  <c r="L65" i="1589"/>
  <c r="J65" i="1589"/>
  <c r="K65" i="1589"/>
  <c r="M70" i="1589"/>
  <c r="K161" i="1589"/>
  <c r="J356" i="1589"/>
  <c r="M283" i="1589"/>
  <c r="L29" i="1589"/>
  <c r="J29" i="1589"/>
  <c r="I31" i="1589"/>
  <c r="K29" i="1589"/>
  <c r="M96" i="1589"/>
  <c r="M153" i="1589"/>
  <c r="M161" i="1589"/>
  <c r="J161" i="1589"/>
  <c r="L161" i="1589"/>
  <c r="K291" i="1589"/>
  <c r="L31" i="1589"/>
  <c r="L41" i="1589"/>
  <c r="K41" i="1589"/>
  <c r="J41" i="1589"/>
  <c r="L69" i="1589"/>
  <c r="K69" i="1589"/>
  <c r="J69" i="1589"/>
  <c r="M291" i="1589"/>
  <c r="J291" i="1589"/>
  <c r="L421" i="1589"/>
  <c r="L21" i="1589"/>
  <c r="J21" i="1589"/>
  <c r="K21" i="1589"/>
  <c r="M23" i="1589"/>
  <c r="L53" i="1589"/>
  <c r="J53" i="1589"/>
  <c r="K53" i="1589"/>
  <c r="L57" i="1589"/>
  <c r="J57" i="1589"/>
  <c r="I57" i="1589"/>
  <c r="M57" i="1589" s="1"/>
  <c r="L17" i="1589"/>
  <c r="J17" i="1589"/>
  <c r="K17" i="1589"/>
  <c r="M21" i="1589"/>
  <c r="K23" i="1589"/>
  <c r="M29" i="1589"/>
  <c r="L49" i="1589"/>
  <c r="K49" i="1589"/>
  <c r="J49" i="1589"/>
  <c r="M53" i="1589"/>
  <c r="K57" i="1589"/>
  <c r="L83" i="1589"/>
  <c r="K83" i="1589"/>
  <c r="J83" i="1589"/>
  <c r="L87" i="1589"/>
  <c r="J87" i="1589"/>
  <c r="K87" i="1589"/>
  <c r="J96" i="1589"/>
  <c r="L291" i="1589"/>
  <c r="M330" i="1589"/>
  <c r="K398" i="1589"/>
  <c r="M95" i="1589"/>
  <c r="M119" i="1589"/>
  <c r="J122" i="1589"/>
  <c r="M127" i="1589"/>
  <c r="M131" i="1589"/>
  <c r="I135" i="1589"/>
  <c r="M135" i="1589" s="1"/>
  <c r="F138" i="1589"/>
  <c r="M142" i="1589"/>
  <c r="M146" i="1589"/>
  <c r="M150" i="1589"/>
  <c r="J153" i="1589"/>
  <c r="M170" i="1589"/>
  <c r="M182" i="1589"/>
  <c r="M186" i="1589"/>
  <c r="L187" i="1589"/>
  <c r="M190" i="1589"/>
  <c r="M194" i="1589"/>
  <c r="M198" i="1589"/>
  <c r="K200" i="1589"/>
  <c r="H203" i="1589"/>
  <c r="L210" i="1589"/>
  <c r="M213" i="1589"/>
  <c r="L214" i="1589"/>
  <c r="M217" i="1589"/>
  <c r="L218" i="1589"/>
  <c r="M221" i="1589"/>
  <c r="M225" i="1589"/>
  <c r="L226" i="1589"/>
  <c r="M229" i="1589"/>
  <c r="M233" i="1589"/>
  <c r="L234" i="1589"/>
  <c r="M237" i="1589"/>
  <c r="L238" i="1589"/>
  <c r="M241" i="1589"/>
  <c r="M249" i="1589"/>
  <c r="L250" i="1589"/>
  <c r="M257" i="1589"/>
  <c r="L258" i="1589"/>
  <c r="M261" i="1589"/>
  <c r="L262" i="1589"/>
  <c r="I265" i="1589"/>
  <c r="M265" i="1589" s="1"/>
  <c r="F268" i="1589"/>
  <c r="K268" i="1589" s="1"/>
  <c r="M272" i="1589"/>
  <c r="M276" i="1589"/>
  <c r="M280" i="1589"/>
  <c r="J283" i="1589"/>
  <c r="L289" i="1589"/>
  <c r="M300" i="1589"/>
  <c r="M312" i="1589"/>
  <c r="M316" i="1589"/>
  <c r="L317" i="1589"/>
  <c r="M320" i="1589"/>
  <c r="M324" i="1589"/>
  <c r="M328" i="1589"/>
  <c r="K330" i="1589"/>
  <c r="H333" i="1589"/>
  <c r="M343" i="1589"/>
  <c r="M347" i="1589"/>
  <c r="L348" i="1589"/>
  <c r="M351" i="1589"/>
  <c r="M355" i="1589"/>
  <c r="M359" i="1589"/>
  <c r="M363" i="1589"/>
  <c r="J395" i="1589"/>
  <c r="H463" i="1589"/>
  <c r="M413" i="1589"/>
  <c r="L439" i="1589"/>
  <c r="K439" i="1589"/>
  <c r="L443" i="1589"/>
  <c r="K443" i="1589"/>
  <c r="K452" i="1589"/>
  <c r="J452" i="1589"/>
  <c r="K463" i="1589"/>
  <c r="K467" i="1589"/>
  <c r="J467" i="1589"/>
  <c r="K471" i="1589"/>
  <c r="J471" i="1589"/>
  <c r="F528" i="1589"/>
  <c r="K478" i="1589"/>
  <c r="J478" i="1589"/>
  <c r="L494" i="1589"/>
  <c r="K494" i="1589"/>
  <c r="J494" i="1589"/>
  <c r="L551" i="1589"/>
  <c r="M99" i="1589"/>
  <c r="M103" i="1589"/>
  <c r="M66" i="1589"/>
  <c r="J91" i="1589"/>
  <c r="J99" i="1589"/>
  <c r="J119" i="1589"/>
  <c r="M128" i="1589"/>
  <c r="J142" i="1589"/>
  <c r="M151" i="1589"/>
  <c r="M171" i="1589"/>
  <c r="J182" i="1589"/>
  <c r="J186" i="1589"/>
  <c r="I187" i="1589"/>
  <c r="M187" i="1589" s="1"/>
  <c r="M191" i="1589"/>
  <c r="E203" i="1589"/>
  <c r="J203" i="1589" s="1"/>
  <c r="M210" i="1589"/>
  <c r="M214" i="1589"/>
  <c r="M226" i="1589"/>
  <c r="M234" i="1589"/>
  <c r="M238" i="1589"/>
  <c r="M250" i="1589"/>
  <c r="K252" i="1589"/>
  <c r="M258" i="1589"/>
  <c r="M262" i="1589"/>
  <c r="J265" i="1589"/>
  <c r="G268" i="1589"/>
  <c r="J272" i="1589"/>
  <c r="J276" i="1589"/>
  <c r="M277" i="1589"/>
  <c r="J280" i="1589"/>
  <c r="M281" i="1589"/>
  <c r="K283" i="1589"/>
  <c r="M289" i="1589"/>
  <c r="M297" i="1589"/>
  <c r="J300" i="1589"/>
  <c r="M301" i="1589"/>
  <c r="M309" i="1589"/>
  <c r="J312" i="1589"/>
  <c r="M313" i="1589"/>
  <c r="J316" i="1589"/>
  <c r="I317" i="1589"/>
  <c r="M317" i="1589" s="1"/>
  <c r="J320" i="1589"/>
  <c r="M321" i="1589"/>
  <c r="J324" i="1589"/>
  <c r="M325" i="1589"/>
  <c r="J328" i="1589"/>
  <c r="M329" i="1589"/>
  <c r="E333" i="1589"/>
  <c r="J333" i="1589" s="1"/>
  <c r="M340" i="1589"/>
  <c r="J343" i="1589"/>
  <c r="M344" i="1589"/>
  <c r="J347" i="1589"/>
  <c r="I348" i="1589"/>
  <c r="M348" i="1589"/>
  <c r="J351" i="1589"/>
  <c r="J355" i="1589"/>
  <c r="I356" i="1589"/>
  <c r="M356" i="1589" s="1"/>
  <c r="J359" i="1589"/>
  <c r="J363" i="1589"/>
  <c r="M364" i="1589"/>
  <c r="J367" i="1589"/>
  <c r="J368" i="1589"/>
  <c r="L395" i="1589"/>
  <c r="K395" i="1589"/>
  <c r="J413" i="1589"/>
  <c r="K424" i="1589"/>
  <c r="J424" i="1589"/>
  <c r="K428" i="1589"/>
  <c r="J428" i="1589"/>
  <c r="J439" i="1589"/>
  <c r="J443" i="1589"/>
  <c r="I447" i="1589"/>
  <c r="M447" i="1589" s="1"/>
  <c r="L451" i="1589"/>
  <c r="K451" i="1589"/>
  <c r="L452" i="1589"/>
  <c r="K456" i="1589"/>
  <c r="J456" i="1589"/>
  <c r="L467" i="1589"/>
  <c r="L470" i="1589"/>
  <c r="K470" i="1589"/>
  <c r="L471" i="1589"/>
  <c r="K475" i="1589"/>
  <c r="J475" i="1589"/>
  <c r="K486" i="1589"/>
  <c r="M486" i="1589"/>
  <c r="M494" i="1589"/>
  <c r="M91" i="1589"/>
  <c r="M107" i="1589"/>
  <c r="M26" i="1589"/>
  <c r="M30" i="1589"/>
  <c r="E73" i="1589"/>
  <c r="J73" i="1589" s="1"/>
  <c r="I88" i="1589"/>
  <c r="I138" i="1589" s="1"/>
  <c r="J95" i="1589"/>
  <c r="I96" i="1589"/>
  <c r="J103" i="1589"/>
  <c r="M104" i="1589"/>
  <c r="J107" i="1589"/>
  <c r="M108" i="1589"/>
  <c r="J135" i="1589"/>
  <c r="G138" i="1589"/>
  <c r="L138" i="1589" s="1"/>
  <c r="J146" i="1589"/>
  <c r="M147" i="1589"/>
  <c r="J150" i="1589"/>
  <c r="K153" i="1589"/>
  <c r="M159" i="1589"/>
  <c r="M167" i="1589"/>
  <c r="J170" i="1589"/>
  <c r="M179" i="1589"/>
  <c r="M183" i="1589"/>
  <c r="J190" i="1589"/>
  <c r="J194" i="1589"/>
  <c r="M195" i="1589"/>
  <c r="J198" i="1589"/>
  <c r="M199" i="1589"/>
  <c r="I218" i="1589"/>
  <c r="L12" i="1589"/>
  <c r="M15" i="1589"/>
  <c r="L16" i="1589"/>
  <c r="J18" i="1589"/>
  <c r="L20" i="1589"/>
  <c r="J22" i="1589"/>
  <c r="J26" i="1589"/>
  <c r="J30" i="1589"/>
  <c r="J34" i="1589"/>
  <c r="J38" i="1589"/>
  <c r="L40" i="1589"/>
  <c r="J42" i="1589"/>
  <c r="J46" i="1589"/>
  <c r="L52" i="1589"/>
  <c r="J54" i="1589"/>
  <c r="L56" i="1589"/>
  <c r="L60" i="1589"/>
  <c r="J62" i="1589"/>
  <c r="L64" i="1589"/>
  <c r="J66" i="1589"/>
  <c r="L68" i="1589"/>
  <c r="J70" i="1589"/>
  <c r="F73" i="1589"/>
  <c r="J80" i="1589"/>
  <c r="L82" i="1589"/>
  <c r="J84" i="1589"/>
  <c r="L86" i="1589"/>
  <c r="J88" i="1589"/>
  <c r="K91" i="1589"/>
  <c r="L94" i="1589"/>
  <c r="K95" i="1589"/>
  <c r="K99" i="1589"/>
  <c r="L102" i="1589"/>
  <c r="K103" i="1589"/>
  <c r="J104" i="1589"/>
  <c r="L106" i="1589"/>
  <c r="K107" i="1589"/>
  <c r="J108" i="1589"/>
  <c r="K111" i="1589"/>
  <c r="L114" i="1589"/>
  <c r="L118" i="1589"/>
  <c r="K119" i="1589"/>
  <c r="J120" i="1589"/>
  <c r="L126" i="1589"/>
  <c r="K127" i="1589"/>
  <c r="J128" i="1589"/>
  <c r="L130" i="1589"/>
  <c r="K131" i="1589"/>
  <c r="J132" i="1589"/>
  <c r="L134" i="1589"/>
  <c r="H138" i="1589"/>
  <c r="K142" i="1589"/>
  <c r="L145" i="1589"/>
  <c r="K146" i="1589"/>
  <c r="J147" i="1589"/>
  <c r="L149" i="1589"/>
  <c r="K150" i="1589"/>
  <c r="J151" i="1589"/>
  <c r="L153" i="1589"/>
  <c r="J159" i="1589"/>
  <c r="J167" i="1589"/>
  <c r="L169" i="1589"/>
  <c r="K170" i="1589"/>
  <c r="J171" i="1589"/>
  <c r="L173" i="1589"/>
  <c r="J179" i="1589"/>
  <c r="K182" i="1589"/>
  <c r="J183" i="1589"/>
  <c r="L185" i="1589"/>
  <c r="K186" i="1589"/>
  <c r="J187" i="1589"/>
  <c r="K190" i="1589"/>
  <c r="J191" i="1589"/>
  <c r="L193" i="1589"/>
  <c r="K194" i="1589"/>
  <c r="J195" i="1589"/>
  <c r="L197" i="1589"/>
  <c r="K198" i="1589"/>
  <c r="J199" i="1589"/>
  <c r="I200" i="1589"/>
  <c r="I203" i="1589" s="1"/>
  <c r="J210" i="1589"/>
  <c r="L212" i="1589"/>
  <c r="K213" i="1589"/>
  <c r="J214" i="1589"/>
  <c r="L216" i="1589"/>
  <c r="K217" i="1589"/>
  <c r="J218" i="1589"/>
  <c r="K221" i="1589"/>
  <c r="L224" i="1589"/>
  <c r="K225" i="1589"/>
  <c r="K229" i="1589"/>
  <c r="L232" i="1589"/>
  <c r="K233" i="1589"/>
  <c r="J234" i="1589"/>
  <c r="L236" i="1589"/>
  <c r="K237" i="1589"/>
  <c r="J238" i="1589"/>
  <c r="K241" i="1589"/>
  <c r="L244" i="1589"/>
  <c r="L248" i="1589"/>
  <c r="K249" i="1589"/>
  <c r="J250" i="1589"/>
  <c r="L256" i="1589"/>
  <c r="K257" i="1589"/>
  <c r="J258" i="1589"/>
  <c r="L260" i="1589"/>
  <c r="K261" i="1589"/>
  <c r="J262" i="1589"/>
  <c r="L264" i="1589"/>
  <c r="K272" i="1589"/>
  <c r="L275" i="1589"/>
  <c r="K276" i="1589"/>
  <c r="J277" i="1589"/>
  <c r="L279" i="1589"/>
  <c r="K280" i="1589"/>
  <c r="J281" i="1589"/>
  <c r="L283" i="1589"/>
  <c r="J289" i="1589"/>
  <c r="J297" i="1589"/>
  <c r="L299" i="1589"/>
  <c r="K300" i="1589"/>
  <c r="J301" i="1589"/>
  <c r="L303" i="1589"/>
  <c r="J309" i="1589"/>
  <c r="K312" i="1589"/>
  <c r="J313" i="1589"/>
  <c r="L315" i="1589"/>
  <c r="K316" i="1589"/>
  <c r="J317" i="1589"/>
  <c r="K320" i="1589"/>
  <c r="J321" i="1589"/>
  <c r="L323" i="1589"/>
  <c r="K324" i="1589"/>
  <c r="J325" i="1589"/>
  <c r="L327" i="1589"/>
  <c r="K328" i="1589"/>
  <c r="J329" i="1589"/>
  <c r="I330" i="1589"/>
  <c r="I333" i="1589" s="1"/>
  <c r="J340" i="1589"/>
  <c r="L342" i="1589"/>
  <c r="K343" i="1589"/>
  <c r="J344" i="1589"/>
  <c r="L346" i="1589"/>
  <c r="K347" i="1589"/>
  <c r="J348" i="1589"/>
  <c r="K351" i="1589"/>
  <c r="L354" i="1589"/>
  <c r="K355" i="1589"/>
  <c r="K359" i="1589"/>
  <c r="L362" i="1589"/>
  <c r="K363" i="1589"/>
  <c r="J364" i="1589"/>
  <c r="L366" i="1589"/>
  <c r="K367" i="1589"/>
  <c r="L368" i="1589"/>
  <c r="I382" i="1589"/>
  <c r="M382" i="1589" s="1"/>
  <c r="J382" i="1589"/>
  <c r="M385" i="1589"/>
  <c r="M387" i="1589"/>
  <c r="M388" i="1589"/>
  <c r="M389" i="1589"/>
  <c r="M391" i="1589"/>
  <c r="M392" i="1589"/>
  <c r="M393" i="1589"/>
  <c r="M402" i="1589"/>
  <c r="J406" i="1589"/>
  <c r="J407" i="1589"/>
  <c r="K408" i="1589"/>
  <c r="J410" i="1589"/>
  <c r="J411" i="1589"/>
  <c r="K412" i="1589"/>
  <c r="K416" i="1589"/>
  <c r="J416" i="1589"/>
  <c r="K420" i="1589"/>
  <c r="J420" i="1589"/>
  <c r="L424" i="1589"/>
  <c r="L427" i="1589"/>
  <c r="K427" i="1589"/>
  <c r="L428" i="1589"/>
  <c r="K432" i="1589"/>
  <c r="J432" i="1589"/>
  <c r="M439" i="1589"/>
  <c r="M443" i="1589"/>
  <c r="K447" i="1589"/>
  <c r="J447" i="1589"/>
  <c r="J451" i="1589"/>
  <c r="M452" i="1589"/>
  <c r="L455" i="1589"/>
  <c r="K455" i="1589"/>
  <c r="L456" i="1589"/>
  <c r="K460" i="1589"/>
  <c r="J460" i="1589"/>
  <c r="I460" i="1589"/>
  <c r="M460" i="1589" s="1"/>
  <c r="M467" i="1589"/>
  <c r="J470" i="1589"/>
  <c r="M471" i="1589"/>
  <c r="L474" i="1589"/>
  <c r="K474" i="1589"/>
  <c r="L475" i="1589"/>
  <c r="M111" i="1589"/>
  <c r="M18" i="1589"/>
  <c r="M34" i="1589"/>
  <c r="M38" i="1589"/>
  <c r="M46" i="1589"/>
  <c r="M80" i="1589"/>
  <c r="J111" i="1589"/>
  <c r="M120" i="1589"/>
  <c r="J127" i="1589"/>
  <c r="J131" i="1589"/>
  <c r="M132" i="1589"/>
  <c r="K88" i="1589"/>
  <c r="M145" i="1589"/>
  <c r="K159" i="1589"/>
  <c r="K218" i="1589"/>
  <c r="M275" i="1589"/>
  <c r="K289" i="1589"/>
  <c r="K348" i="1589"/>
  <c r="M367" i="1589"/>
  <c r="M368" i="1589"/>
  <c r="I395" i="1589"/>
  <c r="M395" i="1589" s="1"/>
  <c r="K406" i="1589"/>
  <c r="L407" i="1589"/>
  <c r="L408" i="1589"/>
  <c r="K410" i="1589"/>
  <c r="L411" i="1589"/>
  <c r="L412" i="1589"/>
  <c r="L463" i="1589"/>
  <c r="L413" i="1589"/>
  <c r="L419" i="1589"/>
  <c r="I421" i="1589"/>
  <c r="K419" i="1589"/>
  <c r="M424" i="1589"/>
  <c r="M428" i="1589"/>
  <c r="L431" i="1589"/>
  <c r="K431" i="1589"/>
  <c r="K436" i="1589"/>
  <c r="J436" i="1589"/>
  <c r="K444" i="1589"/>
  <c r="J444" i="1589"/>
  <c r="M451" i="1589"/>
  <c r="J455" i="1589"/>
  <c r="M456" i="1589"/>
  <c r="L459" i="1589"/>
  <c r="K459" i="1589"/>
  <c r="E463" i="1589"/>
  <c r="M470" i="1589"/>
  <c r="J474" i="1589"/>
  <c r="M475" i="1589"/>
  <c r="L478" i="1589"/>
  <c r="E528" i="1589"/>
  <c r="J528" i="1589" s="1"/>
  <c r="I478" i="1589"/>
  <c r="L498" i="1589"/>
  <c r="K498" i="1589"/>
  <c r="J498" i="1589"/>
  <c r="L593" i="1589"/>
  <c r="M510" i="1589"/>
  <c r="K512" i="1589"/>
  <c r="M518" i="1589"/>
  <c r="M522" i="1589"/>
  <c r="J525" i="1589"/>
  <c r="G528" i="1589"/>
  <c r="M537" i="1589"/>
  <c r="M541" i="1589"/>
  <c r="K543" i="1589"/>
  <c r="M549" i="1589"/>
  <c r="M557" i="1589"/>
  <c r="J590" i="1589"/>
  <c r="K602" i="1589"/>
  <c r="J602" i="1589"/>
  <c r="K608" i="1589"/>
  <c r="I616" i="1589"/>
  <c r="J616" i="1589" s="1"/>
  <c r="K614" i="1589"/>
  <c r="J614" i="1589"/>
  <c r="K626" i="1589"/>
  <c r="J626" i="1589"/>
  <c r="L649" i="1589"/>
  <c r="K649" i="1589"/>
  <c r="M655" i="1589"/>
  <c r="L668" i="1589"/>
  <c r="K668" i="1589"/>
  <c r="J668" i="1589"/>
  <c r="H723" i="1589"/>
  <c r="L676" i="1589"/>
  <c r="K676" i="1589"/>
  <c r="J676" i="1589"/>
  <c r="L680" i="1589"/>
  <c r="K680" i="1589"/>
  <c r="I681" i="1589"/>
  <c r="L681" i="1589" s="1"/>
  <c r="J680" i="1589"/>
  <c r="M495" i="1589"/>
  <c r="M507" i="1589"/>
  <c r="J510" i="1589"/>
  <c r="M511" i="1589"/>
  <c r="M515" i="1589"/>
  <c r="J518" i="1589"/>
  <c r="M519" i="1589"/>
  <c r="J522" i="1589"/>
  <c r="M523" i="1589"/>
  <c r="J537" i="1589"/>
  <c r="M538" i="1589"/>
  <c r="J541" i="1589"/>
  <c r="M542" i="1589"/>
  <c r="L543" i="1589"/>
  <c r="M546" i="1589"/>
  <c r="J549" i="1589"/>
  <c r="M550" i="1589"/>
  <c r="M554" i="1589"/>
  <c r="J557" i="1589"/>
  <c r="M558" i="1589"/>
  <c r="J561" i="1589"/>
  <c r="J562" i="1589"/>
  <c r="J563" i="1589"/>
  <c r="L590" i="1589"/>
  <c r="F593" i="1589"/>
  <c r="I608" i="1589"/>
  <c r="L601" i="1589"/>
  <c r="K601" i="1589"/>
  <c r="L602" i="1589"/>
  <c r="K606" i="1589"/>
  <c r="J606" i="1589"/>
  <c r="G658" i="1589"/>
  <c r="L658" i="1589" s="1"/>
  <c r="L608" i="1589"/>
  <c r="L614" i="1589"/>
  <c r="L625" i="1589"/>
  <c r="K625" i="1589"/>
  <c r="L626" i="1589"/>
  <c r="K634" i="1589"/>
  <c r="J634" i="1589"/>
  <c r="K638" i="1589"/>
  <c r="J638" i="1589"/>
  <c r="J649" i="1589"/>
  <c r="L653" i="1589"/>
  <c r="K653" i="1589"/>
  <c r="J653" i="1589"/>
  <c r="M668" i="1589"/>
  <c r="L673" i="1589"/>
  <c r="M676" i="1589"/>
  <c r="M680" i="1589"/>
  <c r="M681" i="1589"/>
  <c r="K876" i="1589"/>
  <c r="M405" i="1589"/>
  <c r="L430" i="1589"/>
  <c r="L442" i="1589"/>
  <c r="L446" i="1589"/>
  <c r="L450" i="1589"/>
  <c r="L454" i="1589"/>
  <c r="L458" i="1589"/>
  <c r="L473" i="1589"/>
  <c r="L477" i="1589"/>
  <c r="L481" i="1589"/>
  <c r="L485" i="1589"/>
  <c r="L489" i="1589"/>
  <c r="L493" i="1589"/>
  <c r="J495" i="1589"/>
  <c r="L497" i="1589"/>
  <c r="L501" i="1589"/>
  <c r="J507" i="1589"/>
  <c r="L509" i="1589"/>
  <c r="K510" i="1589"/>
  <c r="J511" i="1589"/>
  <c r="J515" i="1589"/>
  <c r="L517" i="1589"/>
  <c r="K518" i="1589"/>
  <c r="J519" i="1589"/>
  <c r="L521" i="1589"/>
  <c r="K522" i="1589"/>
  <c r="J523" i="1589"/>
  <c r="L532" i="1589"/>
  <c r="M535" i="1589"/>
  <c r="L536" i="1589"/>
  <c r="K537" i="1589"/>
  <c r="J538" i="1589"/>
  <c r="L540" i="1589"/>
  <c r="K541" i="1589"/>
  <c r="J542" i="1589"/>
  <c r="M543" i="1589"/>
  <c r="J546" i="1589"/>
  <c r="K549" i="1589"/>
  <c r="J550" i="1589"/>
  <c r="I551" i="1589"/>
  <c r="J554" i="1589"/>
  <c r="K557" i="1589"/>
  <c r="J558" i="1589"/>
  <c r="L560" i="1589"/>
  <c r="K561" i="1589"/>
  <c r="K562" i="1589"/>
  <c r="L563" i="1589"/>
  <c r="I577" i="1589"/>
  <c r="M577" i="1589" s="1"/>
  <c r="J577" i="1589"/>
  <c r="M580" i="1589"/>
  <c r="M582" i="1589"/>
  <c r="M583" i="1589"/>
  <c r="M584" i="1589"/>
  <c r="M586" i="1589"/>
  <c r="M587" i="1589"/>
  <c r="M588" i="1589"/>
  <c r="M597" i="1589"/>
  <c r="J601" i="1589"/>
  <c r="M602" i="1589"/>
  <c r="L605" i="1589"/>
  <c r="K605" i="1589"/>
  <c r="L606" i="1589"/>
  <c r="M608" i="1589"/>
  <c r="M614" i="1589"/>
  <c r="J625" i="1589"/>
  <c r="M626" i="1589"/>
  <c r="L634" i="1589"/>
  <c r="L637" i="1589"/>
  <c r="K637" i="1589"/>
  <c r="L638" i="1589"/>
  <c r="J642" i="1589"/>
  <c r="E658" i="1589"/>
  <c r="I642" i="1589"/>
  <c r="M642" i="1589" s="1"/>
  <c r="K646" i="1589"/>
  <c r="J646" i="1589"/>
  <c r="M649" i="1589"/>
  <c r="M653" i="1589"/>
  <c r="K673" i="1589"/>
  <c r="K515" i="1589"/>
  <c r="L561" i="1589"/>
  <c r="M562" i="1589"/>
  <c r="M563" i="1589"/>
  <c r="I590" i="1589"/>
  <c r="M590" i="1589" s="1"/>
  <c r="M601" i="1589"/>
  <c r="M606" i="1589"/>
  <c r="J608" i="1589"/>
  <c r="K622" i="1589"/>
  <c r="J622" i="1589"/>
  <c r="M625" i="1589"/>
  <c r="M634" i="1589"/>
  <c r="M638" i="1589"/>
  <c r="L641" i="1589"/>
  <c r="K641" i="1589"/>
  <c r="K642" i="1589"/>
  <c r="L645" i="1589"/>
  <c r="I655" i="1589"/>
  <c r="K645" i="1589"/>
  <c r="K650" i="1589"/>
  <c r="J650" i="1589"/>
  <c r="L672" i="1589"/>
  <c r="K672" i="1589"/>
  <c r="J672" i="1589"/>
  <c r="K681" i="1589"/>
  <c r="M684" i="1589"/>
  <c r="M688" i="1589"/>
  <c r="M692" i="1589"/>
  <c r="M696" i="1589"/>
  <c r="M704" i="1589"/>
  <c r="J707" i="1589"/>
  <c r="M712" i="1589"/>
  <c r="M716" i="1589"/>
  <c r="I720" i="1589"/>
  <c r="M720" i="1589" s="1"/>
  <c r="F723" i="1589"/>
  <c r="I772" i="1589"/>
  <c r="M772" i="1589" s="1"/>
  <c r="E788" i="1589"/>
  <c r="K799" i="1589"/>
  <c r="J799" i="1589"/>
  <c r="L818" i="1589"/>
  <c r="K818" i="1589"/>
  <c r="K823" i="1589"/>
  <c r="J823" i="1589"/>
  <c r="L846" i="1589"/>
  <c r="K846" i="1589"/>
  <c r="L865" i="1589"/>
  <c r="K865" i="1589"/>
  <c r="L897" i="1589"/>
  <c r="K897" i="1589"/>
  <c r="J897" i="1589"/>
  <c r="M654" i="1589"/>
  <c r="M665" i="1589"/>
  <c r="M669" i="1589"/>
  <c r="I673" i="1589"/>
  <c r="M673" i="1589" s="1"/>
  <c r="J684" i="1589"/>
  <c r="J688" i="1589"/>
  <c r="M689" i="1589"/>
  <c r="J692" i="1589"/>
  <c r="M693" i="1589"/>
  <c r="J696" i="1589"/>
  <c r="J704" i="1589"/>
  <c r="M705" i="1589"/>
  <c r="J712" i="1589"/>
  <c r="M713" i="1589"/>
  <c r="J716" i="1589"/>
  <c r="M717" i="1589"/>
  <c r="G723" i="1589"/>
  <c r="L723" i="1589" s="1"/>
  <c r="J731" i="1589"/>
  <c r="J732" i="1589"/>
  <c r="K733" i="1589"/>
  <c r="J735" i="1589"/>
  <c r="J736" i="1589"/>
  <c r="K737" i="1589"/>
  <c r="K738" i="1589"/>
  <c r="K749" i="1589"/>
  <c r="K761" i="1589"/>
  <c r="J767" i="1589"/>
  <c r="J768" i="1589"/>
  <c r="K769" i="1589"/>
  <c r="J771" i="1589"/>
  <c r="K772" i="1589"/>
  <c r="J772" i="1589"/>
  <c r="L798" i="1589"/>
  <c r="K798" i="1589"/>
  <c r="L799" i="1589"/>
  <c r="E853" i="1589"/>
  <c r="J853" i="1589" s="1"/>
  <c r="J803" i="1589"/>
  <c r="I803" i="1589"/>
  <c r="J818" i="1589"/>
  <c r="L822" i="1589"/>
  <c r="K822" i="1589"/>
  <c r="L823" i="1589"/>
  <c r="L826" i="1589"/>
  <c r="K826" i="1589"/>
  <c r="J846" i="1589"/>
  <c r="I850" i="1589"/>
  <c r="M850" i="1589" s="1"/>
  <c r="J865" i="1589"/>
  <c r="M897" i="1589"/>
  <c r="L941" i="1589"/>
  <c r="M603" i="1589"/>
  <c r="M607" i="1589"/>
  <c r="M611" i="1589"/>
  <c r="M615" i="1589"/>
  <c r="M619" i="1589"/>
  <c r="M623" i="1589"/>
  <c r="M627" i="1589"/>
  <c r="M631" i="1589"/>
  <c r="M639" i="1589"/>
  <c r="M647" i="1589"/>
  <c r="M651" i="1589"/>
  <c r="J654" i="1589"/>
  <c r="M662" i="1589"/>
  <c r="J665" i="1589"/>
  <c r="M666" i="1589"/>
  <c r="J669" i="1589"/>
  <c r="M670" i="1589"/>
  <c r="J673" i="1589"/>
  <c r="K684" i="1589"/>
  <c r="K688" i="1589"/>
  <c r="J689" i="1589"/>
  <c r="M690" i="1589"/>
  <c r="K692" i="1589"/>
  <c r="J693" i="1589"/>
  <c r="K696" i="1589"/>
  <c r="M702" i="1589"/>
  <c r="K704" i="1589"/>
  <c r="J705" i="1589"/>
  <c r="M706" i="1589"/>
  <c r="M710" i="1589"/>
  <c r="K712" i="1589"/>
  <c r="J713" i="1589"/>
  <c r="M714" i="1589"/>
  <c r="K716" i="1589"/>
  <c r="J717" i="1589"/>
  <c r="M718" i="1589"/>
  <c r="K731" i="1589"/>
  <c r="L732" i="1589"/>
  <c r="L733" i="1589"/>
  <c r="K735" i="1589"/>
  <c r="L736" i="1589"/>
  <c r="L737" i="1589"/>
  <c r="G788" i="1589"/>
  <c r="L788" i="1589" s="1"/>
  <c r="L738" i="1589"/>
  <c r="K741" i="1589"/>
  <c r="L749" i="1589"/>
  <c r="L761" i="1589"/>
  <c r="K767" i="1589"/>
  <c r="L768" i="1589"/>
  <c r="L769" i="1589"/>
  <c r="K771" i="1589"/>
  <c r="J785" i="1589"/>
  <c r="I785" i="1589"/>
  <c r="M785" i="1589" s="1"/>
  <c r="J798" i="1589"/>
  <c r="M799" i="1589"/>
  <c r="L802" i="1589"/>
  <c r="K802" i="1589"/>
  <c r="K803" i="1589"/>
  <c r="L803" i="1589"/>
  <c r="L806" i="1589"/>
  <c r="K806" i="1589"/>
  <c r="M818" i="1589"/>
  <c r="J822" i="1589"/>
  <c r="M823" i="1589"/>
  <c r="J826" i="1589"/>
  <c r="K835" i="1589"/>
  <c r="J835" i="1589"/>
  <c r="L837" i="1589"/>
  <c r="K843" i="1589"/>
  <c r="J843" i="1589"/>
  <c r="M846" i="1589"/>
  <c r="K850" i="1589"/>
  <c r="F853" i="1589"/>
  <c r="L857" i="1589"/>
  <c r="K857" i="1589"/>
  <c r="K862" i="1589"/>
  <c r="J862" i="1589"/>
  <c r="M865" i="1589"/>
  <c r="F918" i="1589"/>
  <c r="K918" i="1589" s="1"/>
  <c r="K868" i="1589"/>
  <c r="I876" i="1589"/>
  <c r="J876" i="1589" s="1"/>
  <c r="K874" i="1589"/>
  <c r="J874" i="1589"/>
  <c r="L876" i="1589"/>
  <c r="L885" i="1589"/>
  <c r="K885" i="1589"/>
  <c r="J885" i="1589"/>
  <c r="M600" i="1589"/>
  <c r="J727" i="1589"/>
  <c r="M731" i="1589"/>
  <c r="M732" i="1589"/>
  <c r="M733" i="1589"/>
  <c r="M735" i="1589"/>
  <c r="M736" i="1589"/>
  <c r="M737" i="1589"/>
  <c r="M738" i="1589"/>
  <c r="L741" i="1589"/>
  <c r="I746" i="1589"/>
  <c r="J746" i="1589" s="1"/>
  <c r="K744" i="1589"/>
  <c r="M749" i="1589"/>
  <c r="J752" i="1589"/>
  <c r="K753" i="1589"/>
  <c r="J755" i="1589"/>
  <c r="J756" i="1589"/>
  <c r="K757" i="1589"/>
  <c r="M761" i="1589"/>
  <c r="J764" i="1589"/>
  <c r="M767" i="1589"/>
  <c r="M768" i="1589"/>
  <c r="M769" i="1589"/>
  <c r="M771" i="1589"/>
  <c r="J775" i="1589"/>
  <c r="J776" i="1589"/>
  <c r="K777" i="1589"/>
  <c r="J779" i="1589"/>
  <c r="J780" i="1589"/>
  <c r="K781" i="1589"/>
  <c r="J783" i="1589"/>
  <c r="J784" i="1589"/>
  <c r="K785" i="1589"/>
  <c r="K795" i="1589"/>
  <c r="J795" i="1589"/>
  <c r="M798" i="1589"/>
  <c r="J802" i="1589"/>
  <c r="M803" i="1589"/>
  <c r="J806" i="1589"/>
  <c r="L810" i="1589"/>
  <c r="K810" i="1589"/>
  <c r="K811" i="1589"/>
  <c r="L814" i="1589"/>
  <c r="K814" i="1589"/>
  <c r="K819" i="1589"/>
  <c r="J819" i="1589"/>
  <c r="M822" i="1589"/>
  <c r="M826" i="1589"/>
  <c r="L834" i="1589"/>
  <c r="K834" i="1589"/>
  <c r="M837" i="1589"/>
  <c r="L842" i="1589"/>
  <c r="K842" i="1589"/>
  <c r="K847" i="1589"/>
  <c r="J847" i="1589"/>
  <c r="L850" i="1589"/>
  <c r="G853" i="1589"/>
  <c r="J857" i="1589"/>
  <c r="I868" i="1589"/>
  <c r="L861" i="1589"/>
  <c r="K861" i="1589"/>
  <c r="L862" i="1589"/>
  <c r="K866" i="1589"/>
  <c r="J866" i="1589"/>
  <c r="L868" i="1589"/>
  <c r="G918" i="1589"/>
  <c r="L874" i="1589"/>
  <c r="M876" i="1589"/>
  <c r="M885" i="1589"/>
  <c r="J901" i="1589"/>
  <c r="M901" i="1589"/>
  <c r="L901" i="1589"/>
  <c r="K901" i="1589"/>
  <c r="K933" i="1589"/>
  <c r="L966" i="1589"/>
  <c r="K966" i="1589"/>
  <c r="L970" i="1589"/>
  <c r="K970" i="1589"/>
  <c r="K975" i="1589"/>
  <c r="J975" i="1589"/>
  <c r="K979" i="1589"/>
  <c r="M979" i="1589"/>
  <c r="L979" i="1589"/>
  <c r="L987" i="1589"/>
  <c r="J987" i="1589"/>
  <c r="M987" i="1589"/>
  <c r="J997" i="1589"/>
  <c r="L997" i="1589"/>
  <c r="M997" i="1589"/>
  <c r="L1048" i="1589"/>
  <c r="J1013" i="1589"/>
  <c r="L1013" i="1589"/>
  <c r="M1013" i="1589"/>
  <c r="L1032" i="1589"/>
  <c r="L1045" i="1589"/>
  <c r="K1045" i="1589"/>
  <c r="H1113" i="1589"/>
  <c r="M1063" i="1589"/>
  <c r="L1063" i="1589"/>
  <c r="L1086" i="1589"/>
  <c r="K1086" i="1589"/>
  <c r="J1086" i="1589"/>
  <c r="M1086" i="1589"/>
  <c r="M882" i="1589"/>
  <c r="M886" i="1589"/>
  <c r="M894" i="1589"/>
  <c r="M898" i="1589"/>
  <c r="I915" i="1589"/>
  <c r="M915" i="1589" s="1"/>
  <c r="G983" i="1589"/>
  <c r="L933" i="1589"/>
  <c r="K936" i="1589"/>
  <c r="M941" i="1589"/>
  <c r="K951" i="1589"/>
  <c r="J951" i="1589"/>
  <c r="J966" i="1589"/>
  <c r="J970" i="1589"/>
  <c r="L974" i="1589"/>
  <c r="K974" i="1589"/>
  <c r="L975" i="1589"/>
  <c r="J979" i="1589"/>
  <c r="K987" i="1589"/>
  <c r="K997" i="1589"/>
  <c r="K1013" i="1589"/>
  <c r="J1021" i="1589"/>
  <c r="L1021" i="1589"/>
  <c r="M1021" i="1589"/>
  <c r="K1021" i="1589"/>
  <c r="L1043" i="1589"/>
  <c r="K1043" i="1589"/>
  <c r="J1043" i="1589"/>
  <c r="M1043" i="1589"/>
  <c r="L1058" i="1589"/>
  <c r="K1058" i="1589"/>
  <c r="J1058" i="1589"/>
  <c r="M1058" i="1589"/>
  <c r="L1102" i="1589"/>
  <c r="K1102" i="1589"/>
  <c r="J1102" i="1589"/>
  <c r="I1110" i="1589"/>
  <c r="M1110" i="1589" s="1"/>
  <c r="M1102" i="1589"/>
  <c r="M792" i="1589"/>
  <c r="M796" i="1589"/>
  <c r="M800" i="1589"/>
  <c r="M820" i="1589"/>
  <c r="M832" i="1589"/>
  <c r="M836" i="1589"/>
  <c r="M840" i="1589"/>
  <c r="M844" i="1589"/>
  <c r="M848" i="1589"/>
  <c r="M863" i="1589"/>
  <c r="M867" i="1589"/>
  <c r="M871" i="1589"/>
  <c r="M875" i="1589"/>
  <c r="M879" i="1589"/>
  <c r="J882" i="1589"/>
  <c r="M883" i="1589"/>
  <c r="J886" i="1589"/>
  <c r="M887" i="1589"/>
  <c r="M891" i="1589"/>
  <c r="J894" i="1589"/>
  <c r="J898" i="1589"/>
  <c r="M899" i="1589"/>
  <c r="K905" i="1589"/>
  <c r="J907" i="1589"/>
  <c r="J908" i="1589"/>
  <c r="K909" i="1589"/>
  <c r="J911" i="1589"/>
  <c r="J912" i="1589"/>
  <c r="K913" i="1589"/>
  <c r="J922" i="1589"/>
  <c r="L936" i="1589"/>
  <c r="I941" i="1589"/>
  <c r="J941" i="1589" s="1"/>
  <c r="K939" i="1589"/>
  <c r="J947" i="1589"/>
  <c r="K948" i="1589"/>
  <c r="J950" i="1589"/>
  <c r="L951" i="1589"/>
  <c r="K959" i="1589"/>
  <c r="J959" i="1589"/>
  <c r="K963" i="1589"/>
  <c r="J963" i="1589"/>
  <c r="M966" i="1589"/>
  <c r="M970" i="1589"/>
  <c r="J974" i="1589"/>
  <c r="M975" i="1589"/>
  <c r="L978" i="1589"/>
  <c r="M978" i="1589"/>
  <c r="K978" i="1589"/>
  <c r="J980" i="1589"/>
  <c r="E983" i="1589"/>
  <c r="K983" i="1589" s="1"/>
  <c r="I980" i="1589"/>
  <c r="M980" i="1589" s="1"/>
  <c r="H983" i="1589"/>
  <c r="I1006" i="1589"/>
  <c r="J1005" i="1589"/>
  <c r="L1005" i="1589"/>
  <c r="M1005" i="1589"/>
  <c r="L1027" i="1589"/>
  <c r="J1027" i="1589"/>
  <c r="M1027" i="1589"/>
  <c r="L1031" i="1589"/>
  <c r="J1031" i="1589"/>
  <c r="M1031" i="1589"/>
  <c r="K1031" i="1589"/>
  <c r="L1070" i="1589"/>
  <c r="K1070" i="1589"/>
  <c r="I1071" i="1589"/>
  <c r="K1071" i="1589" s="1"/>
  <c r="J1070" i="1589"/>
  <c r="M1070" i="1589"/>
  <c r="L1082" i="1589"/>
  <c r="K1082" i="1589"/>
  <c r="J1082" i="1589"/>
  <c r="M1082" i="1589"/>
  <c r="L1097" i="1589"/>
  <c r="K1097" i="1589"/>
  <c r="J1097" i="1589"/>
  <c r="F1113" i="1589"/>
  <c r="K1113" i="1589" s="1"/>
  <c r="M730" i="1589"/>
  <c r="M860" i="1589"/>
  <c r="E918" i="1589"/>
  <c r="M902" i="1589"/>
  <c r="L905" i="1589"/>
  <c r="K907" i="1589"/>
  <c r="L908" i="1589"/>
  <c r="L909" i="1589"/>
  <c r="K911" i="1589"/>
  <c r="L912" i="1589"/>
  <c r="L913" i="1589"/>
  <c r="L915" i="1589"/>
  <c r="K922" i="1589"/>
  <c r="J933" i="1589"/>
  <c r="M936" i="1589"/>
  <c r="J939" i="1589"/>
  <c r="K940" i="1589"/>
  <c r="L947" i="1589"/>
  <c r="L948" i="1589"/>
  <c r="K950" i="1589"/>
  <c r="M951" i="1589"/>
  <c r="L959" i="1589"/>
  <c r="L962" i="1589"/>
  <c r="K962" i="1589"/>
  <c r="L963" i="1589"/>
  <c r="J967" i="1589"/>
  <c r="I967" i="1589"/>
  <c r="M967" i="1589" s="1"/>
  <c r="K971" i="1589"/>
  <c r="J971" i="1589"/>
  <c r="M974" i="1589"/>
  <c r="J978" i="1589"/>
  <c r="K980" i="1589"/>
  <c r="L991" i="1589"/>
  <c r="J991" i="1589"/>
  <c r="M991" i="1589"/>
  <c r="L995" i="1589"/>
  <c r="J995" i="1589"/>
  <c r="M995" i="1589"/>
  <c r="K995" i="1589"/>
  <c r="F1048" i="1589"/>
  <c r="K998" i="1589"/>
  <c r="J998" i="1589"/>
  <c r="K1005" i="1589"/>
  <c r="J1017" i="1589"/>
  <c r="L1017" i="1589"/>
  <c r="M1017" i="1589"/>
  <c r="K1017" i="1589"/>
  <c r="K1027" i="1589"/>
  <c r="I1032" i="1589"/>
  <c r="M1032" i="1589" s="1"/>
  <c r="J1032" i="1589"/>
  <c r="L1035" i="1589"/>
  <c r="I1045" i="1589"/>
  <c r="M1045" i="1589" s="1"/>
  <c r="J1035" i="1589"/>
  <c r="M1035" i="1589"/>
  <c r="L1039" i="1589"/>
  <c r="J1039" i="1589"/>
  <c r="M1039" i="1589"/>
  <c r="K1039" i="1589"/>
  <c r="L1062" i="1589"/>
  <c r="K1062" i="1589"/>
  <c r="J1062" i="1589"/>
  <c r="L1066" i="1589"/>
  <c r="K1066" i="1589"/>
  <c r="J1066" i="1589"/>
  <c r="M1066" i="1589"/>
  <c r="L1094" i="1589"/>
  <c r="K1094" i="1589"/>
  <c r="J1094" i="1589"/>
  <c r="M1094" i="1589"/>
  <c r="M952" i="1589"/>
  <c r="M956" i="1589"/>
  <c r="M964" i="1589"/>
  <c r="M972" i="1589"/>
  <c r="M976" i="1589"/>
  <c r="M998" i="1589"/>
  <c r="M1006" i="1589"/>
  <c r="L1015" i="1589"/>
  <c r="J1015" i="1589"/>
  <c r="H1048" i="1589"/>
  <c r="M1071" i="1589"/>
  <c r="L1074" i="1589"/>
  <c r="K1074" i="1589"/>
  <c r="J1074" i="1589"/>
  <c r="L1078" i="1589"/>
  <c r="K1078" i="1589"/>
  <c r="J1078" i="1589"/>
  <c r="K1110" i="1589"/>
  <c r="J1110" i="1589"/>
  <c r="M925" i="1589"/>
  <c r="J993" i="1589"/>
  <c r="L993" i="1589"/>
  <c r="J1001" i="1589"/>
  <c r="L1001" i="1589"/>
  <c r="J1009" i="1589"/>
  <c r="L1009" i="1589"/>
  <c r="K1015" i="1589"/>
  <c r="J1029" i="1589"/>
  <c r="L1029" i="1589"/>
  <c r="J1037" i="1589"/>
  <c r="L1037" i="1589"/>
  <c r="J1045" i="1589"/>
  <c r="K1063" i="1589"/>
  <c r="M1074" i="1589"/>
  <c r="M1078" i="1589"/>
  <c r="I1097" i="1589"/>
  <c r="M1097" i="1589" s="1"/>
  <c r="L1106" i="1589"/>
  <c r="K1106" i="1589"/>
  <c r="J1106" i="1589"/>
  <c r="K990" i="1589"/>
  <c r="K994" i="1589"/>
  <c r="K1014" i="1589"/>
  <c r="K1018" i="1589"/>
  <c r="K1030" i="1589"/>
  <c r="K1038" i="1589"/>
  <c r="L1041" i="1589"/>
  <c r="K1042" i="1589"/>
  <c r="L1052" i="1589"/>
  <c r="M1055" i="1589"/>
  <c r="L1056" i="1589"/>
  <c r="M1059" i="1589"/>
  <c r="L1060" i="1589"/>
  <c r="I1063" i="1589"/>
  <c r="M1079" i="1589"/>
  <c r="L1080" i="1589"/>
  <c r="M1083" i="1589"/>
  <c r="L1092" i="1589"/>
  <c r="M1095" i="1589"/>
  <c r="L1096" i="1589"/>
  <c r="L1100" i="1589"/>
  <c r="M1103" i="1589"/>
  <c r="L1104" i="1589"/>
  <c r="M1107" i="1589"/>
  <c r="L1108" i="1589"/>
  <c r="M1041" i="1589"/>
  <c r="M1052" i="1589"/>
  <c r="M1056" i="1589"/>
  <c r="M1060" i="1589"/>
  <c r="J1063" i="1589"/>
  <c r="M1080" i="1589"/>
  <c r="M1092" i="1589"/>
  <c r="M1096" i="1589"/>
  <c r="M1100" i="1589"/>
  <c r="M1104" i="1589"/>
  <c r="M1108" i="1589"/>
  <c r="M990" i="1589"/>
  <c r="D1050" i="487"/>
  <c r="D985" i="487"/>
  <c r="D920" i="487"/>
  <c r="D855" i="487"/>
  <c r="D790" i="487"/>
  <c r="D725" i="487"/>
  <c r="D660" i="487"/>
  <c r="D595" i="487"/>
  <c r="D530" i="487"/>
  <c r="D465" i="487"/>
  <c r="D400" i="487"/>
  <c r="D335" i="487"/>
  <c r="D270" i="487"/>
  <c r="D205" i="487"/>
  <c r="D140" i="487"/>
  <c r="D75" i="487"/>
  <c r="D10" i="487"/>
  <c r="E226" i="1520"/>
  <c r="E225" i="1520"/>
  <c r="E224" i="1520"/>
  <c r="E223" i="1520"/>
  <c r="E222" i="1520"/>
  <c r="E221" i="1520"/>
  <c r="E220" i="1520"/>
  <c r="E219" i="1520"/>
  <c r="E218" i="1520"/>
  <c r="E217" i="1520"/>
  <c r="E216" i="1520"/>
  <c r="E215" i="1520"/>
  <c r="E214" i="1520"/>
  <c r="E213" i="1520"/>
  <c r="E212" i="1520"/>
  <c r="E211" i="1520"/>
  <c r="E209" i="1520"/>
  <c r="E206" i="1520"/>
  <c r="E205" i="1520"/>
  <c r="E204" i="1520"/>
  <c r="E203" i="1520"/>
  <c r="E202" i="1520"/>
  <c r="E201" i="1520"/>
  <c r="E200" i="1520"/>
  <c r="E199" i="1520"/>
  <c r="E198" i="1520"/>
  <c r="E197" i="1520"/>
  <c r="E196" i="1520"/>
  <c r="E195" i="1520"/>
  <c r="E194" i="1520"/>
  <c r="E193" i="1520"/>
  <c r="E192" i="1520"/>
  <c r="E191" i="1520"/>
  <c r="E189" i="1520"/>
  <c r="E186" i="1520"/>
  <c r="E185" i="1520"/>
  <c r="E184" i="1520"/>
  <c r="E183" i="1520"/>
  <c r="E182" i="1520"/>
  <c r="E181" i="1520"/>
  <c r="E180" i="1520"/>
  <c r="E179" i="1520"/>
  <c r="E178" i="1520"/>
  <c r="E177" i="1520"/>
  <c r="E176" i="1520"/>
  <c r="E175" i="1520"/>
  <c r="E174" i="1520"/>
  <c r="E173" i="1520"/>
  <c r="E172" i="1520"/>
  <c r="E171" i="1520"/>
  <c r="E169" i="1520"/>
  <c r="E146" i="1520"/>
  <c r="E145" i="1520"/>
  <c r="E144" i="1520"/>
  <c r="E143" i="1520"/>
  <c r="E142" i="1520"/>
  <c r="E141" i="1520"/>
  <c r="E140" i="1520"/>
  <c r="E139" i="1520"/>
  <c r="E138" i="1520"/>
  <c r="E137" i="1520"/>
  <c r="E136" i="1520"/>
  <c r="E135" i="1520"/>
  <c r="E134" i="1520"/>
  <c r="E133" i="1520"/>
  <c r="E132" i="1520"/>
  <c r="E131" i="1520"/>
  <c r="E129" i="1520"/>
  <c r="E126" i="1520"/>
  <c r="E125" i="1520"/>
  <c r="E124" i="1520"/>
  <c r="E123" i="1520"/>
  <c r="E122" i="1520"/>
  <c r="E121" i="1520"/>
  <c r="E120" i="1520"/>
  <c r="E119" i="1520"/>
  <c r="E118" i="1520"/>
  <c r="E117" i="1520"/>
  <c r="E116" i="1520"/>
  <c r="E115" i="1520"/>
  <c r="E114" i="1520"/>
  <c r="E113" i="1520"/>
  <c r="E112" i="1520"/>
  <c r="E111" i="1520"/>
  <c r="E109" i="1520"/>
  <c r="E106" i="1520"/>
  <c r="E105" i="1520"/>
  <c r="E104" i="1520"/>
  <c r="E103" i="1520"/>
  <c r="E102" i="1520"/>
  <c r="E101" i="1520"/>
  <c r="E100" i="1520"/>
  <c r="E99" i="1520"/>
  <c r="E98" i="1520"/>
  <c r="E97" i="1520"/>
  <c r="E96" i="1520"/>
  <c r="E95" i="1520"/>
  <c r="E94" i="1520"/>
  <c r="E93" i="1520"/>
  <c r="E92" i="1520"/>
  <c r="E91" i="1520"/>
  <c r="E89" i="1520"/>
  <c r="E86" i="1520"/>
  <c r="E85" i="1520"/>
  <c r="E84" i="1520"/>
  <c r="E83" i="1520"/>
  <c r="E82" i="1520"/>
  <c r="E81" i="1520"/>
  <c r="E80" i="1520"/>
  <c r="E79" i="1520"/>
  <c r="E78" i="1520"/>
  <c r="E77" i="1520"/>
  <c r="E76" i="1520"/>
  <c r="E75" i="1520"/>
  <c r="E74" i="1520"/>
  <c r="E73" i="1520"/>
  <c r="E72" i="1520"/>
  <c r="E71" i="1520"/>
  <c r="E69" i="1520"/>
  <c r="E66" i="1520"/>
  <c r="E65" i="1520"/>
  <c r="E64" i="1520"/>
  <c r="E63" i="1520"/>
  <c r="E62" i="1520"/>
  <c r="E61" i="1520"/>
  <c r="E60" i="1520"/>
  <c r="E59" i="1520"/>
  <c r="E58" i="1520"/>
  <c r="E57" i="1520"/>
  <c r="E56" i="1520"/>
  <c r="E55" i="1520"/>
  <c r="E54" i="1520"/>
  <c r="E53" i="1520"/>
  <c r="E52" i="1520"/>
  <c r="E51" i="1520"/>
  <c r="E49" i="1520"/>
  <c r="E46" i="1520"/>
  <c r="E45" i="1520"/>
  <c r="E44" i="1520"/>
  <c r="E43" i="1520"/>
  <c r="E42" i="1520"/>
  <c r="E41" i="1520"/>
  <c r="E40" i="1520"/>
  <c r="E39" i="1520"/>
  <c r="E38" i="1520"/>
  <c r="E37" i="1520"/>
  <c r="E36" i="1520"/>
  <c r="E35" i="1520"/>
  <c r="E34" i="1520"/>
  <c r="E33" i="1520"/>
  <c r="E32" i="1520"/>
  <c r="E31" i="1520"/>
  <c r="E29" i="1520"/>
  <c r="E9" i="1520"/>
  <c r="E12" i="1520"/>
  <c r="E13" i="1520"/>
  <c r="E14" i="1520"/>
  <c r="E15" i="1520"/>
  <c r="E16" i="1520"/>
  <c r="E17" i="1520"/>
  <c r="E18" i="1520"/>
  <c r="E19" i="1520"/>
  <c r="E20" i="1520"/>
  <c r="E21" i="1520"/>
  <c r="E22" i="1520"/>
  <c r="E23" i="1520"/>
  <c r="E24" i="1520"/>
  <c r="E25" i="1520"/>
  <c r="E26" i="1520"/>
  <c r="E11" i="1520"/>
  <c r="K723" i="1589" l="1"/>
  <c r="L333" i="1589"/>
  <c r="J138" i="1589"/>
  <c r="J658" i="1589"/>
  <c r="J551" i="1589"/>
  <c r="K551" i="1589"/>
  <c r="M616" i="1589"/>
  <c r="L746" i="1589"/>
  <c r="L616" i="1589"/>
  <c r="I528" i="1589"/>
  <c r="M528" i="1589" s="1"/>
  <c r="M478" i="1589"/>
  <c r="I268" i="1589"/>
  <c r="M268" i="1589" s="1"/>
  <c r="M218" i="1589"/>
  <c r="L203" i="1589"/>
  <c r="K333" i="1589"/>
  <c r="I593" i="1589"/>
  <c r="M593" i="1589" s="1"/>
  <c r="M1048" i="1589"/>
  <c r="K1048" i="1589"/>
  <c r="M983" i="1589"/>
  <c r="I918" i="1589"/>
  <c r="M918" i="1589" s="1"/>
  <c r="K941" i="1589"/>
  <c r="J918" i="1589"/>
  <c r="J1113" i="1589"/>
  <c r="L918" i="1589"/>
  <c r="K853" i="1589"/>
  <c r="M746" i="1589"/>
  <c r="I983" i="1589"/>
  <c r="M868" i="1589"/>
  <c r="J788" i="1589"/>
  <c r="J681" i="1589"/>
  <c r="I658" i="1589"/>
  <c r="M658" i="1589" s="1"/>
  <c r="K788" i="1589"/>
  <c r="K658" i="1589"/>
  <c r="J421" i="1589"/>
  <c r="K421" i="1589"/>
  <c r="M138" i="1589"/>
  <c r="K73" i="1589"/>
  <c r="K96" i="1589"/>
  <c r="L96" i="1589"/>
  <c r="K616" i="1589"/>
  <c r="L268" i="1589"/>
  <c r="M333" i="1589"/>
  <c r="M203" i="1589"/>
  <c r="J268" i="1589"/>
  <c r="M200" i="1589"/>
  <c r="M88" i="1589"/>
  <c r="L73" i="1589"/>
  <c r="J1006" i="1589"/>
  <c r="L1006" i="1589"/>
  <c r="K1006" i="1589"/>
  <c r="I1048" i="1589"/>
  <c r="J723" i="1589"/>
  <c r="I723" i="1589"/>
  <c r="M723" i="1589" s="1"/>
  <c r="I1113" i="1589"/>
  <c r="M1113" i="1589" s="1"/>
  <c r="J1048" i="1589"/>
  <c r="L1113" i="1589"/>
  <c r="J1071" i="1589"/>
  <c r="L1071" i="1589"/>
  <c r="J983" i="1589"/>
  <c r="L983" i="1589"/>
  <c r="L853" i="1589"/>
  <c r="I853" i="1589"/>
  <c r="M853" i="1589" s="1"/>
  <c r="K746" i="1589"/>
  <c r="I788" i="1589"/>
  <c r="M788" i="1589" s="1"/>
  <c r="K593" i="1589"/>
  <c r="J593" i="1589"/>
  <c r="L528" i="1589"/>
  <c r="J463" i="1589"/>
  <c r="M551" i="1589"/>
  <c r="K356" i="1589"/>
  <c r="L356" i="1589"/>
  <c r="I398" i="1589"/>
  <c r="M398" i="1589" s="1"/>
  <c r="K528" i="1589"/>
  <c r="M421" i="1589"/>
  <c r="K138" i="1589"/>
  <c r="K203" i="1589"/>
  <c r="J31" i="1589"/>
  <c r="K31" i="1589"/>
  <c r="I463" i="1589"/>
  <c r="M463" i="1589" s="1"/>
  <c r="I73" i="1589"/>
  <c r="M13" i="487"/>
  <c r="M14" i="487"/>
  <c r="M24" i="487"/>
  <c r="M25" i="487"/>
  <c r="M27" i="487"/>
  <c r="M28" i="487"/>
  <c r="M32" i="487"/>
  <c r="M33" i="487"/>
  <c r="M35" i="487"/>
  <c r="M36" i="487"/>
  <c r="M44" i="487"/>
  <c r="M45" i="487"/>
  <c r="M47" i="487"/>
  <c r="M51" i="487"/>
  <c r="M58" i="487"/>
  <c r="M59" i="487"/>
  <c r="M71" i="487"/>
  <c r="M72" i="487"/>
  <c r="M74" i="487"/>
  <c r="M75" i="487"/>
  <c r="M76" i="487"/>
  <c r="M78" i="487"/>
  <c r="M79" i="487"/>
  <c r="M89" i="487"/>
  <c r="M90" i="487"/>
  <c r="M92" i="487"/>
  <c r="M93" i="487"/>
  <c r="M97" i="487"/>
  <c r="M98" i="487"/>
  <c r="M100" i="487"/>
  <c r="M101" i="487"/>
  <c r="M109" i="487"/>
  <c r="M110" i="487"/>
  <c r="M112" i="487"/>
  <c r="M116" i="487"/>
  <c r="M123" i="487"/>
  <c r="M124" i="487"/>
  <c r="M136" i="487"/>
  <c r="M137" i="487"/>
  <c r="M139" i="487"/>
  <c r="M140" i="487"/>
  <c r="M141" i="487"/>
  <c r="M143" i="487"/>
  <c r="M144" i="487"/>
  <c r="M154" i="487"/>
  <c r="M155" i="487"/>
  <c r="M157" i="487"/>
  <c r="M158" i="487"/>
  <c r="M162" i="487"/>
  <c r="M163" i="487"/>
  <c r="M165" i="487"/>
  <c r="M166" i="487"/>
  <c r="M174" i="487"/>
  <c r="M175" i="487"/>
  <c r="M177" i="487"/>
  <c r="M181" i="487"/>
  <c r="M188" i="487"/>
  <c r="M189" i="487"/>
  <c r="M201" i="487"/>
  <c r="M202" i="487"/>
  <c r="M204" i="487"/>
  <c r="M205" i="487"/>
  <c r="M206" i="487"/>
  <c r="M208" i="487"/>
  <c r="M209" i="487"/>
  <c r="M219" i="487"/>
  <c r="M220" i="487"/>
  <c r="M222" i="487"/>
  <c r="M223" i="487"/>
  <c r="M227" i="487"/>
  <c r="M228" i="487"/>
  <c r="M230" i="487"/>
  <c r="M231" i="487"/>
  <c r="M239" i="487"/>
  <c r="M240" i="487"/>
  <c r="M242" i="487"/>
  <c r="M246" i="487"/>
  <c r="M253" i="487"/>
  <c r="M254" i="487"/>
  <c r="M266" i="487"/>
  <c r="M267" i="487"/>
  <c r="M269" i="487"/>
  <c r="M270" i="487"/>
  <c r="M271" i="487"/>
  <c r="M273" i="487"/>
  <c r="M274" i="487"/>
  <c r="M284" i="487"/>
  <c r="M285" i="487"/>
  <c r="M287" i="487"/>
  <c r="M288" i="487"/>
  <c r="M292" i="487"/>
  <c r="M293" i="487"/>
  <c r="M295" i="487"/>
  <c r="M296" i="487"/>
  <c r="M304" i="487"/>
  <c r="M305" i="487"/>
  <c r="M307" i="487"/>
  <c r="M311" i="487"/>
  <c r="M318" i="487"/>
  <c r="M319" i="487"/>
  <c r="M331" i="487"/>
  <c r="M332" i="487"/>
  <c r="M334" i="487"/>
  <c r="M335" i="487"/>
  <c r="M336" i="487"/>
  <c r="M338" i="487"/>
  <c r="M339" i="487"/>
  <c r="M349" i="487"/>
  <c r="M350" i="487"/>
  <c r="M352" i="487"/>
  <c r="M353" i="487"/>
  <c r="M357" i="487"/>
  <c r="M358" i="487"/>
  <c r="M360" i="487"/>
  <c r="M361" i="487"/>
  <c r="M369" i="487"/>
  <c r="M370" i="487"/>
  <c r="M372" i="487"/>
  <c r="M376" i="487"/>
  <c r="M383" i="487"/>
  <c r="M384" i="487"/>
  <c r="M396" i="487"/>
  <c r="M397" i="487"/>
  <c r="M399" i="487"/>
  <c r="M400" i="487"/>
  <c r="M401" i="487"/>
  <c r="M403" i="487"/>
  <c r="M404" i="487"/>
  <c r="M414" i="487"/>
  <c r="M415" i="487"/>
  <c r="M417" i="487"/>
  <c r="M418" i="487"/>
  <c r="M422" i="487"/>
  <c r="M423" i="487"/>
  <c r="M425" i="487"/>
  <c r="M426" i="487"/>
  <c r="M434" i="487"/>
  <c r="M435" i="487"/>
  <c r="M437" i="487"/>
  <c r="M441" i="487"/>
  <c r="M448" i="487"/>
  <c r="M449" i="487"/>
  <c r="M461" i="487"/>
  <c r="M462" i="487"/>
  <c r="M464" i="487"/>
  <c r="M465" i="487"/>
  <c r="M466" i="487"/>
  <c r="M468" i="487"/>
  <c r="M469" i="487"/>
  <c r="M479" i="487"/>
  <c r="M480" i="487"/>
  <c r="M482" i="487"/>
  <c r="M483" i="487"/>
  <c r="M487" i="487"/>
  <c r="M488" i="487"/>
  <c r="M490" i="487"/>
  <c r="M491" i="487"/>
  <c r="M499" i="487"/>
  <c r="M500" i="487"/>
  <c r="M502" i="487"/>
  <c r="M506" i="487"/>
  <c r="M513" i="487"/>
  <c r="M514" i="487"/>
  <c r="M526" i="487"/>
  <c r="M527" i="487"/>
  <c r="M529" i="487"/>
  <c r="M530" i="487"/>
  <c r="M531" i="487"/>
  <c r="M533" i="487"/>
  <c r="M534" i="487"/>
  <c r="M544" i="487"/>
  <c r="M545" i="487"/>
  <c r="M547" i="487"/>
  <c r="M548" i="487"/>
  <c r="M552" i="487"/>
  <c r="M553" i="487"/>
  <c r="M555" i="487"/>
  <c r="M556" i="487"/>
  <c r="M564" i="487"/>
  <c r="M565" i="487"/>
  <c r="M567" i="487"/>
  <c r="M571" i="487"/>
  <c r="M578" i="487"/>
  <c r="M579" i="487"/>
  <c r="M591" i="487"/>
  <c r="M592" i="487"/>
  <c r="M594" i="487"/>
  <c r="M595" i="487"/>
  <c r="M596" i="487"/>
  <c r="M598" i="487"/>
  <c r="M599" i="487"/>
  <c r="M609" i="487"/>
  <c r="M610" i="487"/>
  <c r="M612" i="487"/>
  <c r="M613" i="487"/>
  <c r="M617" i="487"/>
  <c r="M618" i="487"/>
  <c r="M620" i="487"/>
  <c r="M621" i="487"/>
  <c r="M629" i="487"/>
  <c r="M630" i="487"/>
  <c r="M632" i="487"/>
  <c r="M636" i="487"/>
  <c r="M643" i="487"/>
  <c r="M644" i="487"/>
  <c r="M656" i="487"/>
  <c r="M657" i="487"/>
  <c r="M659" i="487"/>
  <c r="M660" i="487"/>
  <c r="M661" i="487"/>
  <c r="M663" i="487"/>
  <c r="M664" i="487"/>
  <c r="M674" i="487"/>
  <c r="M675" i="487"/>
  <c r="M677" i="487"/>
  <c r="M678" i="487"/>
  <c r="M682" i="487"/>
  <c r="M683" i="487"/>
  <c r="M685" i="487"/>
  <c r="M686" i="487"/>
  <c r="M694" i="487"/>
  <c r="M695" i="487"/>
  <c r="M697" i="487"/>
  <c r="M701" i="487"/>
  <c r="M708" i="487"/>
  <c r="M709" i="487"/>
  <c r="M721" i="487"/>
  <c r="M722" i="487"/>
  <c r="M724" i="487"/>
  <c r="M725" i="487"/>
  <c r="M726" i="487"/>
  <c r="M728" i="487"/>
  <c r="M729" i="487"/>
  <c r="M739" i="487"/>
  <c r="M740" i="487"/>
  <c r="M742" i="487"/>
  <c r="M743" i="487"/>
  <c r="M747" i="487"/>
  <c r="M748" i="487"/>
  <c r="M750" i="487"/>
  <c r="M751" i="487"/>
  <c r="M759" i="487"/>
  <c r="M760" i="487"/>
  <c r="M762" i="487"/>
  <c r="M766" i="487"/>
  <c r="M773" i="487"/>
  <c r="M774" i="487"/>
  <c r="M786" i="487"/>
  <c r="M787" i="487"/>
  <c r="M789" i="487"/>
  <c r="M790" i="487"/>
  <c r="M791" i="487"/>
  <c r="M793" i="487"/>
  <c r="M794" i="487"/>
  <c r="M804" i="487"/>
  <c r="M805" i="487"/>
  <c r="M807" i="487"/>
  <c r="M808" i="487"/>
  <c r="M812" i="487"/>
  <c r="M813" i="487"/>
  <c r="M815" i="487"/>
  <c r="M816" i="487"/>
  <c r="M824" i="487"/>
  <c r="M825" i="487"/>
  <c r="M827" i="487"/>
  <c r="M831" i="487"/>
  <c r="M838" i="487"/>
  <c r="M839" i="487"/>
  <c r="M851" i="487"/>
  <c r="M852" i="487"/>
  <c r="M854" i="487"/>
  <c r="M855" i="487"/>
  <c r="M856" i="487"/>
  <c r="M858" i="487"/>
  <c r="M859" i="487"/>
  <c r="M869" i="487"/>
  <c r="M870" i="487"/>
  <c r="M872" i="487"/>
  <c r="M873" i="487"/>
  <c r="M877" i="487"/>
  <c r="M878" i="487"/>
  <c r="M880" i="487"/>
  <c r="M881" i="487"/>
  <c r="M889" i="487"/>
  <c r="M890" i="487"/>
  <c r="M892" i="487"/>
  <c r="M896" i="487"/>
  <c r="M903" i="487"/>
  <c r="M904" i="487"/>
  <c r="M916" i="487"/>
  <c r="M917" i="487"/>
  <c r="M919" i="487"/>
  <c r="M920" i="487"/>
  <c r="M921" i="487"/>
  <c r="M923" i="487"/>
  <c r="M924" i="487"/>
  <c r="M934" i="487"/>
  <c r="M935" i="487"/>
  <c r="M937" i="487"/>
  <c r="M938" i="487"/>
  <c r="M942" i="487"/>
  <c r="M943" i="487"/>
  <c r="M945" i="487"/>
  <c r="M946" i="487"/>
  <c r="M954" i="487"/>
  <c r="M955" i="487"/>
  <c r="M957" i="487"/>
  <c r="M961" i="487"/>
  <c r="M968" i="487"/>
  <c r="M969" i="487"/>
  <c r="M981" i="487"/>
  <c r="M982" i="487"/>
  <c r="M984" i="487"/>
  <c r="M985" i="487"/>
  <c r="M986" i="487"/>
  <c r="M988" i="487"/>
  <c r="M989" i="487"/>
  <c r="M999" i="487"/>
  <c r="M1000" i="487"/>
  <c r="M1002" i="487"/>
  <c r="M1003" i="487"/>
  <c r="M1007" i="487"/>
  <c r="M1008" i="487"/>
  <c r="M1010" i="487"/>
  <c r="M1011" i="487"/>
  <c r="M1019" i="487"/>
  <c r="M1020" i="487"/>
  <c r="M1022" i="487"/>
  <c r="M1026" i="487"/>
  <c r="M1033" i="487"/>
  <c r="M1034" i="487"/>
  <c r="M1046" i="487"/>
  <c r="M1047" i="487"/>
  <c r="M1049" i="487"/>
  <c r="M1050" i="487"/>
  <c r="M1051" i="487"/>
  <c r="M1053" i="487"/>
  <c r="M1054" i="487"/>
  <c r="M1064" i="487"/>
  <c r="M1065" i="487"/>
  <c r="M1067" i="487"/>
  <c r="M1068" i="487"/>
  <c r="M1072" i="487"/>
  <c r="M1073" i="487"/>
  <c r="M1075" i="487"/>
  <c r="M1076" i="487"/>
  <c r="M1084" i="487"/>
  <c r="M1085" i="487"/>
  <c r="M1087" i="487"/>
  <c r="M1091" i="487"/>
  <c r="M1098" i="487"/>
  <c r="M1099" i="487"/>
  <c r="M1111" i="487"/>
  <c r="M1112" i="487"/>
  <c r="C73" i="1589" l="1"/>
  <c r="M73" i="1589"/>
  <c r="D212" i="1520"/>
  <c r="D213" i="1520"/>
  <c r="D214" i="1520"/>
  <c r="D215" i="1520"/>
  <c r="D216" i="1520"/>
  <c r="D217" i="1520"/>
  <c r="D218" i="1520"/>
  <c r="D219" i="1520"/>
  <c r="D220" i="1520"/>
  <c r="D221" i="1520"/>
  <c r="D222" i="1520"/>
  <c r="D223" i="1520"/>
  <c r="D224" i="1520"/>
  <c r="D225" i="1520"/>
  <c r="D226" i="1520"/>
  <c r="D211" i="1520"/>
  <c r="D192" i="1520"/>
  <c r="D193" i="1520"/>
  <c r="D194" i="1520"/>
  <c r="D195" i="1520"/>
  <c r="D196" i="1520"/>
  <c r="D197" i="1520"/>
  <c r="D198" i="1520"/>
  <c r="D199" i="1520"/>
  <c r="D200" i="1520"/>
  <c r="D201" i="1520"/>
  <c r="D202" i="1520"/>
  <c r="D203" i="1520"/>
  <c r="D204" i="1520"/>
  <c r="D205" i="1520"/>
  <c r="D206" i="1520"/>
  <c r="D191" i="1520"/>
  <c r="D172" i="1520"/>
  <c r="D173" i="1520"/>
  <c r="D174" i="1520"/>
  <c r="D175" i="1520"/>
  <c r="D176" i="1520"/>
  <c r="D177" i="1520"/>
  <c r="D178" i="1520"/>
  <c r="D179" i="1520"/>
  <c r="D180" i="1520"/>
  <c r="D181" i="1520"/>
  <c r="D182" i="1520"/>
  <c r="D183" i="1520"/>
  <c r="D184" i="1520"/>
  <c r="D185" i="1520"/>
  <c r="D186" i="1520"/>
  <c r="D171" i="1520"/>
  <c r="D132" i="1520"/>
  <c r="D133" i="1520"/>
  <c r="D134" i="1520"/>
  <c r="D135" i="1520"/>
  <c r="D136" i="1520"/>
  <c r="D137" i="1520"/>
  <c r="D138" i="1520"/>
  <c r="D139" i="1520"/>
  <c r="D140" i="1520"/>
  <c r="D141" i="1520"/>
  <c r="D142" i="1520"/>
  <c r="D143" i="1520"/>
  <c r="D144" i="1520"/>
  <c r="D145" i="1520"/>
  <c r="D146" i="1520"/>
  <c r="D131" i="1520"/>
  <c r="D112" i="1520"/>
  <c r="D113" i="1520"/>
  <c r="D114" i="1520"/>
  <c r="D115" i="1520"/>
  <c r="D116" i="1520"/>
  <c r="D117" i="1520"/>
  <c r="D118" i="1520"/>
  <c r="D119" i="1520"/>
  <c r="D120" i="1520"/>
  <c r="D121" i="1520"/>
  <c r="D122" i="1520"/>
  <c r="D123" i="1520"/>
  <c r="D124" i="1520"/>
  <c r="D125" i="1520"/>
  <c r="D126" i="1520"/>
  <c r="D111" i="1520"/>
  <c r="D92" i="1520"/>
  <c r="D93" i="1520"/>
  <c r="D94" i="1520"/>
  <c r="D95" i="1520"/>
  <c r="D96" i="1520"/>
  <c r="D97" i="1520"/>
  <c r="D98" i="1520"/>
  <c r="D99" i="1520"/>
  <c r="D100" i="1520"/>
  <c r="D101" i="1520"/>
  <c r="D102" i="1520"/>
  <c r="D103" i="1520"/>
  <c r="D104" i="1520"/>
  <c r="D105" i="1520"/>
  <c r="D106" i="1520"/>
  <c r="D91" i="1520"/>
  <c r="D72" i="1520"/>
  <c r="D73" i="1520"/>
  <c r="D74" i="1520"/>
  <c r="D75" i="1520"/>
  <c r="D76" i="1520"/>
  <c r="D77" i="1520"/>
  <c r="D78" i="1520"/>
  <c r="D79" i="1520"/>
  <c r="D80" i="1520"/>
  <c r="D81" i="1520"/>
  <c r="D82" i="1520"/>
  <c r="D83" i="1520"/>
  <c r="D84" i="1520"/>
  <c r="D85" i="1520"/>
  <c r="D86" i="1520"/>
  <c r="D71" i="1520"/>
  <c r="D52" i="1520"/>
  <c r="D53" i="1520"/>
  <c r="D54" i="1520"/>
  <c r="D55" i="1520"/>
  <c r="D56" i="1520"/>
  <c r="D57" i="1520"/>
  <c r="D58" i="1520"/>
  <c r="D59" i="1520"/>
  <c r="D60" i="1520"/>
  <c r="D61" i="1520"/>
  <c r="D62" i="1520"/>
  <c r="D63" i="1520"/>
  <c r="D64" i="1520"/>
  <c r="D65" i="1520"/>
  <c r="D66" i="1520"/>
  <c r="D51" i="1520"/>
  <c r="D32" i="1520" l="1"/>
  <c r="D33" i="1520"/>
  <c r="D34" i="1520"/>
  <c r="D35" i="1520"/>
  <c r="D36" i="1520"/>
  <c r="D37" i="1520"/>
  <c r="D38" i="1520"/>
  <c r="D39" i="1520"/>
  <c r="D40" i="1520"/>
  <c r="D41" i="1520"/>
  <c r="D42" i="1520"/>
  <c r="D43" i="1520"/>
  <c r="D44" i="1520"/>
  <c r="D45" i="1520"/>
  <c r="D46" i="1520"/>
  <c r="D31" i="1520"/>
  <c r="D12" i="1520" l="1"/>
  <c r="D13" i="1520"/>
  <c r="D14" i="1520"/>
  <c r="D15" i="1520"/>
  <c r="D16" i="1520"/>
  <c r="D17" i="1520"/>
  <c r="D18" i="1520"/>
  <c r="D19" i="1520"/>
  <c r="D20" i="1520"/>
  <c r="D21" i="1520"/>
  <c r="D22" i="1520"/>
  <c r="D23" i="1520"/>
  <c r="D24" i="1520"/>
  <c r="D25" i="1520"/>
  <c r="D26" i="1520"/>
  <c r="D11" i="1520"/>
  <c r="H70" i="487" l="1"/>
  <c r="G70" i="487"/>
  <c r="F70" i="487"/>
  <c r="E70" i="487"/>
  <c r="H1110" i="487"/>
  <c r="G1110" i="487"/>
  <c r="F1110" i="487"/>
  <c r="E1110" i="487"/>
  <c r="H1045" i="487"/>
  <c r="G1045" i="487"/>
  <c r="F1045" i="487"/>
  <c r="E1045" i="487"/>
  <c r="H980" i="487"/>
  <c r="G980" i="487"/>
  <c r="F980" i="487"/>
  <c r="E980" i="487"/>
  <c r="H915" i="487"/>
  <c r="G915" i="487"/>
  <c r="F915" i="487"/>
  <c r="E915" i="487"/>
  <c r="H850" i="487"/>
  <c r="G850" i="487"/>
  <c r="F850" i="487"/>
  <c r="E850" i="487"/>
  <c r="H785" i="487"/>
  <c r="G785" i="487"/>
  <c r="F785" i="487"/>
  <c r="E785" i="487"/>
  <c r="H720" i="487"/>
  <c r="G720" i="487"/>
  <c r="F720" i="487"/>
  <c r="E720" i="487"/>
  <c r="H655" i="487"/>
  <c r="G655" i="487"/>
  <c r="F655" i="487"/>
  <c r="E655" i="487"/>
  <c r="H590" i="487"/>
  <c r="G590" i="487"/>
  <c r="F590" i="487"/>
  <c r="E590" i="487"/>
  <c r="H525" i="487"/>
  <c r="G525" i="487"/>
  <c r="F525" i="487"/>
  <c r="E525" i="487"/>
  <c r="H460" i="487"/>
  <c r="G460" i="487"/>
  <c r="F460" i="487"/>
  <c r="E460" i="487"/>
  <c r="H395" i="487"/>
  <c r="G395" i="487"/>
  <c r="F395" i="487"/>
  <c r="E395" i="487"/>
  <c r="H330" i="487"/>
  <c r="G330" i="487"/>
  <c r="F330" i="487"/>
  <c r="E330" i="487"/>
  <c r="H265" i="487"/>
  <c r="G265" i="487"/>
  <c r="F265" i="487"/>
  <c r="E265" i="487"/>
  <c r="H200" i="487"/>
  <c r="G200" i="487"/>
  <c r="F200" i="487"/>
  <c r="E200" i="487"/>
  <c r="H23" i="487"/>
  <c r="G23" i="487"/>
  <c r="F23" i="487"/>
  <c r="E23" i="487"/>
  <c r="H1063" i="487"/>
  <c r="G1063" i="487"/>
  <c r="F1063" i="487"/>
  <c r="E1063" i="487"/>
  <c r="H998" i="487"/>
  <c r="G998" i="487"/>
  <c r="F998" i="487"/>
  <c r="E998" i="487"/>
  <c r="H933" i="487"/>
  <c r="G933" i="487"/>
  <c r="F933" i="487"/>
  <c r="E933" i="487"/>
  <c r="H868" i="487"/>
  <c r="G868" i="487"/>
  <c r="F868" i="487"/>
  <c r="E868" i="487"/>
  <c r="H803" i="487"/>
  <c r="G803" i="487"/>
  <c r="F803" i="487"/>
  <c r="E803" i="487"/>
  <c r="H738" i="487"/>
  <c r="G738" i="487"/>
  <c r="F738" i="487"/>
  <c r="E738" i="487"/>
  <c r="H673" i="487"/>
  <c r="G673" i="487"/>
  <c r="F673" i="487"/>
  <c r="E673" i="487"/>
  <c r="H608" i="487"/>
  <c r="G608" i="487"/>
  <c r="F608" i="487"/>
  <c r="E608" i="487"/>
  <c r="H543" i="487"/>
  <c r="G543" i="487"/>
  <c r="F543" i="487"/>
  <c r="E543" i="487"/>
  <c r="H478" i="487"/>
  <c r="G478" i="487"/>
  <c r="F478" i="487"/>
  <c r="E478" i="487"/>
  <c r="H413" i="487"/>
  <c r="G413" i="487"/>
  <c r="F413" i="487"/>
  <c r="E413" i="487"/>
  <c r="H348" i="487"/>
  <c r="G348" i="487"/>
  <c r="F348" i="487"/>
  <c r="E348" i="487"/>
  <c r="H283" i="487"/>
  <c r="G283" i="487"/>
  <c r="F283" i="487"/>
  <c r="E283" i="487"/>
  <c r="H218" i="487"/>
  <c r="G218" i="487"/>
  <c r="F218" i="487"/>
  <c r="E218" i="487"/>
  <c r="H153" i="487"/>
  <c r="G153" i="487"/>
  <c r="F153" i="487"/>
  <c r="E153" i="487"/>
  <c r="H135" i="487"/>
  <c r="G135" i="487"/>
  <c r="F135" i="487"/>
  <c r="H88" i="487"/>
  <c r="G88" i="487"/>
  <c r="F88" i="487"/>
  <c r="H31" i="487"/>
  <c r="G31" i="487"/>
  <c r="F31" i="487"/>
  <c r="E31" i="487"/>
  <c r="H1071" i="487"/>
  <c r="G1071" i="487"/>
  <c r="F1071" i="487"/>
  <c r="E1071" i="487"/>
  <c r="H1006" i="487"/>
  <c r="G1006" i="487"/>
  <c r="F1006" i="487"/>
  <c r="E1006" i="487"/>
  <c r="H941" i="487"/>
  <c r="G941" i="487"/>
  <c r="F941" i="487"/>
  <c r="E941" i="487"/>
  <c r="H876" i="487"/>
  <c r="G876" i="487"/>
  <c r="F876" i="487"/>
  <c r="E876" i="487"/>
  <c r="H811" i="487"/>
  <c r="G811" i="487"/>
  <c r="F811" i="487"/>
  <c r="E811" i="487"/>
  <c r="H746" i="487"/>
  <c r="G746" i="487"/>
  <c r="F746" i="487"/>
  <c r="E746" i="487"/>
  <c r="H681" i="487"/>
  <c r="G681" i="487"/>
  <c r="F681" i="487"/>
  <c r="E681" i="487"/>
  <c r="H616" i="487"/>
  <c r="G616" i="487"/>
  <c r="F616" i="487"/>
  <c r="E616" i="487"/>
  <c r="H551" i="487"/>
  <c r="G551" i="487"/>
  <c r="F551" i="487"/>
  <c r="E551" i="487"/>
  <c r="H486" i="487"/>
  <c r="G486" i="487"/>
  <c r="F486" i="487"/>
  <c r="E486" i="487"/>
  <c r="H421" i="487"/>
  <c r="G421" i="487"/>
  <c r="F421" i="487"/>
  <c r="E421" i="487"/>
  <c r="H356" i="487"/>
  <c r="G356" i="487"/>
  <c r="F356" i="487"/>
  <c r="E356" i="487"/>
  <c r="H291" i="487"/>
  <c r="G291" i="487"/>
  <c r="F291" i="487"/>
  <c r="E291" i="487"/>
  <c r="H226" i="487"/>
  <c r="G226" i="487"/>
  <c r="F226" i="487"/>
  <c r="E226" i="487"/>
  <c r="H161" i="487"/>
  <c r="G161" i="487"/>
  <c r="F161" i="487"/>
  <c r="E161" i="487"/>
  <c r="H96" i="487"/>
  <c r="G96" i="487"/>
  <c r="F96" i="487"/>
  <c r="E96" i="487"/>
  <c r="H57" i="487" l="1"/>
  <c r="G57" i="487"/>
  <c r="G73" i="487" s="1"/>
  <c r="F57" i="487"/>
  <c r="F73" i="487" s="1"/>
  <c r="E57" i="487"/>
  <c r="E73" i="487" s="1"/>
  <c r="I56" i="487"/>
  <c r="M56" i="487" s="1"/>
  <c r="I55" i="487"/>
  <c r="M55" i="487" s="1"/>
  <c r="I54" i="487"/>
  <c r="M54" i="487" s="1"/>
  <c r="I53" i="487"/>
  <c r="M53" i="487" s="1"/>
  <c r="I52" i="487"/>
  <c r="M52" i="487" s="1"/>
  <c r="H1097" i="487"/>
  <c r="G1097" i="487"/>
  <c r="G1113" i="487" s="1"/>
  <c r="F1097" i="487"/>
  <c r="F1113" i="487" s="1"/>
  <c r="E1097" i="487"/>
  <c r="I1096" i="487"/>
  <c r="M1096" i="487" s="1"/>
  <c r="I1095" i="487"/>
  <c r="M1095" i="487" s="1"/>
  <c r="I1094" i="487"/>
  <c r="M1094" i="487" s="1"/>
  <c r="I1093" i="487"/>
  <c r="M1093" i="487" s="1"/>
  <c r="I1092" i="487"/>
  <c r="M1092" i="487" s="1"/>
  <c r="H1032" i="487"/>
  <c r="G1032" i="487"/>
  <c r="G1048" i="487" s="1"/>
  <c r="F1032" i="487"/>
  <c r="E1032" i="487"/>
  <c r="E1048" i="487" s="1"/>
  <c r="I1031" i="487"/>
  <c r="M1031" i="487" s="1"/>
  <c r="I1030" i="487"/>
  <c r="M1030" i="487" s="1"/>
  <c r="I1029" i="487"/>
  <c r="M1029" i="487" s="1"/>
  <c r="I1028" i="487"/>
  <c r="M1028" i="487" s="1"/>
  <c r="I1027" i="487"/>
  <c r="M1027" i="487" s="1"/>
  <c r="H967" i="487"/>
  <c r="G967" i="487"/>
  <c r="F967" i="487"/>
  <c r="F983" i="487" s="1"/>
  <c r="E967" i="487"/>
  <c r="E983" i="487" s="1"/>
  <c r="I966" i="487"/>
  <c r="M966" i="487" s="1"/>
  <c r="I965" i="487"/>
  <c r="M965" i="487" s="1"/>
  <c r="I964" i="487"/>
  <c r="M964" i="487" s="1"/>
  <c r="I963" i="487"/>
  <c r="M963" i="487" s="1"/>
  <c r="I962" i="487"/>
  <c r="M962" i="487" s="1"/>
  <c r="H902" i="487"/>
  <c r="G902" i="487"/>
  <c r="G918" i="487" s="1"/>
  <c r="F902" i="487"/>
  <c r="F918" i="487" s="1"/>
  <c r="E902" i="487"/>
  <c r="E918" i="487" s="1"/>
  <c r="I901" i="487"/>
  <c r="M901" i="487" s="1"/>
  <c r="I900" i="487"/>
  <c r="M900" i="487" s="1"/>
  <c r="I899" i="487"/>
  <c r="M899" i="487" s="1"/>
  <c r="I898" i="487"/>
  <c r="M898" i="487" s="1"/>
  <c r="I897" i="487"/>
  <c r="M897" i="487" s="1"/>
  <c r="H837" i="487"/>
  <c r="G837" i="487"/>
  <c r="G853" i="487" s="1"/>
  <c r="F837" i="487"/>
  <c r="F853" i="487" s="1"/>
  <c r="E837" i="487"/>
  <c r="I836" i="487"/>
  <c r="M836" i="487" s="1"/>
  <c r="I835" i="487"/>
  <c r="M835" i="487" s="1"/>
  <c r="I834" i="487"/>
  <c r="M834" i="487" s="1"/>
  <c r="I833" i="487"/>
  <c r="M833" i="487" s="1"/>
  <c r="I832" i="487"/>
  <c r="M832" i="487" s="1"/>
  <c r="H772" i="487"/>
  <c r="G772" i="487"/>
  <c r="G788" i="487" s="1"/>
  <c r="F772" i="487"/>
  <c r="E772" i="487"/>
  <c r="E788" i="487" s="1"/>
  <c r="I771" i="487"/>
  <c r="M771" i="487" s="1"/>
  <c r="I770" i="487"/>
  <c r="M770" i="487" s="1"/>
  <c r="I769" i="487"/>
  <c r="M769" i="487" s="1"/>
  <c r="I768" i="487"/>
  <c r="M768" i="487" s="1"/>
  <c r="I767" i="487"/>
  <c r="M767" i="487" s="1"/>
  <c r="H707" i="487"/>
  <c r="G707" i="487"/>
  <c r="F707" i="487"/>
  <c r="F723" i="487" s="1"/>
  <c r="E707" i="487"/>
  <c r="E723" i="487" s="1"/>
  <c r="I706" i="487"/>
  <c r="M706" i="487" s="1"/>
  <c r="I705" i="487"/>
  <c r="M705" i="487" s="1"/>
  <c r="I704" i="487"/>
  <c r="M704" i="487" s="1"/>
  <c r="I703" i="487"/>
  <c r="M703" i="487" s="1"/>
  <c r="I702" i="487"/>
  <c r="M702" i="487" s="1"/>
  <c r="H642" i="487"/>
  <c r="G642" i="487"/>
  <c r="G658" i="487" s="1"/>
  <c r="F642" i="487"/>
  <c r="F658" i="487" s="1"/>
  <c r="E642" i="487"/>
  <c r="E658" i="487" s="1"/>
  <c r="I641" i="487"/>
  <c r="M641" i="487" s="1"/>
  <c r="I640" i="487"/>
  <c r="M640" i="487" s="1"/>
  <c r="I639" i="487"/>
  <c r="M639" i="487" s="1"/>
  <c r="I638" i="487"/>
  <c r="M638" i="487" s="1"/>
  <c r="I637" i="487"/>
  <c r="M637" i="487" s="1"/>
  <c r="H317" i="487"/>
  <c r="G317" i="487"/>
  <c r="G333" i="487" s="1"/>
  <c r="F317" i="487"/>
  <c r="F333" i="487" s="1"/>
  <c r="E317" i="487"/>
  <c r="I316" i="487"/>
  <c r="M316" i="487" s="1"/>
  <c r="I315" i="487"/>
  <c r="M315" i="487" s="1"/>
  <c r="I314" i="487"/>
  <c r="M314" i="487" s="1"/>
  <c r="I313" i="487"/>
  <c r="M313" i="487" s="1"/>
  <c r="I312" i="487"/>
  <c r="M312" i="487" s="1"/>
  <c r="H187" i="487"/>
  <c r="G187" i="487"/>
  <c r="G203" i="487" s="1"/>
  <c r="F187" i="487"/>
  <c r="E187" i="487"/>
  <c r="E203" i="487" s="1"/>
  <c r="I186" i="487"/>
  <c r="M186" i="487" s="1"/>
  <c r="I185" i="487"/>
  <c r="M185" i="487" s="1"/>
  <c r="I184" i="487"/>
  <c r="M184" i="487" s="1"/>
  <c r="I183" i="487"/>
  <c r="M183" i="487" s="1"/>
  <c r="I182" i="487"/>
  <c r="M182" i="487" s="1"/>
  <c r="H122" i="487"/>
  <c r="G122" i="487"/>
  <c r="F122" i="487"/>
  <c r="E122" i="487"/>
  <c r="I121" i="487"/>
  <c r="M121" i="487" s="1"/>
  <c r="I120" i="487"/>
  <c r="M120" i="487" s="1"/>
  <c r="I119" i="487"/>
  <c r="M119" i="487" s="1"/>
  <c r="I118" i="487"/>
  <c r="M118" i="487" s="1"/>
  <c r="I117" i="487"/>
  <c r="M117" i="487" s="1"/>
  <c r="H252" i="487"/>
  <c r="G252" i="487"/>
  <c r="G268" i="487" s="1"/>
  <c r="F252" i="487"/>
  <c r="F268" i="487" s="1"/>
  <c r="E252" i="487"/>
  <c r="E268" i="487" s="1"/>
  <c r="I251" i="487"/>
  <c r="M251" i="487" s="1"/>
  <c r="I250" i="487"/>
  <c r="M250" i="487" s="1"/>
  <c r="I249" i="487"/>
  <c r="M249" i="487" s="1"/>
  <c r="I248" i="487"/>
  <c r="M248" i="487" s="1"/>
  <c r="I247" i="487"/>
  <c r="M247" i="487" s="1"/>
  <c r="H577" i="487"/>
  <c r="G577" i="487"/>
  <c r="G593" i="487" s="1"/>
  <c r="F577" i="487"/>
  <c r="F593" i="487" s="1"/>
  <c r="E577" i="487"/>
  <c r="I576" i="487"/>
  <c r="M576" i="487" s="1"/>
  <c r="I575" i="487"/>
  <c r="M575" i="487" s="1"/>
  <c r="I574" i="487"/>
  <c r="M574" i="487" s="1"/>
  <c r="I573" i="487"/>
  <c r="M573" i="487" s="1"/>
  <c r="I572" i="487"/>
  <c r="M572" i="487" s="1"/>
  <c r="H512" i="487"/>
  <c r="G512" i="487"/>
  <c r="G528" i="487" s="1"/>
  <c r="F512" i="487"/>
  <c r="E512" i="487"/>
  <c r="E528" i="487" s="1"/>
  <c r="I511" i="487"/>
  <c r="M511" i="487" s="1"/>
  <c r="I510" i="487"/>
  <c r="M510" i="487" s="1"/>
  <c r="I509" i="487"/>
  <c r="M509" i="487" s="1"/>
  <c r="I508" i="487"/>
  <c r="M508" i="487" s="1"/>
  <c r="I507" i="487"/>
  <c r="M507" i="487" s="1"/>
  <c r="H447" i="487"/>
  <c r="G447" i="487"/>
  <c r="F447" i="487"/>
  <c r="F463" i="487" s="1"/>
  <c r="E447" i="487"/>
  <c r="E463" i="487" s="1"/>
  <c r="I446" i="487"/>
  <c r="M446" i="487" s="1"/>
  <c r="I445" i="487"/>
  <c r="M445" i="487" s="1"/>
  <c r="I444" i="487"/>
  <c r="M444" i="487" s="1"/>
  <c r="I443" i="487"/>
  <c r="M443" i="487" s="1"/>
  <c r="I442" i="487"/>
  <c r="M442" i="487" s="1"/>
  <c r="F382" i="487"/>
  <c r="G382" i="487"/>
  <c r="G398" i="487" s="1"/>
  <c r="H382" i="487"/>
  <c r="E382" i="487"/>
  <c r="E398" i="487" s="1"/>
  <c r="I381" i="487"/>
  <c r="M381" i="487" s="1"/>
  <c r="I380" i="487"/>
  <c r="M380" i="487" s="1"/>
  <c r="I379" i="487"/>
  <c r="M379" i="487" s="1"/>
  <c r="I378" i="487"/>
  <c r="M378" i="487" s="1"/>
  <c r="I377" i="487"/>
  <c r="M377" i="487" s="1"/>
  <c r="H723" i="487" l="1"/>
  <c r="H983" i="487"/>
  <c r="H398" i="487"/>
  <c r="H528" i="487"/>
  <c r="H203" i="487"/>
  <c r="H788" i="487"/>
  <c r="H1048" i="487"/>
  <c r="H463" i="487"/>
  <c r="H593" i="487"/>
  <c r="H333" i="487"/>
  <c r="H853" i="487"/>
  <c r="H1113" i="487"/>
  <c r="L122" i="487"/>
  <c r="J1097" i="487"/>
  <c r="E1113" i="487"/>
  <c r="L447" i="487"/>
  <c r="G463" i="487"/>
  <c r="K512" i="487"/>
  <c r="F528" i="487"/>
  <c r="J577" i="487"/>
  <c r="E593" i="487"/>
  <c r="H268" i="487"/>
  <c r="J317" i="487"/>
  <c r="E333" i="487"/>
  <c r="L707" i="487"/>
  <c r="G723" i="487"/>
  <c r="K772" i="487"/>
  <c r="F788" i="487"/>
  <c r="H918" i="487"/>
  <c r="K382" i="487"/>
  <c r="F398" i="487"/>
  <c r="K187" i="487"/>
  <c r="F203" i="487"/>
  <c r="H658" i="487"/>
  <c r="J837" i="487"/>
  <c r="E853" i="487"/>
  <c r="L967" i="487"/>
  <c r="G983" i="487"/>
  <c r="K1032" i="487"/>
  <c r="F1048" i="487"/>
  <c r="H73" i="487"/>
  <c r="L73" i="487" s="1"/>
  <c r="L377" i="487"/>
  <c r="J377" i="487"/>
  <c r="K377" i="487"/>
  <c r="L637" i="487"/>
  <c r="K637" i="487"/>
  <c r="J637" i="487"/>
  <c r="L641" i="487"/>
  <c r="K641" i="487"/>
  <c r="J641" i="487"/>
  <c r="J705" i="487"/>
  <c r="L705" i="487"/>
  <c r="K705" i="487"/>
  <c r="J769" i="487"/>
  <c r="L769" i="487"/>
  <c r="K769" i="487"/>
  <c r="J833" i="487"/>
  <c r="K833" i="487"/>
  <c r="L833" i="487"/>
  <c r="J897" i="487"/>
  <c r="L897" i="487"/>
  <c r="K897" i="487"/>
  <c r="J901" i="487"/>
  <c r="L901" i="487"/>
  <c r="K901" i="487"/>
  <c r="L381" i="487"/>
  <c r="J381" i="487"/>
  <c r="K381" i="487"/>
  <c r="L445" i="487"/>
  <c r="K445" i="487"/>
  <c r="J445" i="487"/>
  <c r="L509" i="487"/>
  <c r="K509" i="487"/>
  <c r="J509" i="487"/>
  <c r="L573" i="487"/>
  <c r="K573" i="487"/>
  <c r="J573" i="487"/>
  <c r="K247" i="487"/>
  <c r="J247" i="487"/>
  <c r="L247" i="487"/>
  <c r="K251" i="487"/>
  <c r="J251" i="487"/>
  <c r="L251" i="487"/>
  <c r="K965" i="487"/>
  <c r="L965" i="487"/>
  <c r="J965" i="487"/>
  <c r="L1029" i="487"/>
  <c r="K1029" i="487"/>
  <c r="J1029" i="487"/>
  <c r="J642" i="487"/>
  <c r="K898" i="487"/>
  <c r="L898" i="487"/>
  <c r="J898" i="487"/>
  <c r="L1032" i="487"/>
  <c r="J1094" i="487"/>
  <c r="L1094" i="487"/>
  <c r="K1094" i="487"/>
  <c r="K1097" i="487"/>
  <c r="J53" i="487"/>
  <c r="L53" i="487"/>
  <c r="K53" i="487"/>
  <c r="J57" i="487"/>
  <c r="L184" i="487"/>
  <c r="K184" i="487"/>
  <c r="J184" i="487"/>
  <c r="K313" i="487"/>
  <c r="J313" i="487"/>
  <c r="L313" i="487"/>
  <c r="L52" i="487"/>
  <c r="K52" i="487"/>
  <c r="J52" i="487"/>
  <c r="J382" i="487"/>
  <c r="L512" i="487"/>
  <c r="L574" i="487"/>
  <c r="J574" i="487"/>
  <c r="K574" i="487"/>
  <c r="J252" i="487"/>
  <c r="L185" i="487"/>
  <c r="K185" i="487"/>
  <c r="J185" i="487"/>
  <c r="K314" i="487"/>
  <c r="J314" i="487"/>
  <c r="L314" i="487"/>
  <c r="K317" i="487"/>
  <c r="J702" i="487"/>
  <c r="L702" i="487"/>
  <c r="K702" i="487"/>
  <c r="K706" i="487"/>
  <c r="J706" i="487"/>
  <c r="L706" i="487"/>
  <c r="L772" i="487"/>
  <c r="K837" i="487"/>
  <c r="L379" i="487"/>
  <c r="K379" i="487"/>
  <c r="J379" i="487"/>
  <c r="L443" i="487"/>
  <c r="J443" i="487"/>
  <c r="K443" i="487"/>
  <c r="J447" i="487"/>
  <c r="L507" i="487"/>
  <c r="J507" i="487"/>
  <c r="K507" i="487"/>
  <c r="L511" i="487"/>
  <c r="K511" i="487"/>
  <c r="J511" i="487"/>
  <c r="L575" i="487"/>
  <c r="K575" i="487"/>
  <c r="J575" i="487"/>
  <c r="L577" i="487"/>
  <c r="K249" i="487"/>
  <c r="J249" i="487"/>
  <c r="L249" i="487"/>
  <c r="K252" i="487"/>
  <c r="L118" i="487"/>
  <c r="J118" i="487"/>
  <c r="K118" i="487"/>
  <c r="J122" i="487"/>
  <c r="L182" i="487"/>
  <c r="K182" i="487"/>
  <c r="J182" i="487"/>
  <c r="K186" i="487"/>
  <c r="L186" i="487"/>
  <c r="J186" i="487"/>
  <c r="K315" i="487"/>
  <c r="J315" i="487"/>
  <c r="L315" i="487"/>
  <c r="L317" i="487"/>
  <c r="L639" i="487"/>
  <c r="K639" i="487"/>
  <c r="J639" i="487"/>
  <c r="K642" i="487"/>
  <c r="J703" i="487"/>
  <c r="L703" i="487"/>
  <c r="K703" i="487"/>
  <c r="J707" i="487"/>
  <c r="L767" i="487"/>
  <c r="J767" i="487"/>
  <c r="K767" i="487"/>
  <c r="L771" i="487"/>
  <c r="K771" i="487"/>
  <c r="J771" i="487"/>
  <c r="L835" i="487"/>
  <c r="J835" i="487"/>
  <c r="K835" i="487"/>
  <c r="L837" i="487"/>
  <c r="L899" i="487"/>
  <c r="K899" i="487"/>
  <c r="J899" i="487"/>
  <c r="K902" i="487"/>
  <c r="L963" i="487"/>
  <c r="K963" i="487"/>
  <c r="J963" i="487"/>
  <c r="J967" i="487"/>
  <c r="K1027" i="487"/>
  <c r="J1027" i="487"/>
  <c r="L1027" i="487"/>
  <c r="K1031" i="487"/>
  <c r="J1031" i="487"/>
  <c r="L1031" i="487"/>
  <c r="K1095" i="487"/>
  <c r="J1095" i="487"/>
  <c r="L1095" i="487"/>
  <c r="L1097" i="487"/>
  <c r="K54" i="487"/>
  <c r="J54" i="487"/>
  <c r="L54" i="487"/>
  <c r="K57" i="487"/>
  <c r="J120" i="487"/>
  <c r="L120" i="487"/>
  <c r="K120" i="487"/>
  <c r="L1093" i="487"/>
  <c r="K1093" i="487"/>
  <c r="J1093" i="487"/>
  <c r="L56" i="487"/>
  <c r="K56" i="487"/>
  <c r="J56" i="487"/>
  <c r="L378" i="487"/>
  <c r="K378" i="487"/>
  <c r="J378" i="487"/>
  <c r="L442" i="487"/>
  <c r="K442" i="487"/>
  <c r="J442" i="487"/>
  <c r="L446" i="487"/>
  <c r="K446" i="487"/>
  <c r="J446" i="487"/>
  <c r="L510" i="487"/>
  <c r="J510" i="487"/>
  <c r="K510" i="487"/>
  <c r="K577" i="487"/>
  <c r="K248" i="487"/>
  <c r="J248" i="487"/>
  <c r="L248" i="487"/>
  <c r="L117" i="487"/>
  <c r="K117" i="487"/>
  <c r="J117" i="487"/>
  <c r="L121" i="487"/>
  <c r="J121" i="487"/>
  <c r="K121" i="487"/>
  <c r="L187" i="487"/>
  <c r="L638" i="487"/>
  <c r="J638" i="487"/>
  <c r="K638" i="487"/>
  <c r="K770" i="487"/>
  <c r="L770" i="487"/>
  <c r="J770" i="487"/>
  <c r="K834" i="487"/>
  <c r="L834" i="487"/>
  <c r="J834" i="487"/>
  <c r="J902" i="487"/>
  <c r="L962" i="487"/>
  <c r="J962" i="487"/>
  <c r="K962" i="487"/>
  <c r="L966" i="487"/>
  <c r="J966" i="487"/>
  <c r="K966" i="487"/>
  <c r="J1030" i="487"/>
  <c r="L1030" i="487"/>
  <c r="K1030" i="487"/>
  <c r="L380" i="487"/>
  <c r="K380" i="487"/>
  <c r="J380" i="487"/>
  <c r="L382" i="487"/>
  <c r="L444" i="487"/>
  <c r="K444" i="487"/>
  <c r="J444" i="487"/>
  <c r="K447" i="487"/>
  <c r="L508" i="487"/>
  <c r="K508" i="487"/>
  <c r="J508" i="487"/>
  <c r="J512" i="487"/>
  <c r="L572" i="487"/>
  <c r="K572" i="487"/>
  <c r="J572" i="487"/>
  <c r="L576" i="487"/>
  <c r="K576" i="487"/>
  <c r="J576" i="487"/>
  <c r="K250" i="487"/>
  <c r="J250" i="487"/>
  <c r="L250" i="487"/>
  <c r="L252" i="487"/>
  <c r="L119" i="487"/>
  <c r="K119" i="487"/>
  <c r="J119" i="487"/>
  <c r="K122" i="487"/>
  <c r="L183" i="487"/>
  <c r="K183" i="487"/>
  <c r="J183" i="487"/>
  <c r="J187" i="487"/>
  <c r="K312" i="487"/>
  <c r="J312" i="487"/>
  <c r="L312" i="487"/>
  <c r="K316" i="487"/>
  <c r="J316" i="487"/>
  <c r="L316" i="487"/>
  <c r="L640" i="487"/>
  <c r="K640" i="487"/>
  <c r="J640" i="487"/>
  <c r="L642" i="487"/>
  <c r="K704" i="487"/>
  <c r="L704" i="487"/>
  <c r="J704" i="487"/>
  <c r="K707" i="487"/>
  <c r="J768" i="487"/>
  <c r="L768" i="487"/>
  <c r="K768" i="487"/>
  <c r="J772" i="487"/>
  <c r="L832" i="487"/>
  <c r="K832" i="487"/>
  <c r="J832" i="487"/>
  <c r="L836" i="487"/>
  <c r="K836" i="487"/>
  <c r="J836" i="487"/>
  <c r="K900" i="487"/>
  <c r="J900" i="487"/>
  <c r="L900" i="487"/>
  <c r="L902" i="487"/>
  <c r="J964" i="487"/>
  <c r="L964" i="487"/>
  <c r="K964" i="487"/>
  <c r="K967" i="487"/>
  <c r="L1028" i="487"/>
  <c r="K1028" i="487"/>
  <c r="J1028" i="487"/>
  <c r="J1032" i="487"/>
  <c r="L1092" i="487"/>
  <c r="K1092" i="487"/>
  <c r="J1092" i="487"/>
  <c r="L1096" i="487"/>
  <c r="K1096" i="487"/>
  <c r="J1096" i="487"/>
  <c r="L55" i="487"/>
  <c r="K55" i="487"/>
  <c r="J55" i="487"/>
  <c r="L57" i="487"/>
  <c r="I967" i="487"/>
  <c r="M967" i="487" s="1"/>
  <c r="I902" i="487"/>
  <c r="M902" i="487" s="1"/>
  <c r="I122" i="487"/>
  <c r="M122" i="487" s="1"/>
  <c r="I642" i="487"/>
  <c r="M642" i="487" s="1"/>
  <c r="I707" i="487"/>
  <c r="M707" i="487" s="1"/>
  <c r="I1032" i="487"/>
  <c r="M1032" i="487" s="1"/>
  <c r="I1097" i="487"/>
  <c r="M1097" i="487" s="1"/>
  <c r="I57" i="487"/>
  <c r="M57" i="487" s="1"/>
  <c r="I772" i="487"/>
  <c r="M772" i="487" s="1"/>
  <c r="I837" i="487"/>
  <c r="M837" i="487" s="1"/>
  <c r="I382" i="487"/>
  <c r="M382" i="487" s="1"/>
  <c r="I447" i="487"/>
  <c r="M447" i="487" s="1"/>
  <c r="I512" i="487"/>
  <c r="M512" i="487" s="1"/>
  <c r="I577" i="487"/>
  <c r="M577" i="487" s="1"/>
  <c r="I252" i="487"/>
  <c r="M252" i="487" s="1"/>
  <c r="I187" i="487"/>
  <c r="M187" i="487" s="1"/>
  <c r="I317" i="487"/>
  <c r="M317" i="487" s="1"/>
  <c r="I371" i="487"/>
  <c r="M371" i="487" s="1"/>
  <c r="I436" i="487"/>
  <c r="M436" i="487" s="1"/>
  <c r="I501" i="487"/>
  <c r="M501" i="487" s="1"/>
  <c r="I566" i="487"/>
  <c r="M566" i="487" s="1"/>
  <c r="I241" i="487"/>
  <c r="M241" i="487" s="1"/>
  <c r="I111" i="487"/>
  <c r="M111" i="487" s="1"/>
  <c r="I176" i="487"/>
  <c r="M176" i="487" s="1"/>
  <c r="I306" i="487"/>
  <c r="M306" i="487" s="1"/>
  <c r="I631" i="487"/>
  <c r="M631" i="487" s="1"/>
  <c r="I696" i="487"/>
  <c r="M696" i="487" s="1"/>
  <c r="I761" i="487"/>
  <c r="M761" i="487" s="1"/>
  <c r="I826" i="487"/>
  <c r="M826" i="487" s="1"/>
  <c r="I891" i="487"/>
  <c r="M891" i="487" s="1"/>
  <c r="I956" i="487"/>
  <c r="M956" i="487" s="1"/>
  <c r="I1021" i="487"/>
  <c r="M1021" i="487" s="1"/>
  <c r="I1086" i="487"/>
  <c r="M1086" i="487" s="1"/>
  <c r="K73" i="487" l="1"/>
  <c r="J73" i="487"/>
  <c r="K761" i="487"/>
  <c r="J761" i="487"/>
  <c r="L761" i="487"/>
  <c r="L176" i="487"/>
  <c r="K176" i="487"/>
  <c r="J176" i="487"/>
  <c r="K1086" i="487"/>
  <c r="J1086" i="487"/>
  <c r="L1086" i="487"/>
  <c r="L826" i="487"/>
  <c r="K826" i="487"/>
  <c r="J826" i="487"/>
  <c r="K306" i="487"/>
  <c r="J306" i="487"/>
  <c r="L306" i="487"/>
  <c r="L566" i="487"/>
  <c r="K566" i="487"/>
  <c r="J566" i="487"/>
  <c r="K956" i="487"/>
  <c r="J956" i="487"/>
  <c r="L956" i="487"/>
  <c r="J1021" i="487"/>
  <c r="L1021" i="487"/>
  <c r="K1021" i="487"/>
  <c r="L501" i="487"/>
  <c r="K501" i="487"/>
  <c r="J501" i="487"/>
  <c r="L696" i="487"/>
  <c r="J696" i="487"/>
  <c r="K696" i="487"/>
  <c r="L111" i="487"/>
  <c r="J111" i="487"/>
  <c r="K111" i="487"/>
  <c r="L436" i="487"/>
  <c r="K436" i="487"/>
  <c r="J436" i="487"/>
  <c r="L891" i="487"/>
  <c r="K891" i="487"/>
  <c r="J891" i="487"/>
  <c r="L631" i="487"/>
  <c r="K631" i="487"/>
  <c r="J631" i="487"/>
  <c r="K241" i="487"/>
  <c r="J241" i="487"/>
  <c r="L241" i="487"/>
  <c r="L371" i="487"/>
  <c r="K371" i="487"/>
  <c r="J371" i="487"/>
  <c r="I46" i="487"/>
  <c r="M46" i="487" s="1"/>
  <c r="L46" i="487" l="1"/>
  <c r="K46" i="487"/>
  <c r="J46" i="487"/>
  <c r="I368" i="487"/>
  <c r="M368" i="487" s="1"/>
  <c r="I367" i="487"/>
  <c r="M367" i="487" s="1"/>
  <c r="I366" i="487"/>
  <c r="M366" i="487" s="1"/>
  <c r="I365" i="487"/>
  <c r="M365" i="487" s="1"/>
  <c r="I364" i="487"/>
  <c r="M364" i="487" s="1"/>
  <c r="I363" i="487"/>
  <c r="M363" i="487" s="1"/>
  <c r="I362" i="487"/>
  <c r="M362" i="487" s="1"/>
  <c r="I433" i="487"/>
  <c r="M433" i="487" s="1"/>
  <c r="I432" i="487"/>
  <c r="M432" i="487" s="1"/>
  <c r="I431" i="487"/>
  <c r="M431" i="487" s="1"/>
  <c r="I430" i="487"/>
  <c r="M430" i="487" s="1"/>
  <c r="I429" i="487"/>
  <c r="M429" i="487" s="1"/>
  <c r="I428" i="487"/>
  <c r="M428" i="487" s="1"/>
  <c r="I427" i="487"/>
  <c r="M427" i="487" s="1"/>
  <c r="I498" i="487"/>
  <c r="M498" i="487" s="1"/>
  <c r="I497" i="487"/>
  <c r="M497" i="487" s="1"/>
  <c r="I496" i="487"/>
  <c r="M496" i="487" s="1"/>
  <c r="I495" i="487"/>
  <c r="M495" i="487" s="1"/>
  <c r="I494" i="487"/>
  <c r="M494" i="487" s="1"/>
  <c r="I493" i="487"/>
  <c r="M493" i="487" s="1"/>
  <c r="I492" i="487"/>
  <c r="M492" i="487" s="1"/>
  <c r="I563" i="487"/>
  <c r="M563" i="487" s="1"/>
  <c r="I562" i="487"/>
  <c r="M562" i="487" s="1"/>
  <c r="I561" i="487"/>
  <c r="M561" i="487" s="1"/>
  <c r="I560" i="487"/>
  <c r="M560" i="487" s="1"/>
  <c r="I559" i="487"/>
  <c r="M559" i="487" s="1"/>
  <c r="I558" i="487"/>
  <c r="M558" i="487" s="1"/>
  <c r="I557" i="487"/>
  <c r="M557" i="487" s="1"/>
  <c r="I238" i="487"/>
  <c r="M238" i="487" s="1"/>
  <c r="I237" i="487"/>
  <c r="M237" i="487" s="1"/>
  <c r="I236" i="487"/>
  <c r="M236" i="487" s="1"/>
  <c r="I235" i="487"/>
  <c r="M235" i="487" s="1"/>
  <c r="I234" i="487"/>
  <c r="M234" i="487" s="1"/>
  <c r="I233" i="487"/>
  <c r="M233" i="487" s="1"/>
  <c r="I232" i="487"/>
  <c r="M232" i="487" s="1"/>
  <c r="I108" i="487"/>
  <c r="M108" i="487" s="1"/>
  <c r="I107" i="487"/>
  <c r="M107" i="487" s="1"/>
  <c r="I106" i="487"/>
  <c r="M106" i="487" s="1"/>
  <c r="I105" i="487"/>
  <c r="M105" i="487" s="1"/>
  <c r="I104" i="487"/>
  <c r="M104" i="487" s="1"/>
  <c r="I103" i="487"/>
  <c r="M103" i="487" s="1"/>
  <c r="I102" i="487"/>
  <c r="M102" i="487" s="1"/>
  <c r="I173" i="487"/>
  <c r="M173" i="487" s="1"/>
  <c r="I172" i="487"/>
  <c r="M172" i="487" s="1"/>
  <c r="I171" i="487"/>
  <c r="M171" i="487" s="1"/>
  <c r="I170" i="487"/>
  <c r="M170" i="487" s="1"/>
  <c r="I169" i="487"/>
  <c r="M169" i="487" s="1"/>
  <c r="I168" i="487"/>
  <c r="M168" i="487" s="1"/>
  <c r="I167" i="487"/>
  <c r="M167" i="487" s="1"/>
  <c r="I303" i="487"/>
  <c r="M303" i="487" s="1"/>
  <c r="I302" i="487"/>
  <c r="M302" i="487" s="1"/>
  <c r="I301" i="487"/>
  <c r="M301" i="487" s="1"/>
  <c r="I300" i="487"/>
  <c r="M300" i="487" s="1"/>
  <c r="I299" i="487"/>
  <c r="M299" i="487" s="1"/>
  <c r="I298" i="487"/>
  <c r="M298" i="487" s="1"/>
  <c r="I297" i="487"/>
  <c r="M297" i="487" s="1"/>
  <c r="I628" i="487"/>
  <c r="M628" i="487" s="1"/>
  <c r="I627" i="487"/>
  <c r="M627" i="487" s="1"/>
  <c r="I626" i="487"/>
  <c r="M626" i="487" s="1"/>
  <c r="I625" i="487"/>
  <c r="M625" i="487" s="1"/>
  <c r="I624" i="487"/>
  <c r="M624" i="487" s="1"/>
  <c r="I623" i="487"/>
  <c r="M623" i="487" s="1"/>
  <c r="I622" i="487"/>
  <c r="M622" i="487" s="1"/>
  <c r="I693" i="487"/>
  <c r="M693" i="487" s="1"/>
  <c r="I692" i="487"/>
  <c r="M692" i="487" s="1"/>
  <c r="I691" i="487"/>
  <c r="M691" i="487" s="1"/>
  <c r="I690" i="487"/>
  <c r="M690" i="487" s="1"/>
  <c r="I689" i="487"/>
  <c r="M689" i="487" s="1"/>
  <c r="I688" i="487"/>
  <c r="M688" i="487" s="1"/>
  <c r="I687" i="487"/>
  <c r="M687" i="487" s="1"/>
  <c r="I758" i="487"/>
  <c r="M758" i="487" s="1"/>
  <c r="I757" i="487"/>
  <c r="M757" i="487" s="1"/>
  <c r="I756" i="487"/>
  <c r="M756" i="487" s="1"/>
  <c r="I755" i="487"/>
  <c r="M755" i="487" s="1"/>
  <c r="I754" i="487"/>
  <c r="M754" i="487" s="1"/>
  <c r="I753" i="487"/>
  <c r="M753" i="487" s="1"/>
  <c r="I752" i="487"/>
  <c r="M752" i="487" s="1"/>
  <c r="I823" i="487"/>
  <c r="M823" i="487" s="1"/>
  <c r="I822" i="487"/>
  <c r="M822" i="487" s="1"/>
  <c r="I821" i="487"/>
  <c r="M821" i="487" s="1"/>
  <c r="I820" i="487"/>
  <c r="M820" i="487" s="1"/>
  <c r="I819" i="487"/>
  <c r="M819" i="487" s="1"/>
  <c r="I818" i="487"/>
  <c r="M818" i="487" s="1"/>
  <c r="I817" i="487"/>
  <c r="M817" i="487" s="1"/>
  <c r="I888" i="487"/>
  <c r="M888" i="487" s="1"/>
  <c r="I887" i="487"/>
  <c r="M887" i="487" s="1"/>
  <c r="I886" i="487"/>
  <c r="M886" i="487" s="1"/>
  <c r="I885" i="487"/>
  <c r="M885" i="487" s="1"/>
  <c r="I884" i="487"/>
  <c r="M884" i="487" s="1"/>
  <c r="I883" i="487"/>
  <c r="M883" i="487" s="1"/>
  <c r="I882" i="487"/>
  <c r="M882" i="487" s="1"/>
  <c r="I953" i="487"/>
  <c r="M953" i="487" s="1"/>
  <c r="I952" i="487"/>
  <c r="M952" i="487" s="1"/>
  <c r="I951" i="487"/>
  <c r="M951" i="487" s="1"/>
  <c r="I950" i="487"/>
  <c r="M950" i="487" s="1"/>
  <c r="I949" i="487"/>
  <c r="M949" i="487" s="1"/>
  <c r="I948" i="487"/>
  <c r="M948" i="487" s="1"/>
  <c r="I947" i="487"/>
  <c r="M947" i="487" s="1"/>
  <c r="I1018" i="487"/>
  <c r="M1018" i="487" s="1"/>
  <c r="I1017" i="487"/>
  <c r="M1017" i="487" s="1"/>
  <c r="I1016" i="487"/>
  <c r="M1016" i="487" s="1"/>
  <c r="I1015" i="487"/>
  <c r="M1015" i="487" s="1"/>
  <c r="I1014" i="487"/>
  <c r="M1014" i="487" s="1"/>
  <c r="I1013" i="487"/>
  <c r="M1013" i="487" s="1"/>
  <c r="I1012" i="487"/>
  <c r="M1012" i="487" s="1"/>
  <c r="I1083" i="487"/>
  <c r="M1083" i="487" s="1"/>
  <c r="I1082" i="487"/>
  <c r="M1082" i="487" s="1"/>
  <c r="I1081" i="487"/>
  <c r="M1081" i="487" s="1"/>
  <c r="I1080" i="487"/>
  <c r="M1080" i="487" s="1"/>
  <c r="I1079" i="487"/>
  <c r="M1079" i="487" s="1"/>
  <c r="I1078" i="487"/>
  <c r="M1078" i="487" s="1"/>
  <c r="I1077" i="487"/>
  <c r="M1077" i="487" s="1"/>
  <c r="K884" i="487" l="1"/>
  <c r="L884" i="487"/>
  <c r="J884" i="487"/>
  <c r="L628" i="487"/>
  <c r="J628" i="487"/>
  <c r="K628" i="487"/>
  <c r="L103" i="487"/>
  <c r="K103" i="487"/>
  <c r="J103" i="487"/>
  <c r="K238" i="487"/>
  <c r="J238" i="487"/>
  <c r="L238" i="487"/>
  <c r="L560" i="487"/>
  <c r="J560" i="487"/>
  <c r="K560" i="487"/>
  <c r="L492" i="487"/>
  <c r="K492" i="487"/>
  <c r="J492" i="487"/>
  <c r="L496" i="487"/>
  <c r="K496" i="487"/>
  <c r="J496" i="487"/>
  <c r="L428" i="487"/>
  <c r="K428" i="487"/>
  <c r="J428" i="487"/>
  <c r="L432" i="487"/>
  <c r="K432" i="487"/>
  <c r="J432" i="487"/>
  <c r="L364" i="487"/>
  <c r="K364" i="487"/>
  <c r="J364" i="487"/>
  <c r="L368" i="487"/>
  <c r="K368" i="487"/>
  <c r="J368" i="487"/>
  <c r="J1080" i="487"/>
  <c r="L1080" i="487"/>
  <c r="K1080" i="487"/>
  <c r="L952" i="487"/>
  <c r="K952" i="487"/>
  <c r="J952" i="487"/>
  <c r="K820" i="487"/>
  <c r="J820" i="487"/>
  <c r="L820" i="487"/>
  <c r="L688" i="487"/>
  <c r="J688" i="487"/>
  <c r="K688" i="487"/>
  <c r="K300" i="487"/>
  <c r="J300" i="487"/>
  <c r="L300" i="487"/>
  <c r="K234" i="487"/>
  <c r="J234" i="487"/>
  <c r="L234" i="487"/>
  <c r="K1017" i="487"/>
  <c r="J1017" i="487"/>
  <c r="L1017" i="487"/>
  <c r="L817" i="487"/>
  <c r="J817" i="487"/>
  <c r="K817" i="487"/>
  <c r="L625" i="487"/>
  <c r="K625" i="487"/>
  <c r="J625" i="487"/>
  <c r="J1012" i="487"/>
  <c r="L1012" i="487"/>
  <c r="K1012" i="487"/>
  <c r="L948" i="487"/>
  <c r="J948" i="487"/>
  <c r="K948" i="487"/>
  <c r="K752" i="487"/>
  <c r="J752" i="487"/>
  <c r="L752" i="487"/>
  <c r="L692" i="487"/>
  <c r="K692" i="487"/>
  <c r="J692" i="487"/>
  <c r="L171" i="487"/>
  <c r="K171" i="487"/>
  <c r="J171" i="487"/>
  <c r="K1081" i="487"/>
  <c r="J1081" i="487"/>
  <c r="L1081" i="487"/>
  <c r="J949" i="487"/>
  <c r="L949" i="487"/>
  <c r="K949" i="487"/>
  <c r="L821" i="487"/>
  <c r="K821" i="487"/>
  <c r="J821" i="487"/>
  <c r="L689" i="487"/>
  <c r="J689" i="487"/>
  <c r="K689" i="487"/>
  <c r="K297" i="487"/>
  <c r="J297" i="487"/>
  <c r="L297" i="487"/>
  <c r="L168" i="487"/>
  <c r="K168" i="487"/>
  <c r="J168" i="487"/>
  <c r="L172" i="487"/>
  <c r="K172" i="487"/>
  <c r="J172" i="487"/>
  <c r="J108" i="487"/>
  <c r="L108" i="487"/>
  <c r="K108" i="487"/>
  <c r="L557" i="487"/>
  <c r="K557" i="487"/>
  <c r="J557" i="487"/>
  <c r="L493" i="487"/>
  <c r="J493" i="487"/>
  <c r="K493" i="487"/>
  <c r="L497" i="487"/>
  <c r="J497" i="487"/>
  <c r="K497" i="487"/>
  <c r="L429" i="487"/>
  <c r="K429" i="487"/>
  <c r="J429" i="487"/>
  <c r="L433" i="487"/>
  <c r="J433" i="487"/>
  <c r="K433" i="487"/>
  <c r="L1014" i="487"/>
  <c r="K1014" i="487"/>
  <c r="J1014" i="487"/>
  <c r="L886" i="487"/>
  <c r="K886" i="487"/>
  <c r="J886" i="487"/>
  <c r="K758" i="487"/>
  <c r="L758" i="487"/>
  <c r="J758" i="487"/>
  <c r="L622" i="487"/>
  <c r="K622" i="487"/>
  <c r="J622" i="487"/>
  <c r="L626" i="487"/>
  <c r="K626" i="487"/>
  <c r="J626" i="487"/>
  <c r="K298" i="487"/>
  <c r="J298" i="487"/>
  <c r="L298" i="487"/>
  <c r="K302" i="487"/>
  <c r="J302" i="487"/>
  <c r="L302" i="487"/>
  <c r="L169" i="487"/>
  <c r="K169" i="487"/>
  <c r="J169" i="487"/>
  <c r="L173" i="487"/>
  <c r="K173" i="487"/>
  <c r="J173" i="487"/>
  <c r="L105" i="487"/>
  <c r="K105" i="487"/>
  <c r="J105" i="487"/>
  <c r="K232" i="487"/>
  <c r="J232" i="487"/>
  <c r="L232" i="487"/>
  <c r="K236" i="487"/>
  <c r="J236" i="487"/>
  <c r="L236" i="487"/>
  <c r="L558" i="487"/>
  <c r="K558" i="487"/>
  <c r="J558" i="487"/>
  <c r="L562" i="487"/>
  <c r="K562" i="487"/>
  <c r="J562" i="487"/>
  <c r="L494" i="487"/>
  <c r="K494" i="487"/>
  <c r="J494" i="487"/>
  <c r="L498" i="487"/>
  <c r="K498" i="487"/>
  <c r="J498" i="487"/>
  <c r="L430" i="487"/>
  <c r="K430" i="487"/>
  <c r="J430" i="487"/>
  <c r="K362" i="487"/>
  <c r="J362" i="487"/>
  <c r="L362" i="487"/>
  <c r="L366" i="487"/>
  <c r="K366" i="487"/>
  <c r="J366" i="487"/>
  <c r="J1016" i="487"/>
  <c r="L1016" i="487"/>
  <c r="K1016" i="487"/>
  <c r="K888" i="487"/>
  <c r="L888" i="487"/>
  <c r="J888" i="487"/>
  <c r="K756" i="487"/>
  <c r="L756" i="487"/>
  <c r="J756" i="487"/>
  <c r="L624" i="487"/>
  <c r="J624" i="487"/>
  <c r="K624" i="487"/>
  <c r="L167" i="487"/>
  <c r="K167" i="487"/>
  <c r="J167" i="487"/>
  <c r="L107" i="487"/>
  <c r="K107" i="487"/>
  <c r="J107" i="487"/>
  <c r="K1077" i="487"/>
  <c r="J1077" i="487"/>
  <c r="L1077" i="487"/>
  <c r="K1013" i="487"/>
  <c r="J1013" i="487"/>
  <c r="L1013" i="487"/>
  <c r="J953" i="487"/>
  <c r="L953" i="487"/>
  <c r="K953" i="487"/>
  <c r="L885" i="487"/>
  <c r="K885" i="487"/>
  <c r="J885" i="487"/>
  <c r="L753" i="487"/>
  <c r="J753" i="487"/>
  <c r="K753" i="487"/>
  <c r="L757" i="487"/>
  <c r="J757" i="487"/>
  <c r="K757" i="487"/>
  <c r="L693" i="487"/>
  <c r="J693" i="487"/>
  <c r="K693" i="487"/>
  <c r="K301" i="487"/>
  <c r="J301" i="487"/>
  <c r="L301" i="487"/>
  <c r="L104" i="487"/>
  <c r="K104" i="487"/>
  <c r="J104" i="487"/>
  <c r="K235" i="487"/>
  <c r="J235" i="487"/>
  <c r="L235" i="487"/>
  <c r="L561" i="487"/>
  <c r="K561" i="487"/>
  <c r="J561" i="487"/>
  <c r="L365" i="487"/>
  <c r="K365" i="487"/>
  <c r="J365" i="487"/>
  <c r="L1078" i="487"/>
  <c r="K1078" i="487"/>
  <c r="J1078" i="487"/>
  <c r="L1082" i="487"/>
  <c r="K1082" i="487"/>
  <c r="J1082" i="487"/>
  <c r="L1018" i="487"/>
  <c r="K1018" i="487"/>
  <c r="J1018" i="487"/>
  <c r="J950" i="487"/>
  <c r="L950" i="487"/>
  <c r="K950" i="487"/>
  <c r="J882" i="487"/>
  <c r="K882" i="487"/>
  <c r="L882" i="487"/>
  <c r="K818" i="487"/>
  <c r="L818" i="487"/>
  <c r="J818" i="487"/>
  <c r="J822" i="487"/>
  <c r="L822" i="487"/>
  <c r="K822" i="487"/>
  <c r="L754" i="487"/>
  <c r="J754" i="487"/>
  <c r="K754" i="487"/>
  <c r="L690" i="487"/>
  <c r="K690" i="487"/>
  <c r="J690" i="487"/>
  <c r="L1079" i="487"/>
  <c r="K1079" i="487"/>
  <c r="J1079" i="487"/>
  <c r="L1083" i="487"/>
  <c r="K1083" i="487"/>
  <c r="J1083" i="487"/>
  <c r="L1015" i="487"/>
  <c r="K1015" i="487"/>
  <c r="J1015" i="487"/>
  <c r="K947" i="487"/>
  <c r="J947" i="487"/>
  <c r="L947" i="487"/>
  <c r="K951" i="487"/>
  <c r="L951" i="487"/>
  <c r="J951" i="487"/>
  <c r="J883" i="487"/>
  <c r="L883" i="487"/>
  <c r="K883" i="487"/>
  <c r="J887" i="487"/>
  <c r="K887" i="487"/>
  <c r="L887" i="487"/>
  <c r="J819" i="487"/>
  <c r="L819" i="487"/>
  <c r="K819" i="487"/>
  <c r="J823" i="487"/>
  <c r="L823" i="487"/>
  <c r="K823" i="487"/>
  <c r="J755" i="487"/>
  <c r="L755" i="487"/>
  <c r="K755" i="487"/>
  <c r="L687" i="487"/>
  <c r="K687" i="487"/>
  <c r="J687" i="487"/>
  <c r="L691" i="487"/>
  <c r="K691" i="487"/>
  <c r="J691" i="487"/>
  <c r="L623" i="487"/>
  <c r="K623" i="487"/>
  <c r="J623" i="487"/>
  <c r="L627" i="487"/>
  <c r="K627" i="487"/>
  <c r="J627" i="487"/>
  <c r="K299" i="487"/>
  <c r="J299" i="487"/>
  <c r="L299" i="487"/>
  <c r="K303" i="487"/>
  <c r="J303" i="487"/>
  <c r="L303" i="487"/>
  <c r="L170" i="487"/>
  <c r="K170" i="487"/>
  <c r="J170" i="487"/>
  <c r="L102" i="487"/>
  <c r="J102" i="487"/>
  <c r="K102" i="487"/>
  <c r="L106" i="487"/>
  <c r="K106" i="487"/>
  <c r="J106" i="487"/>
  <c r="K233" i="487"/>
  <c r="J233" i="487"/>
  <c r="L233" i="487"/>
  <c r="K237" i="487"/>
  <c r="J237" i="487"/>
  <c r="L237" i="487"/>
  <c r="L559" i="487"/>
  <c r="K559" i="487"/>
  <c r="J559" i="487"/>
  <c r="L563" i="487"/>
  <c r="K563" i="487"/>
  <c r="J563" i="487"/>
  <c r="L495" i="487"/>
  <c r="K495" i="487"/>
  <c r="J495" i="487"/>
  <c r="L427" i="487"/>
  <c r="J427" i="487"/>
  <c r="K427" i="487"/>
  <c r="L431" i="487"/>
  <c r="K431" i="487"/>
  <c r="J431" i="487"/>
  <c r="K363" i="487"/>
  <c r="J363" i="487"/>
  <c r="L363" i="487"/>
  <c r="L367" i="487"/>
  <c r="J367" i="487"/>
  <c r="K367" i="487"/>
  <c r="I43" i="487"/>
  <c r="M43" i="487" s="1"/>
  <c r="I42" i="487"/>
  <c r="M42" i="487" s="1"/>
  <c r="I41" i="487"/>
  <c r="M41" i="487" s="1"/>
  <c r="I40" i="487"/>
  <c r="M40" i="487" s="1"/>
  <c r="I39" i="487"/>
  <c r="M39" i="487" s="1"/>
  <c r="I38" i="487"/>
  <c r="M38" i="487" s="1"/>
  <c r="I37" i="487"/>
  <c r="M37" i="487" s="1"/>
  <c r="J39" i="487" l="1"/>
  <c r="L39" i="487"/>
  <c r="K39" i="487"/>
  <c r="J43" i="487"/>
  <c r="L43" i="487"/>
  <c r="K43" i="487"/>
  <c r="L37" i="487"/>
  <c r="K37" i="487"/>
  <c r="J37" i="487"/>
  <c r="L41" i="487"/>
  <c r="K41" i="487"/>
  <c r="J41" i="487"/>
  <c r="L38" i="487"/>
  <c r="K38" i="487"/>
  <c r="J38" i="487"/>
  <c r="L42" i="487"/>
  <c r="K42" i="487"/>
  <c r="J42" i="487"/>
  <c r="K40" i="487"/>
  <c r="J40" i="487"/>
  <c r="L40" i="487"/>
  <c r="I34" i="487"/>
  <c r="M34" i="487" s="1"/>
  <c r="I1074" i="487"/>
  <c r="M1074" i="487" s="1"/>
  <c r="I1009" i="487"/>
  <c r="M1009" i="487" s="1"/>
  <c r="I944" i="487"/>
  <c r="M944" i="487" s="1"/>
  <c r="I879" i="487"/>
  <c r="M879" i="487" s="1"/>
  <c r="I814" i="487"/>
  <c r="M814" i="487" s="1"/>
  <c r="I749" i="487"/>
  <c r="M749" i="487" s="1"/>
  <c r="I684" i="487"/>
  <c r="M684" i="487" s="1"/>
  <c r="I619" i="487"/>
  <c r="M619" i="487" s="1"/>
  <c r="I294" i="487"/>
  <c r="M294" i="487" s="1"/>
  <c r="I164" i="487"/>
  <c r="M164" i="487" s="1"/>
  <c r="I99" i="487"/>
  <c r="M99" i="487" s="1"/>
  <c r="I229" i="487"/>
  <c r="M229" i="487" s="1"/>
  <c r="I554" i="487"/>
  <c r="M554" i="487" s="1"/>
  <c r="I489" i="487"/>
  <c r="M489" i="487" s="1"/>
  <c r="I424" i="487"/>
  <c r="M424" i="487" s="1"/>
  <c r="I359" i="487"/>
  <c r="M359" i="487" s="1"/>
  <c r="L489" i="487" l="1"/>
  <c r="K489" i="487"/>
  <c r="J489" i="487"/>
  <c r="L164" i="487"/>
  <c r="J164" i="487"/>
  <c r="K164" i="487"/>
  <c r="J749" i="487"/>
  <c r="K749" i="487"/>
  <c r="L749" i="487"/>
  <c r="L1009" i="487"/>
  <c r="K1009" i="487"/>
  <c r="J1009" i="487"/>
  <c r="L554" i="487"/>
  <c r="J554" i="487"/>
  <c r="K554" i="487"/>
  <c r="K294" i="487"/>
  <c r="J294" i="487"/>
  <c r="L294" i="487"/>
  <c r="K814" i="487"/>
  <c r="L814" i="487"/>
  <c r="J814" i="487"/>
  <c r="J1074" i="487"/>
  <c r="L1074" i="487"/>
  <c r="K1074" i="487"/>
  <c r="K359" i="487"/>
  <c r="J359" i="487"/>
  <c r="L359" i="487"/>
  <c r="K229" i="487"/>
  <c r="J229" i="487"/>
  <c r="L229" i="487"/>
  <c r="L619" i="487"/>
  <c r="K619" i="487"/>
  <c r="J619" i="487"/>
  <c r="L879" i="487"/>
  <c r="K879" i="487"/>
  <c r="J879" i="487"/>
  <c r="K34" i="487"/>
  <c r="J34" i="487"/>
  <c r="L34" i="487"/>
  <c r="L424" i="487"/>
  <c r="K424" i="487"/>
  <c r="J424" i="487"/>
  <c r="K99" i="487"/>
  <c r="J99" i="487"/>
  <c r="L99" i="487"/>
  <c r="L684" i="487"/>
  <c r="K684" i="487"/>
  <c r="J684" i="487"/>
  <c r="J944" i="487"/>
  <c r="L944" i="487"/>
  <c r="K944" i="487"/>
  <c r="K395" i="487"/>
  <c r="I394" i="487"/>
  <c r="M394" i="487" s="1"/>
  <c r="I393" i="487"/>
  <c r="M393" i="487" s="1"/>
  <c r="I392" i="487"/>
  <c r="M392" i="487" s="1"/>
  <c r="I391" i="487"/>
  <c r="M391" i="487" s="1"/>
  <c r="I390" i="487"/>
  <c r="M390" i="487" s="1"/>
  <c r="I389" i="487"/>
  <c r="M389" i="487" s="1"/>
  <c r="I388" i="487"/>
  <c r="M388" i="487" s="1"/>
  <c r="I387" i="487"/>
  <c r="M387" i="487" s="1"/>
  <c r="I386" i="487"/>
  <c r="M386" i="487" s="1"/>
  <c r="I385" i="487"/>
  <c r="M385" i="487" s="1"/>
  <c r="I355" i="487"/>
  <c r="M355" i="487" s="1"/>
  <c r="I354" i="487"/>
  <c r="M354" i="487" s="1"/>
  <c r="I351" i="487"/>
  <c r="M351" i="487" s="1"/>
  <c r="I337" i="487"/>
  <c r="M337" i="487" s="1"/>
  <c r="I347" i="487"/>
  <c r="M347" i="487" s="1"/>
  <c r="I346" i="487"/>
  <c r="M346" i="487" s="1"/>
  <c r="I345" i="487"/>
  <c r="M345" i="487" s="1"/>
  <c r="I344" i="487"/>
  <c r="M344" i="487" s="1"/>
  <c r="I343" i="487"/>
  <c r="M343" i="487" s="1"/>
  <c r="I342" i="487"/>
  <c r="M342" i="487" s="1"/>
  <c r="I341" i="487"/>
  <c r="M341" i="487" s="1"/>
  <c r="I340" i="487"/>
  <c r="M340" i="487" s="1"/>
  <c r="I459" i="487"/>
  <c r="M459" i="487" s="1"/>
  <c r="I458" i="487"/>
  <c r="M458" i="487" s="1"/>
  <c r="I457" i="487"/>
  <c r="M457" i="487" s="1"/>
  <c r="I456" i="487"/>
  <c r="M456" i="487" s="1"/>
  <c r="I455" i="487"/>
  <c r="M455" i="487" s="1"/>
  <c r="I454" i="487"/>
  <c r="M454" i="487" s="1"/>
  <c r="I453" i="487"/>
  <c r="M453" i="487" s="1"/>
  <c r="I452" i="487"/>
  <c r="M452" i="487" s="1"/>
  <c r="I451" i="487"/>
  <c r="M451" i="487" s="1"/>
  <c r="I450" i="487"/>
  <c r="M450" i="487" s="1"/>
  <c r="I420" i="487"/>
  <c r="M420" i="487" s="1"/>
  <c r="I419" i="487"/>
  <c r="M419" i="487" s="1"/>
  <c r="I416" i="487"/>
  <c r="M416" i="487" s="1"/>
  <c r="I402" i="487"/>
  <c r="M402" i="487" s="1"/>
  <c r="K413" i="487"/>
  <c r="I412" i="487"/>
  <c r="M412" i="487" s="1"/>
  <c r="I411" i="487"/>
  <c r="M411" i="487" s="1"/>
  <c r="I410" i="487"/>
  <c r="M410" i="487" s="1"/>
  <c r="I409" i="487"/>
  <c r="M409" i="487" s="1"/>
  <c r="I408" i="487"/>
  <c r="M408" i="487" s="1"/>
  <c r="I407" i="487"/>
  <c r="M407" i="487" s="1"/>
  <c r="I406" i="487"/>
  <c r="M406" i="487" s="1"/>
  <c r="I405" i="487"/>
  <c r="M405" i="487" s="1"/>
  <c r="K525" i="487"/>
  <c r="I524" i="487"/>
  <c r="M524" i="487" s="1"/>
  <c r="I523" i="487"/>
  <c r="M523" i="487" s="1"/>
  <c r="I522" i="487"/>
  <c r="M522" i="487" s="1"/>
  <c r="I521" i="487"/>
  <c r="M521" i="487" s="1"/>
  <c r="I520" i="487"/>
  <c r="M520" i="487" s="1"/>
  <c r="I519" i="487"/>
  <c r="M519" i="487" s="1"/>
  <c r="I518" i="487"/>
  <c r="M518" i="487" s="1"/>
  <c r="I517" i="487"/>
  <c r="M517" i="487" s="1"/>
  <c r="I516" i="487"/>
  <c r="M516" i="487" s="1"/>
  <c r="I515" i="487"/>
  <c r="M515" i="487" s="1"/>
  <c r="I485" i="487"/>
  <c r="M485" i="487" s="1"/>
  <c r="I484" i="487"/>
  <c r="M484" i="487" s="1"/>
  <c r="I481" i="487"/>
  <c r="M481" i="487" s="1"/>
  <c r="I467" i="487"/>
  <c r="M467" i="487" s="1"/>
  <c r="I477" i="487"/>
  <c r="M477" i="487" s="1"/>
  <c r="I476" i="487"/>
  <c r="M476" i="487" s="1"/>
  <c r="I475" i="487"/>
  <c r="M475" i="487" s="1"/>
  <c r="I474" i="487"/>
  <c r="M474" i="487" s="1"/>
  <c r="I473" i="487"/>
  <c r="M473" i="487" s="1"/>
  <c r="I472" i="487"/>
  <c r="M472" i="487" s="1"/>
  <c r="I471" i="487"/>
  <c r="M471" i="487" s="1"/>
  <c r="I470" i="487"/>
  <c r="M470" i="487" s="1"/>
  <c r="I589" i="487"/>
  <c r="M589" i="487" s="1"/>
  <c r="I588" i="487"/>
  <c r="M588" i="487" s="1"/>
  <c r="I587" i="487"/>
  <c r="M587" i="487" s="1"/>
  <c r="I586" i="487"/>
  <c r="M586" i="487" s="1"/>
  <c r="I585" i="487"/>
  <c r="M585" i="487" s="1"/>
  <c r="I584" i="487"/>
  <c r="M584" i="487" s="1"/>
  <c r="I583" i="487"/>
  <c r="M583" i="487" s="1"/>
  <c r="I582" i="487"/>
  <c r="M582" i="487" s="1"/>
  <c r="I581" i="487"/>
  <c r="M581" i="487" s="1"/>
  <c r="I580" i="487"/>
  <c r="M580" i="487" s="1"/>
  <c r="I550" i="487"/>
  <c r="M550" i="487" s="1"/>
  <c r="I549" i="487"/>
  <c r="M549" i="487" s="1"/>
  <c r="I546" i="487"/>
  <c r="M546" i="487" s="1"/>
  <c r="I532" i="487"/>
  <c r="M532" i="487" s="1"/>
  <c r="K543" i="487"/>
  <c r="I542" i="487"/>
  <c r="M542" i="487" s="1"/>
  <c r="I541" i="487"/>
  <c r="M541" i="487" s="1"/>
  <c r="I540" i="487"/>
  <c r="M540" i="487" s="1"/>
  <c r="I539" i="487"/>
  <c r="M539" i="487" s="1"/>
  <c r="I538" i="487"/>
  <c r="M538" i="487" s="1"/>
  <c r="I537" i="487"/>
  <c r="M537" i="487" s="1"/>
  <c r="I536" i="487"/>
  <c r="M536" i="487" s="1"/>
  <c r="I535" i="487"/>
  <c r="M535" i="487" s="1"/>
  <c r="K265" i="487"/>
  <c r="I264" i="487"/>
  <c r="M264" i="487" s="1"/>
  <c r="I263" i="487"/>
  <c r="M263" i="487" s="1"/>
  <c r="I262" i="487"/>
  <c r="M262" i="487" s="1"/>
  <c r="I261" i="487"/>
  <c r="M261" i="487" s="1"/>
  <c r="I260" i="487"/>
  <c r="M260" i="487" s="1"/>
  <c r="I259" i="487"/>
  <c r="M259" i="487" s="1"/>
  <c r="I258" i="487"/>
  <c r="M258" i="487" s="1"/>
  <c r="I257" i="487"/>
  <c r="M257" i="487" s="1"/>
  <c r="I256" i="487"/>
  <c r="M256" i="487" s="1"/>
  <c r="I255" i="487"/>
  <c r="I225" i="487"/>
  <c r="M225" i="487" s="1"/>
  <c r="I224" i="487"/>
  <c r="M224" i="487" s="1"/>
  <c r="I221" i="487"/>
  <c r="M221" i="487" s="1"/>
  <c r="I207" i="487"/>
  <c r="M207" i="487" s="1"/>
  <c r="I217" i="487"/>
  <c r="M217" i="487" s="1"/>
  <c r="I216" i="487"/>
  <c r="M216" i="487" s="1"/>
  <c r="I215" i="487"/>
  <c r="M215" i="487" s="1"/>
  <c r="I214" i="487"/>
  <c r="M214" i="487" s="1"/>
  <c r="I213" i="487"/>
  <c r="M213" i="487" s="1"/>
  <c r="I212" i="487"/>
  <c r="M212" i="487" s="1"/>
  <c r="I211" i="487"/>
  <c r="M211" i="487" s="1"/>
  <c r="I210" i="487"/>
  <c r="M210" i="487" s="1"/>
  <c r="E135" i="487"/>
  <c r="I134" i="487"/>
  <c r="M134" i="487" s="1"/>
  <c r="I133" i="487"/>
  <c r="M133" i="487" s="1"/>
  <c r="I132" i="487"/>
  <c r="M132" i="487" s="1"/>
  <c r="I131" i="487"/>
  <c r="M131" i="487" s="1"/>
  <c r="I130" i="487"/>
  <c r="M130" i="487" s="1"/>
  <c r="I129" i="487"/>
  <c r="M129" i="487" s="1"/>
  <c r="I128" i="487"/>
  <c r="M128" i="487" s="1"/>
  <c r="I127" i="487"/>
  <c r="M127" i="487" s="1"/>
  <c r="I126" i="487"/>
  <c r="M126" i="487" s="1"/>
  <c r="I125" i="487"/>
  <c r="M125" i="487" s="1"/>
  <c r="I95" i="487"/>
  <c r="M95" i="487" s="1"/>
  <c r="I94" i="487"/>
  <c r="M94" i="487" s="1"/>
  <c r="I91" i="487"/>
  <c r="M91" i="487" s="1"/>
  <c r="I77" i="487"/>
  <c r="M77" i="487" s="1"/>
  <c r="G138" i="487"/>
  <c r="E88" i="487"/>
  <c r="I87" i="487"/>
  <c r="M87" i="487" s="1"/>
  <c r="I86" i="487"/>
  <c r="M86" i="487" s="1"/>
  <c r="I85" i="487"/>
  <c r="M85" i="487" s="1"/>
  <c r="I84" i="487"/>
  <c r="M84" i="487" s="1"/>
  <c r="I83" i="487"/>
  <c r="M83" i="487" s="1"/>
  <c r="I82" i="487"/>
  <c r="M82" i="487" s="1"/>
  <c r="I81" i="487"/>
  <c r="M81" i="487" s="1"/>
  <c r="I80" i="487"/>
  <c r="M80" i="487" s="1"/>
  <c r="K200" i="487"/>
  <c r="I199" i="487"/>
  <c r="M199" i="487" s="1"/>
  <c r="I198" i="487"/>
  <c r="M198" i="487" s="1"/>
  <c r="I197" i="487"/>
  <c r="M197" i="487" s="1"/>
  <c r="I196" i="487"/>
  <c r="M196" i="487" s="1"/>
  <c r="I195" i="487"/>
  <c r="M195" i="487" s="1"/>
  <c r="I194" i="487"/>
  <c r="M194" i="487" s="1"/>
  <c r="I193" i="487"/>
  <c r="M193" i="487" s="1"/>
  <c r="I192" i="487"/>
  <c r="M192" i="487" s="1"/>
  <c r="I191" i="487"/>
  <c r="M191" i="487" s="1"/>
  <c r="I190" i="487"/>
  <c r="M190" i="487" s="1"/>
  <c r="I160" i="487"/>
  <c r="M160" i="487" s="1"/>
  <c r="I159" i="487"/>
  <c r="M159" i="487" s="1"/>
  <c r="I156" i="487"/>
  <c r="M156" i="487" s="1"/>
  <c r="I142" i="487"/>
  <c r="M142" i="487" s="1"/>
  <c r="I152" i="487"/>
  <c r="M152" i="487" s="1"/>
  <c r="I151" i="487"/>
  <c r="M151" i="487" s="1"/>
  <c r="I150" i="487"/>
  <c r="M150" i="487" s="1"/>
  <c r="I149" i="487"/>
  <c r="M149" i="487" s="1"/>
  <c r="I148" i="487"/>
  <c r="M148" i="487" s="1"/>
  <c r="I147" i="487"/>
  <c r="M147" i="487" s="1"/>
  <c r="I146" i="487"/>
  <c r="M146" i="487" s="1"/>
  <c r="I145" i="487"/>
  <c r="M145" i="487" s="1"/>
  <c r="I329" i="487"/>
  <c r="M329" i="487" s="1"/>
  <c r="I328" i="487"/>
  <c r="M328" i="487" s="1"/>
  <c r="I327" i="487"/>
  <c r="M327" i="487" s="1"/>
  <c r="I326" i="487"/>
  <c r="M326" i="487" s="1"/>
  <c r="I325" i="487"/>
  <c r="M325" i="487" s="1"/>
  <c r="I324" i="487"/>
  <c r="M324" i="487" s="1"/>
  <c r="I323" i="487"/>
  <c r="M323" i="487" s="1"/>
  <c r="I322" i="487"/>
  <c r="M322" i="487" s="1"/>
  <c r="I321" i="487"/>
  <c r="M321" i="487" s="1"/>
  <c r="I320" i="487"/>
  <c r="M320" i="487" s="1"/>
  <c r="I290" i="487"/>
  <c r="M290" i="487" s="1"/>
  <c r="I289" i="487"/>
  <c r="M289" i="487" s="1"/>
  <c r="I286" i="487"/>
  <c r="M286" i="487" s="1"/>
  <c r="I272" i="487"/>
  <c r="M272" i="487" s="1"/>
  <c r="K283" i="487"/>
  <c r="I282" i="487"/>
  <c r="M282" i="487" s="1"/>
  <c r="I281" i="487"/>
  <c r="M281" i="487" s="1"/>
  <c r="I280" i="487"/>
  <c r="M280" i="487" s="1"/>
  <c r="I279" i="487"/>
  <c r="M279" i="487" s="1"/>
  <c r="I278" i="487"/>
  <c r="M278" i="487" s="1"/>
  <c r="I277" i="487"/>
  <c r="M277" i="487" s="1"/>
  <c r="I276" i="487"/>
  <c r="M276" i="487" s="1"/>
  <c r="I275" i="487"/>
  <c r="M275" i="487" s="1"/>
  <c r="K655" i="487"/>
  <c r="I654" i="487"/>
  <c r="M654" i="487" s="1"/>
  <c r="I653" i="487"/>
  <c r="M653" i="487" s="1"/>
  <c r="I652" i="487"/>
  <c r="M652" i="487" s="1"/>
  <c r="I651" i="487"/>
  <c r="M651" i="487" s="1"/>
  <c r="I650" i="487"/>
  <c r="M650" i="487" s="1"/>
  <c r="I649" i="487"/>
  <c r="M649" i="487" s="1"/>
  <c r="I648" i="487"/>
  <c r="M648" i="487" s="1"/>
  <c r="I647" i="487"/>
  <c r="M647" i="487" s="1"/>
  <c r="I646" i="487"/>
  <c r="M646" i="487" s="1"/>
  <c r="I645" i="487"/>
  <c r="M645" i="487" s="1"/>
  <c r="I615" i="487"/>
  <c r="M615" i="487" s="1"/>
  <c r="I614" i="487"/>
  <c r="M614" i="487" s="1"/>
  <c r="I611" i="487"/>
  <c r="M611" i="487" s="1"/>
  <c r="I597" i="487"/>
  <c r="M597" i="487" s="1"/>
  <c r="I607" i="487"/>
  <c r="M607" i="487" s="1"/>
  <c r="I606" i="487"/>
  <c r="M606" i="487" s="1"/>
  <c r="I605" i="487"/>
  <c r="M605" i="487" s="1"/>
  <c r="I604" i="487"/>
  <c r="M604" i="487" s="1"/>
  <c r="I603" i="487"/>
  <c r="M603" i="487" s="1"/>
  <c r="I602" i="487"/>
  <c r="M602" i="487" s="1"/>
  <c r="I601" i="487"/>
  <c r="M601" i="487" s="1"/>
  <c r="I600" i="487"/>
  <c r="M600" i="487" s="1"/>
  <c r="I719" i="487"/>
  <c r="M719" i="487" s="1"/>
  <c r="I718" i="487"/>
  <c r="M718" i="487" s="1"/>
  <c r="I717" i="487"/>
  <c r="M717" i="487" s="1"/>
  <c r="I716" i="487"/>
  <c r="M716" i="487" s="1"/>
  <c r="I715" i="487"/>
  <c r="M715" i="487" s="1"/>
  <c r="I714" i="487"/>
  <c r="M714" i="487" s="1"/>
  <c r="I713" i="487"/>
  <c r="M713" i="487" s="1"/>
  <c r="I712" i="487"/>
  <c r="M712" i="487" s="1"/>
  <c r="I711" i="487"/>
  <c r="M711" i="487" s="1"/>
  <c r="I710" i="487"/>
  <c r="M710" i="487" s="1"/>
  <c r="I680" i="487"/>
  <c r="M680" i="487" s="1"/>
  <c r="I679" i="487"/>
  <c r="M679" i="487" s="1"/>
  <c r="I676" i="487"/>
  <c r="M676" i="487" s="1"/>
  <c r="I662" i="487"/>
  <c r="M662" i="487" s="1"/>
  <c r="K673" i="487"/>
  <c r="I672" i="487"/>
  <c r="M672" i="487" s="1"/>
  <c r="I671" i="487"/>
  <c r="M671" i="487" s="1"/>
  <c r="I670" i="487"/>
  <c r="M670" i="487" s="1"/>
  <c r="I669" i="487"/>
  <c r="M669" i="487" s="1"/>
  <c r="I668" i="487"/>
  <c r="M668" i="487" s="1"/>
  <c r="I667" i="487"/>
  <c r="M667" i="487" s="1"/>
  <c r="I666" i="487"/>
  <c r="M666" i="487" s="1"/>
  <c r="I665" i="487"/>
  <c r="M665" i="487" s="1"/>
  <c r="K785" i="487"/>
  <c r="I784" i="487"/>
  <c r="M784" i="487" s="1"/>
  <c r="I783" i="487"/>
  <c r="M783" i="487" s="1"/>
  <c r="I782" i="487"/>
  <c r="M782" i="487" s="1"/>
  <c r="I781" i="487"/>
  <c r="M781" i="487" s="1"/>
  <c r="I780" i="487"/>
  <c r="M780" i="487" s="1"/>
  <c r="I779" i="487"/>
  <c r="M779" i="487" s="1"/>
  <c r="I778" i="487"/>
  <c r="M778" i="487" s="1"/>
  <c r="I777" i="487"/>
  <c r="M777" i="487" s="1"/>
  <c r="I776" i="487"/>
  <c r="M776" i="487" s="1"/>
  <c r="I775" i="487"/>
  <c r="M775" i="487" s="1"/>
  <c r="I745" i="487"/>
  <c r="M745" i="487" s="1"/>
  <c r="I744" i="487"/>
  <c r="M744" i="487" s="1"/>
  <c r="I741" i="487"/>
  <c r="M741" i="487" s="1"/>
  <c r="I727" i="487"/>
  <c r="M727" i="487" s="1"/>
  <c r="I737" i="487"/>
  <c r="M737" i="487" s="1"/>
  <c r="I736" i="487"/>
  <c r="M736" i="487" s="1"/>
  <c r="I735" i="487"/>
  <c r="M735" i="487" s="1"/>
  <c r="I734" i="487"/>
  <c r="M734" i="487" s="1"/>
  <c r="I733" i="487"/>
  <c r="M733" i="487" s="1"/>
  <c r="I732" i="487"/>
  <c r="M732" i="487" s="1"/>
  <c r="I731" i="487"/>
  <c r="M731" i="487" s="1"/>
  <c r="I730" i="487"/>
  <c r="M730" i="487" s="1"/>
  <c r="I849" i="487"/>
  <c r="M849" i="487" s="1"/>
  <c r="I848" i="487"/>
  <c r="M848" i="487" s="1"/>
  <c r="I847" i="487"/>
  <c r="M847" i="487" s="1"/>
  <c r="I846" i="487"/>
  <c r="M846" i="487" s="1"/>
  <c r="I845" i="487"/>
  <c r="M845" i="487" s="1"/>
  <c r="I844" i="487"/>
  <c r="M844" i="487" s="1"/>
  <c r="I843" i="487"/>
  <c r="M843" i="487" s="1"/>
  <c r="I842" i="487"/>
  <c r="M842" i="487" s="1"/>
  <c r="I841" i="487"/>
  <c r="M841" i="487" s="1"/>
  <c r="I840" i="487"/>
  <c r="M840" i="487" s="1"/>
  <c r="I810" i="487"/>
  <c r="M810" i="487" s="1"/>
  <c r="I809" i="487"/>
  <c r="M809" i="487" s="1"/>
  <c r="I806" i="487"/>
  <c r="M806" i="487" s="1"/>
  <c r="I792" i="487"/>
  <c r="M792" i="487" s="1"/>
  <c r="I802" i="487"/>
  <c r="M802" i="487" s="1"/>
  <c r="I801" i="487"/>
  <c r="M801" i="487" s="1"/>
  <c r="I800" i="487"/>
  <c r="M800" i="487" s="1"/>
  <c r="I799" i="487"/>
  <c r="M799" i="487" s="1"/>
  <c r="I798" i="487"/>
  <c r="M798" i="487" s="1"/>
  <c r="I797" i="487"/>
  <c r="M797" i="487" s="1"/>
  <c r="I796" i="487"/>
  <c r="M796" i="487" s="1"/>
  <c r="I795" i="487"/>
  <c r="M795" i="487" s="1"/>
  <c r="I914" i="487"/>
  <c r="M914" i="487" s="1"/>
  <c r="I913" i="487"/>
  <c r="M913" i="487" s="1"/>
  <c r="I912" i="487"/>
  <c r="M912" i="487" s="1"/>
  <c r="I911" i="487"/>
  <c r="M911" i="487" s="1"/>
  <c r="I910" i="487"/>
  <c r="M910" i="487" s="1"/>
  <c r="I909" i="487"/>
  <c r="M909" i="487" s="1"/>
  <c r="I908" i="487"/>
  <c r="M908" i="487" s="1"/>
  <c r="I907" i="487"/>
  <c r="M907" i="487" s="1"/>
  <c r="I906" i="487"/>
  <c r="M906" i="487" s="1"/>
  <c r="I905" i="487"/>
  <c r="M905" i="487" s="1"/>
  <c r="I875" i="487"/>
  <c r="M875" i="487" s="1"/>
  <c r="I874" i="487"/>
  <c r="M874" i="487" s="1"/>
  <c r="I871" i="487"/>
  <c r="M871" i="487" s="1"/>
  <c r="I857" i="487"/>
  <c r="M857" i="487" s="1"/>
  <c r="I867" i="487"/>
  <c r="M867" i="487" s="1"/>
  <c r="I866" i="487"/>
  <c r="M866" i="487" s="1"/>
  <c r="I865" i="487"/>
  <c r="M865" i="487" s="1"/>
  <c r="I864" i="487"/>
  <c r="M864" i="487" s="1"/>
  <c r="I863" i="487"/>
  <c r="M863" i="487" s="1"/>
  <c r="I862" i="487"/>
  <c r="M862" i="487" s="1"/>
  <c r="I861" i="487"/>
  <c r="M861" i="487" s="1"/>
  <c r="I860" i="487"/>
  <c r="M860" i="487" s="1"/>
  <c r="I979" i="487"/>
  <c r="M979" i="487" s="1"/>
  <c r="I978" i="487"/>
  <c r="M978" i="487" s="1"/>
  <c r="I977" i="487"/>
  <c r="M977" i="487" s="1"/>
  <c r="I976" i="487"/>
  <c r="M976" i="487" s="1"/>
  <c r="I975" i="487"/>
  <c r="M975" i="487" s="1"/>
  <c r="I974" i="487"/>
  <c r="M974" i="487" s="1"/>
  <c r="I973" i="487"/>
  <c r="M973" i="487" s="1"/>
  <c r="I972" i="487"/>
  <c r="M972" i="487" s="1"/>
  <c r="I971" i="487"/>
  <c r="M971" i="487" s="1"/>
  <c r="I970" i="487"/>
  <c r="M970" i="487" s="1"/>
  <c r="I940" i="487"/>
  <c r="M940" i="487" s="1"/>
  <c r="I939" i="487"/>
  <c r="M939" i="487" s="1"/>
  <c r="I936" i="487"/>
  <c r="M936" i="487" s="1"/>
  <c r="I922" i="487"/>
  <c r="M922" i="487" s="1"/>
  <c r="I932" i="487"/>
  <c r="M932" i="487" s="1"/>
  <c r="I931" i="487"/>
  <c r="M931" i="487" s="1"/>
  <c r="I930" i="487"/>
  <c r="M930" i="487" s="1"/>
  <c r="I929" i="487"/>
  <c r="M929" i="487" s="1"/>
  <c r="I928" i="487"/>
  <c r="M928" i="487" s="1"/>
  <c r="I927" i="487"/>
  <c r="M927" i="487" s="1"/>
  <c r="I926" i="487"/>
  <c r="M926" i="487" s="1"/>
  <c r="I925" i="487"/>
  <c r="M925" i="487" s="1"/>
  <c r="I1044" i="487"/>
  <c r="M1044" i="487" s="1"/>
  <c r="I1043" i="487"/>
  <c r="M1043" i="487" s="1"/>
  <c r="I1042" i="487"/>
  <c r="M1042" i="487" s="1"/>
  <c r="I1041" i="487"/>
  <c r="M1041" i="487" s="1"/>
  <c r="I1040" i="487"/>
  <c r="M1040" i="487" s="1"/>
  <c r="I1039" i="487"/>
  <c r="M1039" i="487" s="1"/>
  <c r="I1038" i="487"/>
  <c r="M1038" i="487" s="1"/>
  <c r="I1037" i="487"/>
  <c r="M1037" i="487" s="1"/>
  <c r="I1036" i="487"/>
  <c r="M1036" i="487" s="1"/>
  <c r="I1035" i="487"/>
  <c r="M1035" i="487" s="1"/>
  <c r="I1005" i="487"/>
  <c r="M1005" i="487" s="1"/>
  <c r="I1004" i="487"/>
  <c r="M1004" i="487" s="1"/>
  <c r="I1001" i="487"/>
  <c r="M1001" i="487" s="1"/>
  <c r="I987" i="487"/>
  <c r="M987" i="487" s="1"/>
  <c r="I997" i="487"/>
  <c r="M997" i="487" s="1"/>
  <c r="I996" i="487"/>
  <c r="M996" i="487" s="1"/>
  <c r="I995" i="487"/>
  <c r="M995" i="487" s="1"/>
  <c r="I994" i="487"/>
  <c r="M994" i="487" s="1"/>
  <c r="I993" i="487"/>
  <c r="M993" i="487" s="1"/>
  <c r="I992" i="487"/>
  <c r="M992" i="487" s="1"/>
  <c r="I991" i="487"/>
  <c r="M991" i="487" s="1"/>
  <c r="I990" i="487"/>
  <c r="M990" i="487" s="1"/>
  <c r="I1109" i="487"/>
  <c r="M1109" i="487" s="1"/>
  <c r="I1108" i="487"/>
  <c r="M1108" i="487" s="1"/>
  <c r="I1107" i="487"/>
  <c r="M1107" i="487" s="1"/>
  <c r="I1106" i="487"/>
  <c r="M1106" i="487" s="1"/>
  <c r="I1105" i="487"/>
  <c r="M1105" i="487" s="1"/>
  <c r="I1104" i="487"/>
  <c r="M1104" i="487" s="1"/>
  <c r="I1103" i="487"/>
  <c r="M1103" i="487" s="1"/>
  <c r="I1102" i="487"/>
  <c r="M1102" i="487" s="1"/>
  <c r="I1101" i="487"/>
  <c r="M1101" i="487" s="1"/>
  <c r="I1100" i="487"/>
  <c r="M1100" i="487" s="1"/>
  <c r="I1070" i="487"/>
  <c r="M1070" i="487" s="1"/>
  <c r="I1069" i="487"/>
  <c r="M1069" i="487" s="1"/>
  <c r="I1066" i="487"/>
  <c r="M1066" i="487" s="1"/>
  <c r="I1052" i="487"/>
  <c r="M1052" i="487" s="1"/>
  <c r="K1063" i="487"/>
  <c r="I1062" i="487"/>
  <c r="M1062" i="487" s="1"/>
  <c r="I1061" i="487"/>
  <c r="M1061" i="487" s="1"/>
  <c r="I1060" i="487"/>
  <c r="M1060" i="487" s="1"/>
  <c r="I1059" i="487"/>
  <c r="M1059" i="487" s="1"/>
  <c r="I1058" i="487"/>
  <c r="M1058" i="487" s="1"/>
  <c r="I1057" i="487"/>
  <c r="M1057" i="487" s="1"/>
  <c r="I1056" i="487"/>
  <c r="M1056" i="487" s="1"/>
  <c r="I1055" i="487"/>
  <c r="M1055" i="487" s="1"/>
  <c r="I265" i="487" l="1"/>
  <c r="M265" i="487" s="1"/>
  <c r="M255" i="487"/>
  <c r="I525" i="487"/>
  <c r="M525" i="487" s="1"/>
  <c r="I96" i="487"/>
  <c r="M96" i="487" s="1"/>
  <c r="I551" i="487"/>
  <c r="M551" i="487" s="1"/>
  <c r="I590" i="487"/>
  <c r="M590" i="487" s="1"/>
  <c r="I1071" i="487"/>
  <c r="I941" i="487"/>
  <c r="M941" i="487" s="1"/>
  <c r="I460" i="487"/>
  <c r="M460" i="487" s="1"/>
  <c r="I1006" i="487"/>
  <c r="M1006" i="487" s="1"/>
  <c r="I933" i="487"/>
  <c r="M933" i="487" s="1"/>
  <c r="I980" i="487"/>
  <c r="M980" i="487" s="1"/>
  <c r="I876" i="487"/>
  <c r="I850" i="487"/>
  <c r="M850" i="487" s="1"/>
  <c r="I746" i="487"/>
  <c r="I681" i="487"/>
  <c r="M681" i="487" s="1"/>
  <c r="I616" i="487"/>
  <c r="I291" i="487"/>
  <c r="I811" i="487"/>
  <c r="I395" i="487"/>
  <c r="M395" i="487" s="1"/>
  <c r="I673" i="487"/>
  <c r="M673" i="487" s="1"/>
  <c r="I88" i="487"/>
  <c r="M88" i="487" s="1"/>
  <c r="I283" i="487"/>
  <c r="M283" i="487" s="1"/>
  <c r="I153" i="487"/>
  <c r="M153" i="487" s="1"/>
  <c r="I998" i="487"/>
  <c r="M998" i="487" s="1"/>
  <c r="I1045" i="487"/>
  <c r="M1045" i="487" s="1"/>
  <c r="I915" i="487"/>
  <c r="M915" i="487" s="1"/>
  <c r="I738" i="487"/>
  <c r="M738" i="487" s="1"/>
  <c r="I785" i="487"/>
  <c r="M785" i="487" s="1"/>
  <c r="I720" i="487"/>
  <c r="M720" i="487" s="1"/>
  <c r="I655" i="487"/>
  <c r="M655" i="487" s="1"/>
  <c r="I330" i="487"/>
  <c r="M330" i="487" s="1"/>
  <c r="I200" i="487"/>
  <c r="M200" i="487" s="1"/>
  <c r="I1110" i="487"/>
  <c r="M1110" i="487" s="1"/>
  <c r="I803" i="487"/>
  <c r="M803" i="487" s="1"/>
  <c r="I608" i="487"/>
  <c r="M608" i="487" s="1"/>
  <c r="I868" i="487"/>
  <c r="M868" i="487" s="1"/>
  <c r="I1063" i="487"/>
  <c r="M1063" i="487" s="1"/>
  <c r="I135" i="487"/>
  <c r="M135" i="487" s="1"/>
  <c r="I218" i="487"/>
  <c r="M218" i="487" s="1"/>
  <c r="I543" i="487"/>
  <c r="M543" i="487" s="1"/>
  <c r="I478" i="487"/>
  <c r="M478" i="487" s="1"/>
  <c r="I413" i="487"/>
  <c r="M413" i="487" s="1"/>
  <c r="I348" i="487"/>
  <c r="M348" i="487" s="1"/>
  <c r="K88" i="487"/>
  <c r="F138" i="487"/>
  <c r="J1110" i="487"/>
  <c r="L1045" i="487"/>
  <c r="L933" i="487"/>
  <c r="J980" i="487"/>
  <c r="J868" i="487"/>
  <c r="L915" i="487"/>
  <c r="L803" i="487"/>
  <c r="J850" i="487"/>
  <c r="J738" i="487"/>
  <c r="L785" i="487"/>
  <c r="K551" i="487"/>
  <c r="I421" i="487"/>
  <c r="M421" i="487" s="1"/>
  <c r="H138" i="487"/>
  <c r="J998" i="487"/>
  <c r="I161" i="487"/>
  <c r="M161" i="487" s="1"/>
  <c r="E138" i="487"/>
  <c r="I226" i="487"/>
  <c r="M226" i="487" s="1"/>
  <c r="I486" i="487"/>
  <c r="M486" i="487" s="1"/>
  <c r="I356" i="487"/>
  <c r="M356" i="487" s="1"/>
  <c r="K1066" i="487"/>
  <c r="J1066" i="487"/>
  <c r="L1066" i="487"/>
  <c r="J1101" i="487"/>
  <c r="L1101" i="487"/>
  <c r="K1101" i="487"/>
  <c r="J1105" i="487"/>
  <c r="L1105" i="487"/>
  <c r="K1105" i="487"/>
  <c r="J1109" i="487"/>
  <c r="L1109" i="487"/>
  <c r="K1109" i="487"/>
  <c r="J993" i="487"/>
  <c r="L993" i="487"/>
  <c r="K993" i="487"/>
  <c r="J997" i="487"/>
  <c r="L997" i="487"/>
  <c r="K997" i="487"/>
  <c r="L1005" i="487"/>
  <c r="K1005" i="487"/>
  <c r="J1005" i="487"/>
  <c r="K1038" i="487"/>
  <c r="J1038" i="487"/>
  <c r="L1038" i="487"/>
  <c r="K1042" i="487"/>
  <c r="J1042" i="487"/>
  <c r="L1042" i="487"/>
  <c r="K1045" i="487"/>
  <c r="K926" i="487"/>
  <c r="J926" i="487"/>
  <c r="L926" i="487"/>
  <c r="K930" i="487"/>
  <c r="L930" i="487"/>
  <c r="J930" i="487"/>
  <c r="K933" i="487"/>
  <c r="K936" i="487"/>
  <c r="L936" i="487"/>
  <c r="J936" i="487"/>
  <c r="J971" i="487"/>
  <c r="L971" i="487"/>
  <c r="K971" i="487"/>
  <c r="J975" i="487"/>
  <c r="L975" i="487"/>
  <c r="K975" i="487"/>
  <c r="J979" i="487"/>
  <c r="L979" i="487"/>
  <c r="K979" i="487"/>
  <c r="K863" i="487"/>
  <c r="L863" i="487"/>
  <c r="J863" i="487"/>
  <c r="K867" i="487"/>
  <c r="J867" i="487"/>
  <c r="L867" i="487"/>
  <c r="K875" i="487"/>
  <c r="J875" i="487"/>
  <c r="L875" i="487"/>
  <c r="J908" i="487"/>
  <c r="L908" i="487"/>
  <c r="K908" i="487"/>
  <c r="J912" i="487"/>
  <c r="L912" i="487"/>
  <c r="K912" i="487"/>
  <c r="K915" i="487"/>
  <c r="L796" i="487"/>
  <c r="K796" i="487"/>
  <c r="J796" i="487"/>
  <c r="L800" i="487"/>
  <c r="J800" i="487"/>
  <c r="K800" i="487"/>
  <c r="K803" i="487"/>
  <c r="L806" i="487"/>
  <c r="J806" i="487"/>
  <c r="K806" i="487"/>
  <c r="K841" i="487"/>
  <c r="L841" i="487"/>
  <c r="J841" i="487"/>
  <c r="K845" i="487"/>
  <c r="L845" i="487"/>
  <c r="J845" i="487"/>
  <c r="K849" i="487"/>
  <c r="J849" i="487"/>
  <c r="L849" i="487"/>
  <c r="J733" i="487"/>
  <c r="L733" i="487"/>
  <c r="K733" i="487"/>
  <c r="J737" i="487"/>
  <c r="L737" i="487"/>
  <c r="K737" i="487"/>
  <c r="L745" i="487"/>
  <c r="K745" i="487"/>
  <c r="J745" i="487"/>
  <c r="L778" i="487"/>
  <c r="K778" i="487"/>
  <c r="J778" i="487"/>
  <c r="L782" i="487"/>
  <c r="J782" i="487"/>
  <c r="K782" i="487"/>
  <c r="L666" i="487"/>
  <c r="K666" i="487"/>
  <c r="J666" i="487"/>
  <c r="L670" i="487"/>
  <c r="K670" i="487"/>
  <c r="J670" i="487"/>
  <c r="L676" i="487"/>
  <c r="K676" i="487"/>
  <c r="J676" i="487"/>
  <c r="K711" i="487"/>
  <c r="L711" i="487"/>
  <c r="J711" i="487"/>
  <c r="J715" i="487"/>
  <c r="K715" i="487"/>
  <c r="L715" i="487"/>
  <c r="L719" i="487"/>
  <c r="K719" i="487"/>
  <c r="J719" i="487"/>
  <c r="L603" i="487"/>
  <c r="K603" i="487"/>
  <c r="J603" i="487"/>
  <c r="L607" i="487"/>
  <c r="K607" i="487"/>
  <c r="J607" i="487"/>
  <c r="L615" i="487"/>
  <c r="J615" i="487"/>
  <c r="K615" i="487"/>
  <c r="L648" i="487"/>
  <c r="J648" i="487"/>
  <c r="K648" i="487"/>
  <c r="L652" i="487"/>
  <c r="J652" i="487"/>
  <c r="K652" i="487"/>
  <c r="K276" i="487"/>
  <c r="J276" i="487"/>
  <c r="L276" i="487"/>
  <c r="K280" i="487"/>
  <c r="J280" i="487"/>
  <c r="L280" i="487"/>
  <c r="K286" i="487"/>
  <c r="J286" i="487"/>
  <c r="L286" i="487"/>
  <c r="K321" i="487"/>
  <c r="J321" i="487"/>
  <c r="L321" i="487"/>
  <c r="K325" i="487"/>
  <c r="J325" i="487"/>
  <c r="L325" i="487"/>
  <c r="K329" i="487"/>
  <c r="J329" i="487"/>
  <c r="L329" i="487"/>
  <c r="L148" i="487"/>
  <c r="K148" i="487"/>
  <c r="J148" i="487"/>
  <c r="L152" i="487"/>
  <c r="J152" i="487"/>
  <c r="K152" i="487"/>
  <c r="J160" i="487"/>
  <c r="L160" i="487"/>
  <c r="K160" i="487"/>
  <c r="K193" i="487"/>
  <c r="L193" i="487"/>
  <c r="J193" i="487"/>
  <c r="K197" i="487"/>
  <c r="L197" i="487"/>
  <c r="J197" i="487"/>
  <c r="L91" i="487"/>
  <c r="K91" i="487"/>
  <c r="J91" i="487"/>
  <c r="L126" i="487"/>
  <c r="J126" i="487"/>
  <c r="K126" i="487"/>
  <c r="L130" i="487"/>
  <c r="J130" i="487"/>
  <c r="K130" i="487"/>
  <c r="L134" i="487"/>
  <c r="J134" i="487"/>
  <c r="K134" i="487"/>
  <c r="K213" i="487"/>
  <c r="J213" i="487"/>
  <c r="L213" i="487"/>
  <c r="K217" i="487"/>
  <c r="J217" i="487"/>
  <c r="L217" i="487"/>
  <c r="K225" i="487"/>
  <c r="J225" i="487"/>
  <c r="L225" i="487"/>
  <c r="K258" i="487"/>
  <c r="J258" i="487"/>
  <c r="L258" i="487"/>
  <c r="K262" i="487"/>
  <c r="J262" i="487"/>
  <c r="L262" i="487"/>
  <c r="L536" i="487"/>
  <c r="J536" i="487"/>
  <c r="K536" i="487"/>
  <c r="L540" i="487"/>
  <c r="J540" i="487"/>
  <c r="K540" i="487"/>
  <c r="L546" i="487"/>
  <c r="K546" i="487"/>
  <c r="J546" i="487"/>
  <c r="L581" i="487"/>
  <c r="K581" i="487"/>
  <c r="J581" i="487"/>
  <c r="L585" i="487"/>
  <c r="K585" i="487"/>
  <c r="J585" i="487"/>
  <c r="L589" i="487"/>
  <c r="K589" i="487"/>
  <c r="J589" i="487"/>
  <c r="L473" i="487"/>
  <c r="J473" i="487"/>
  <c r="K473" i="487"/>
  <c r="L477" i="487"/>
  <c r="J477" i="487"/>
  <c r="K477" i="487"/>
  <c r="L485" i="487"/>
  <c r="K485" i="487"/>
  <c r="J485" i="487"/>
  <c r="L518" i="487"/>
  <c r="K518" i="487"/>
  <c r="J518" i="487"/>
  <c r="L522" i="487"/>
  <c r="K522" i="487"/>
  <c r="J522" i="487"/>
  <c r="L406" i="487"/>
  <c r="K406" i="487"/>
  <c r="J406" i="487"/>
  <c r="L410" i="487"/>
  <c r="K410" i="487"/>
  <c r="J410" i="487"/>
  <c r="L416" i="487"/>
  <c r="J416" i="487"/>
  <c r="K416" i="487"/>
  <c r="L451" i="487"/>
  <c r="K451" i="487"/>
  <c r="J451" i="487"/>
  <c r="L455" i="487"/>
  <c r="K455" i="487"/>
  <c r="J455" i="487"/>
  <c r="L459" i="487"/>
  <c r="K459" i="487"/>
  <c r="J459" i="487"/>
  <c r="K343" i="487"/>
  <c r="J343" i="487"/>
  <c r="L343" i="487"/>
  <c r="K347" i="487"/>
  <c r="J347" i="487"/>
  <c r="L347" i="487"/>
  <c r="K355" i="487"/>
  <c r="J355" i="487"/>
  <c r="L355" i="487"/>
  <c r="L388" i="487"/>
  <c r="K388" i="487"/>
  <c r="J388" i="487"/>
  <c r="L392" i="487"/>
  <c r="K392" i="487"/>
  <c r="J392" i="487"/>
  <c r="K797" i="487"/>
  <c r="J797" i="487"/>
  <c r="L797" i="487"/>
  <c r="L801" i="487"/>
  <c r="K801" i="487"/>
  <c r="J801" i="487"/>
  <c r="L809" i="487"/>
  <c r="K809" i="487"/>
  <c r="J809" i="487"/>
  <c r="L842" i="487"/>
  <c r="J842" i="487"/>
  <c r="K842" i="487"/>
  <c r="L846" i="487"/>
  <c r="J846" i="487"/>
  <c r="K846" i="487"/>
  <c r="L667" i="487"/>
  <c r="K667" i="487"/>
  <c r="J667" i="487"/>
  <c r="L671" i="487"/>
  <c r="K671" i="487"/>
  <c r="J671" i="487"/>
  <c r="L673" i="487"/>
  <c r="L679" i="487"/>
  <c r="K679" i="487"/>
  <c r="J679" i="487"/>
  <c r="J712" i="487"/>
  <c r="L712" i="487"/>
  <c r="K712" i="487"/>
  <c r="J716" i="487"/>
  <c r="L716" i="487"/>
  <c r="K716" i="487"/>
  <c r="J720" i="487"/>
  <c r="L600" i="487"/>
  <c r="J600" i="487"/>
  <c r="K600" i="487"/>
  <c r="L604" i="487"/>
  <c r="J604" i="487"/>
  <c r="K604" i="487"/>
  <c r="J608" i="487"/>
  <c r="L597" i="487"/>
  <c r="K597" i="487"/>
  <c r="J597" i="487"/>
  <c r="L645" i="487"/>
  <c r="K645" i="487"/>
  <c r="J645" i="487"/>
  <c r="L649" i="487"/>
  <c r="K649" i="487"/>
  <c r="J649" i="487"/>
  <c r="L653" i="487"/>
  <c r="K653" i="487"/>
  <c r="J653" i="487"/>
  <c r="L655" i="487"/>
  <c r="K277" i="487"/>
  <c r="J277" i="487"/>
  <c r="L277" i="487"/>
  <c r="K281" i="487"/>
  <c r="J281" i="487"/>
  <c r="L281" i="487"/>
  <c r="L283" i="487"/>
  <c r="K289" i="487"/>
  <c r="J289" i="487"/>
  <c r="L289" i="487"/>
  <c r="K322" i="487"/>
  <c r="J322" i="487"/>
  <c r="L322" i="487"/>
  <c r="K326" i="487"/>
  <c r="J326" i="487"/>
  <c r="L326" i="487"/>
  <c r="J330" i="487"/>
  <c r="L145" i="487"/>
  <c r="K145" i="487"/>
  <c r="J145" i="487"/>
  <c r="L149" i="487"/>
  <c r="J149" i="487"/>
  <c r="K149" i="487"/>
  <c r="J153" i="487"/>
  <c r="L142" i="487"/>
  <c r="K142" i="487"/>
  <c r="J142" i="487"/>
  <c r="K190" i="487"/>
  <c r="L190" i="487"/>
  <c r="J190" i="487"/>
  <c r="K194" i="487"/>
  <c r="L194" i="487"/>
  <c r="J194" i="487"/>
  <c r="K198" i="487"/>
  <c r="L198" i="487"/>
  <c r="J198" i="487"/>
  <c r="L200" i="487"/>
  <c r="L88" i="487"/>
  <c r="L94" i="487"/>
  <c r="K94" i="487"/>
  <c r="J94" i="487"/>
  <c r="L127" i="487"/>
  <c r="K127" i="487"/>
  <c r="J127" i="487"/>
  <c r="L131" i="487"/>
  <c r="K131" i="487"/>
  <c r="J131" i="487"/>
  <c r="J135" i="487"/>
  <c r="K210" i="487"/>
  <c r="J210" i="487"/>
  <c r="L210" i="487"/>
  <c r="K214" i="487"/>
  <c r="J214" i="487"/>
  <c r="L214" i="487"/>
  <c r="J218" i="487"/>
  <c r="K207" i="487"/>
  <c r="J207" i="487"/>
  <c r="L207" i="487"/>
  <c r="K255" i="487"/>
  <c r="J255" i="487"/>
  <c r="L255" i="487"/>
  <c r="K259" i="487"/>
  <c r="J259" i="487"/>
  <c r="L259" i="487"/>
  <c r="K263" i="487"/>
  <c r="J263" i="487"/>
  <c r="L263" i="487"/>
  <c r="L265" i="487"/>
  <c r="L537" i="487"/>
  <c r="K537" i="487"/>
  <c r="J537" i="487"/>
  <c r="L541" i="487"/>
  <c r="K541" i="487"/>
  <c r="J541" i="487"/>
  <c r="L543" i="487"/>
  <c r="L549" i="487"/>
  <c r="K549" i="487"/>
  <c r="J549" i="487"/>
  <c r="L582" i="487"/>
  <c r="K582" i="487"/>
  <c r="J582" i="487"/>
  <c r="L586" i="487"/>
  <c r="K586" i="487"/>
  <c r="J586" i="487"/>
  <c r="J590" i="487"/>
  <c r="L470" i="487"/>
  <c r="K470" i="487"/>
  <c r="J470" i="487"/>
  <c r="L474" i="487"/>
  <c r="K474" i="487"/>
  <c r="J474" i="487"/>
  <c r="J478" i="487"/>
  <c r="L467" i="487"/>
  <c r="K467" i="487"/>
  <c r="J467" i="487"/>
  <c r="L515" i="487"/>
  <c r="K515" i="487"/>
  <c r="J515" i="487"/>
  <c r="L519" i="487"/>
  <c r="K519" i="487"/>
  <c r="J519" i="487"/>
  <c r="L523" i="487"/>
  <c r="K523" i="487"/>
  <c r="J523" i="487"/>
  <c r="L525" i="487"/>
  <c r="L407" i="487"/>
  <c r="J407" i="487"/>
  <c r="K407" i="487"/>
  <c r="L411" i="487"/>
  <c r="J411" i="487"/>
  <c r="K411" i="487"/>
  <c r="L413" i="487"/>
  <c r="L419" i="487"/>
  <c r="K419" i="487"/>
  <c r="J419" i="487"/>
  <c r="L452" i="487"/>
  <c r="K452" i="487"/>
  <c r="J452" i="487"/>
  <c r="L456" i="487"/>
  <c r="K456" i="487"/>
  <c r="J456" i="487"/>
  <c r="J460" i="487"/>
  <c r="K340" i="487"/>
  <c r="J340" i="487"/>
  <c r="L340" i="487"/>
  <c r="K344" i="487"/>
  <c r="J344" i="487"/>
  <c r="L344" i="487"/>
  <c r="J348" i="487"/>
  <c r="K337" i="487"/>
  <c r="J337" i="487"/>
  <c r="L337" i="487"/>
  <c r="L385" i="487"/>
  <c r="K385" i="487"/>
  <c r="J385" i="487"/>
  <c r="L389" i="487"/>
  <c r="K389" i="487"/>
  <c r="J389" i="487"/>
  <c r="L393" i="487"/>
  <c r="K393" i="487"/>
  <c r="J393" i="487"/>
  <c r="L395" i="487"/>
  <c r="K1056" i="487"/>
  <c r="J1056" i="487"/>
  <c r="L1056" i="487"/>
  <c r="K1060" i="487"/>
  <c r="J1060" i="487"/>
  <c r="L1060" i="487"/>
  <c r="L1057" i="487"/>
  <c r="K1057" i="487"/>
  <c r="J1057" i="487"/>
  <c r="L1061" i="487"/>
  <c r="K1061" i="487"/>
  <c r="J1061" i="487"/>
  <c r="L1063" i="487"/>
  <c r="L1069" i="487"/>
  <c r="K1069" i="487"/>
  <c r="J1069" i="487"/>
  <c r="K1102" i="487"/>
  <c r="J1102" i="487"/>
  <c r="L1102" i="487"/>
  <c r="K1106" i="487"/>
  <c r="J1106" i="487"/>
  <c r="L1106" i="487"/>
  <c r="K990" i="487"/>
  <c r="L990" i="487"/>
  <c r="J990" i="487"/>
  <c r="K994" i="487"/>
  <c r="J994" i="487"/>
  <c r="L994" i="487"/>
  <c r="K987" i="487"/>
  <c r="J987" i="487"/>
  <c r="L987" i="487"/>
  <c r="L1035" i="487"/>
  <c r="K1035" i="487"/>
  <c r="J1035" i="487"/>
  <c r="L1039" i="487"/>
  <c r="K1039" i="487"/>
  <c r="J1039" i="487"/>
  <c r="L1043" i="487"/>
  <c r="K1043" i="487"/>
  <c r="J1043" i="487"/>
  <c r="L927" i="487"/>
  <c r="J927" i="487"/>
  <c r="K927" i="487"/>
  <c r="L931" i="487"/>
  <c r="J931" i="487"/>
  <c r="K931" i="487"/>
  <c r="L939" i="487"/>
  <c r="K939" i="487"/>
  <c r="J939" i="487"/>
  <c r="K972" i="487"/>
  <c r="L972" i="487"/>
  <c r="J972" i="487"/>
  <c r="K976" i="487"/>
  <c r="J976" i="487"/>
  <c r="L976" i="487"/>
  <c r="L860" i="487"/>
  <c r="J860" i="487"/>
  <c r="K860" i="487"/>
  <c r="L864" i="487"/>
  <c r="K864" i="487"/>
  <c r="J864" i="487"/>
  <c r="L857" i="487"/>
  <c r="K857" i="487"/>
  <c r="J857" i="487"/>
  <c r="K909" i="487"/>
  <c r="J909" i="487"/>
  <c r="L909" i="487"/>
  <c r="J730" i="487"/>
  <c r="K730" i="487"/>
  <c r="L730" i="487"/>
  <c r="J734" i="487"/>
  <c r="L734" i="487"/>
  <c r="K734" i="487"/>
  <c r="J727" i="487"/>
  <c r="L727" i="487"/>
  <c r="K727" i="487"/>
  <c r="L783" i="487"/>
  <c r="J783" i="487"/>
  <c r="K783" i="487"/>
  <c r="L1058" i="487"/>
  <c r="K1058" i="487"/>
  <c r="J1058" i="487"/>
  <c r="L1062" i="487"/>
  <c r="K1062" i="487"/>
  <c r="J1062" i="487"/>
  <c r="L1070" i="487"/>
  <c r="K1070" i="487"/>
  <c r="J1070" i="487"/>
  <c r="L1103" i="487"/>
  <c r="K1103" i="487"/>
  <c r="J1103" i="487"/>
  <c r="L1107" i="487"/>
  <c r="K1107" i="487"/>
  <c r="J1107" i="487"/>
  <c r="K1110" i="487"/>
  <c r="L991" i="487"/>
  <c r="K991" i="487"/>
  <c r="J991" i="487"/>
  <c r="L995" i="487"/>
  <c r="K995" i="487"/>
  <c r="J995" i="487"/>
  <c r="K998" i="487"/>
  <c r="L1001" i="487"/>
  <c r="K1001" i="487"/>
  <c r="J1001" i="487"/>
  <c r="L1036" i="487"/>
  <c r="K1036" i="487"/>
  <c r="J1036" i="487"/>
  <c r="L1040" i="487"/>
  <c r="K1040" i="487"/>
  <c r="J1040" i="487"/>
  <c r="L1044" i="487"/>
  <c r="K1044" i="487"/>
  <c r="J1044" i="487"/>
  <c r="L928" i="487"/>
  <c r="K928" i="487"/>
  <c r="J928" i="487"/>
  <c r="K932" i="487"/>
  <c r="L932" i="487"/>
  <c r="J932" i="487"/>
  <c r="K940" i="487"/>
  <c r="L940" i="487"/>
  <c r="J940" i="487"/>
  <c r="L973" i="487"/>
  <c r="K973" i="487"/>
  <c r="J973" i="487"/>
  <c r="L977" i="487"/>
  <c r="J977" i="487"/>
  <c r="K977" i="487"/>
  <c r="K980" i="487"/>
  <c r="L861" i="487"/>
  <c r="K861" i="487"/>
  <c r="J861" i="487"/>
  <c r="K865" i="487"/>
  <c r="J865" i="487"/>
  <c r="L865" i="487"/>
  <c r="K868" i="487"/>
  <c r="K871" i="487"/>
  <c r="J871" i="487"/>
  <c r="L871" i="487"/>
  <c r="L906" i="487"/>
  <c r="K906" i="487"/>
  <c r="J906" i="487"/>
  <c r="L910" i="487"/>
  <c r="K910" i="487"/>
  <c r="J910" i="487"/>
  <c r="L914" i="487"/>
  <c r="K914" i="487"/>
  <c r="J914" i="487"/>
  <c r="J798" i="487"/>
  <c r="K798" i="487"/>
  <c r="L798" i="487"/>
  <c r="J802" i="487"/>
  <c r="K802" i="487"/>
  <c r="L802" i="487"/>
  <c r="J810" i="487"/>
  <c r="L810" i="487"/>
  <c r="K810" i="487"/>
  <c r="L843" i="487"/>
  <c r="K843" i="487"/>
  <c r="J843" i="487"/>
  <c r="K847" i="487"/>
  <c r="J847" i="487"/>
  <c r="L847" i="487"/>
  <c r="K850" i="487"/>
  <c r="K731" i="487"/>
  <c r="J731" i="487"/>
  <c r="L731" i="487"/>
  <c r="K735" i="487"/>
  <c r="J735" i="487"/>
  <c r="L735" i="487"/>
  <c r="K738" i="487"/>
  <c r="K741" i="487"/>
  <c r="L741" i="487"/>
  <c r="J741" i="487"/>
  <c r="J776" i="487"/>
  <c r="L776" i="487"/>
  <c r="K776" i="487"/>
  <c r="J780" i="487"/>
  <c r="K780" i="487"/>
  <c r="L780" i="487"/>
  <c r="J784" i="487"/>
  <c r="L784" i="487"/>
  <c r="K784" i="487"/>
  <c r="L668" i="487"/>
  <c r="J668" i="487"/>
  <c r="K668" i="487"/>
  <c r="L672" i="487"/>
  <c r="J672" i="487"/>
  <c r="K672" i="487"/>
  <c r="L680" i="487"/>
  <c r="J680" i="487"/>
  <c r="K680" i="487"/>
  <c r="K713" i="487"/>
  <c r="J713" i="487"/>
  <c r="L713" i="487"/>
  <c r="K717" i="487"/>
  <c r="L717" i="487"/>
  <c r="J717" i="487"/>
  <c r="K720" i="487"/>
  <c r="L601" i="487"/>
  <c r="K601" i="487"/>
  <c r="J601" i="487"/>
  <c r="L605" i="487"/>
  <c r="K605" i="487"/>
  <c r="J605" i="487"/>
  <c r="K608" i="487"/>
  <c r="L611" i="487"/>
  <c r="K611" i="487"/>
  <c r="J611" i="487"/>
  <c r="L646" i="487"/>
  <c r="K646" i="487"/>
  <c r="J646" i="487"/>
  <c r="L650" i="487"/>
  <c r="K650" i="487"/>
  <c r="J650" i="487"/>
  <c r="L654" i="487"/>
  <c r="K654" i="487"/>
  <c r="J654" i="487"/>
  <c r="K278" i="487"/>
  <c r="J278" i="487"/>
  <c r="L278" i="487"/>
  <c r="K282" i="487"/>
  <c r="J282" i="487"/>
  <c r="L282" i="487"/>
  <c r="K290" i="487"/>
  <c r="J290" i="487"/>
  <c r="L290" i="487"/>
  <c r="K323" i="487"/>
  <c r="J323" i="487"/>
  <c r="L323" i="487"/>
  <c r="K327" i="487"/>
  <c r="J327" i="487"/>
  <c r="L327" i="487"/>
  <c r="K330" i="487"/>
  <c r="L146" i="487"/>
  <c r="J146" i="487"/>
  <c r="K146" i="487"/>
  <c r="L150" i="487"/>
  <c r="K150" i="487"/>
  <c r="J150" i="487"/>
  <c r="K153" i="487"/>
  <c r="L156" i="487"/>
  <c r="J156" i="487"/>
  <c r="K156" i="487"/>
  <c r="K191" i="487"/>
  <c r="L191" i="487"/>
  <c r="J191" i="487"/>
  <c r="K195" i="487"/>
  <c r="L195" i="487"/>
  <c r="J195" i="487"/>
  <c r="K199" i="487"/>
  <c r="L199" i="487"/>
  <c r="J199" i="487"/>
  <c r="L95" i="487"/>
  <c r="K95" i="487"/>
  <c r="J95" i="487"/>
  <c r="L128" i="487"/>
  <c r="K128" i="487"/>
  <c r="J128" i="487"/>
  <c r="L132" i="487"/>
  <c r="J132" i="487"/>
  <c r="K132" i="487"/>
  <c r="K135" i="487"/>
  <c r="K211" i="487"/>
  <c r="J211" i="487"/>
  <c r="L211" i="487"/>
  <c r="K215" i="487"/>
  <c r="J215" i="487"/>
  <c r="L215" i="487"/>
  <c r="K218" i="487"/>
  <c r="K221" i="487"/>
  <c r="J221" i="487"/>
  <c r="L221" i="487"/>
  <c r="K256" i="487"/>
  <c r="J256" i="487"/>
  <c r="L256" i="487"/>
  <c r="K260" i="487"/>
  <c r="J260" i="487"/>
  <c r="L260" i="487"/>
  <c r="K264" i="487"/>
  <c r="J264" i="487"/>
  <c r="L264" i="487"/>
  <c r="L538" i="487"/>
  <c r="K538" i="487"/>
  <c r="J538" i="487"/>
  <c r="L542" i="487"/>
  <c r="K542" i="487"/>
  <c r="J542" i="487"/>
  <c r="L550" i="487"/>
  <c r="K550" i="487"/>
  <c r="J550" i="487"/>
  <c r="L583" i="487"/>
  <c r="K583" i="487"/>
  <c r="J583" i="487"/>
  <c r="L587" i="487"/>
  <c r="K587" i="487"/>
  <c r="J587" i="487"/>
  <c r="K590" i="487"/>
  <c r="L471" i="487"/>
  <c r="K471" i="487"/>
  <c r="J471" i="487"/>
  <c r="L475" i="487"/>
  <c r="K475" i="487"/>
  <c r="J475" i="487"/>
  <c r="K478" i="487"/>
  <c r="L481" i="487"/>
  <c r="K481" i="487"/>
  <c r="J481" i="487"/>
  <c r="L516" i="487"/>
  <c r="J516" i="487"/>
  <c r="K516" i="487"/>
  <c r="L520" i="487"/>
  <c r="J520" i="487"/>
  <c r="K520" i="487"/>
  <c r="L524" i="487"/>
  <c r="J524" i="487"/>
  <c r="K524" i="487"/>
  <c r="L408" i="487"/>
  <c r="K408" i="487"/>
  <c r="J408" i="487"/>
  <c r="L412" i="487"/>
  <c r="K412" i="487"/>
  <c r="J412" i="487"/>
  <c r="L420" i="487"/>
  <c r="K420" i="487"/>
  <c r="J420" i="487"/>
  <c r="L453" i="487"/>
  <c r="J453" i="487"/>
  <c r="K453" i="487"/>
  <c r="L457" i="487"/>
  <c r="J457" i="487"/>
  <c r="K457" i="487"/>
  <c r="K460" i="487"/>
  <c r="K341" i="487"/>
  <c r="J341" i="487"/>
  <c r="L341" i="487"/>
  <c r="K345" i="487"/>
  <c r="J345" i="487"/>
  <c r="L345" i="487"/>
  <c r="K348" i="487"/>
  <c r="K351" i="487"/>
  <c r="J351" i="487"/>
  <c r="L351" i="487"/>
  <c r="L386" i="487"/>
  <c r="K386" i="487"/>
  <c r="J386" i="487"/>
  <c r="L390" i="487"/>
  <c r="K390" i="487"/>
  <c r="J390" i="487"/>
  <c r="L394" i="487"/>
  <c r="K394" i="487"/>
  <c r="J394" i="487"/>
  <c r="K905" i="487"/>
  <c r="L905" i="487"/>
  <c r="J905" i="487"/>
  <c r="K913" i="487"/>
  <c r="L913" i="487"/>
  <c r="J913" i="487"/>
  <c r="J775" i="487"/>
  <c r="L775" i="487"/>
  <c r="K775" i="487"/>
  <c r="L779" i="487"/>
  <c r="J779" i="487"/>
  <c r="K779" i="487"/>
  <c r="J1055" i="487"/>
  <c r="K1055" i="487"/>
  <c r="L1055" i="487"/>
  <c r="J1059" i="487"/>
  <c r="L1059" i="487"/>
  <c r="K1059" i="487"/>
  <c r="J1063" i="487"/>
  <c r="J1052" i="487"/>
  <c r="L1052" i="487"/>
  <c r="K1052" i="487"/>
  <c r="L1100" i="487"/>
  <c r="J1100" i="487"/>
  <c r="K1100" i="487"/>
  <c r="L1104" i="487"/>
  <c r="K1104" i="487"/>
  <c r="J1104" i="487"/>
  <c r="L1108" i="487"/>
  <c r="K1108" i="487"/>
  <c r="J1108" i="487"/>
  <c r="L1110" i="487"/>
  <c r="K992" i="487"/>
  <c r="L992" i="487"/>
  <c r="J992" i="487"/>
  <c r="J996" i="487"/>
  <c r="K996" i="487"/>
  <c r="L996" i="487"/>
  <c r="L998" i="487"/>
  <c r="J1004" i="487"/>
  <c r="L1004" i="487"/>
  <c r="K1004" i="487"/>
  <c r="J1037" i="487"/>
  <c r="K1037" i="487"/>
  <c r="L1037" i="487"/>
  <c r="J1041" i="487"/>
  <c r="L1041" i="487"/>
  <c r="K1041" i="487"/>
  <c r="J1045" i="487"/>
  <c r="J925" i="487"/>
  <c r="K925" i="487"/>
  <c r="L925" i="487"/>
  <c r="J929" i="487"/>
  <c r="L929" i="487"/>
  <c r="K929" i="487"/>
  <c r="J933" i="487"/>
  <c r="J922" i="487"/>
  <c r="L922" i="487"/>
  <c r="K922" i="487"/>
  <c r="L970" i="487"/>
  <c r="J970" i="487"/>
  <c r="K970" i="487"/>
  <c r="K974" i="487"/>
  <c r="L974" i="487"/>
  <c r="J974" i="487"/>
  <c r="J978" i="487"/>
  <c r="L978" i="487"/>
  <c r="K978" i="487"/>
  <c r="L980" i="487"/>
  <c r="J862" i="487"/>
  <c r="L862" i="487"/>
  <c r="K862" i="487"/>
  <c r="J866" i="487"/>
  <c r="L866" i="487"/>
  <c r="K866" i="487"/>
  <c r="L868" i="487"/>
  <c r="J874" i="487"/>
  <c r="L874" i="487"/>
  <c r="K874" i="487"/>
  <c r="K907" i="487"/>
  <c r="J907" i="487"/>
  <c r="L907" i="487"/>
  <c r="J911" i="487"/>
  <c r="K911" i="487"/>
  <c r="L911" i="487"/>
  <c r="J915" i="487"/>
  <c r="K795" i="487"/>
  <c r="J795" i="487"/>
  <c r="L795" i="487"/>
  <c r="K799" i="487"/>
  <c r="L799" i="487"/>
  <c r="J799" i="487"/>
  <c r="J803" i="487"/>
  <c r="K792" i="487"/>
  <c r="J792" i="487"/>
  <c r="L792" i="487"/>
  <c r="J840" i="487"/>
  <c r="K840" i="487"/>
  <c r="L840" i="487"/>
  <c r="J844" i="487"/>
  <c r="L844" i="487"/>
  <c r="K844" i="487"/>
  <c r="J848" i="487"/>
  <c r="L848" i="487"/>
  <c r="K848" i="487"/>
  <c r="L850" i="487"/>
  <c r="L732" i="487"/>
  <c r="J732" i="487"/>
  <c r="K732" i="487"/>
  <c r="L736" i="487"/>
  <c r="K736" i="487"/>
  <c r="J736" i="487"/>
  <c r="L738" i="487"/>
  <c r="L744" i="487"/>
  <c r="K744" i="487"/>
  <c r="J744" i="487"/>
  <c r="K777" i="487"/>
  <c r="L777" i="487"/>
  <c r="J777" i="487"/>
  <c r="K781" i="487"/>
  <c r="L781" i="487"/>
  <c r="J781" i="487"/>
  <c r="J785" i="487"/>
  <c r="L665" i="487"/>
  <c r="K665" i="487"/>
  <c r="J665" i="487"/>
  <c r="L669" i="487"/>
  <c r="K669" i="487"/>
  <c r="J669" i="487"/>
  <c r="J673" i="487"/>
  <c r="L662" i="487"/>
  <c r="K662" i="487"/>
  <c r="J662" i="487"/>
  <c r="L710" i="487"/>
  <c r="K710" i="487"/>
  <c r="J710" i="487"/>
  <c r="L714" i="487"/>
  <c r="K714" i="487"/>
  <c r="J714" i="487"/>
  <c r="L718" i="487"/>
  <c r="K718" i="487"/>
  <c r="J718" i="487"/>
  <c r="L720" i="487"/>
  <c r="L602" i="487"/>
  <c r="K602" i="487"/>
  <c r="J602" i="487"/>
  <c r="L606" i="487"/>
  <c r="K606" i="487"/>
  <c r="J606" i="487"/>
  <c r="L608" i="487"/>
  <c r="L614" i="487"/>
  <c r="K614" i="487"/>
  <c r="J614" i="487"/>
  <c r="L647" i="487"/>
  <c r="K647" i="487"/>
  <c r="J647" i="487"/>
  <c r="L651" i="487"/>
  <c r="K651" i="487"/>
  <c r="J651" i="487"/>
  <c r="J655" i="487"/>
  <c r="K275" i="487"/>
  <c r="J275" i="487"/>
  <c r="L275" i="487"/>
  <c r="K279" i="487"/>
  <c r="J279" i="487"/>
  <c r="L279" i="487"/>
  <c r="J283" i="487"/>
  <c r="K272" i="487"/>
  <c r="J272" i="487"/>
  <c r="L272" i="487"/>
  <c r="K320" i="487"/>
  <c r="J320" i="487"/>
  <c r="L320" i="487"/>
  <c r="K324" i="487"/>
  <c r="J324" i="487"/>
  <c r="L324" i="487"/>
  <c r="K328" i="487"/>
  <c r="J328" i="487"/>
  <c r="L328" i="487"/>
  <c r="L330" i="487"/>
  <c r="J147" i="487"/>
  <c r="L147" i="487"/>
  <c r="K147" i="487"/>
  <c r="J151" i="487"/>
  <c r="L151" i="487"/>
  <c r="K151" i="487"/>
  <c r="L153" i="487"/>
  <c r="L159" i="487"/>
  <c r="K159" i="487"/>
  <c r="J159" i="487"/>
  <c r="K192" i="487"/>
  <c r="L192" i="487"/>
  <c r="J192" i="487"/>
  <c r="K196" i="487"/>
  <c r="L196" i="487"/>
  <c r="J196" i="487"/>
  <c r="J200" i="487"/>
  <c r="J88" i="487"/>
  <c r="L77" i="487"/>
  <c r="K77" i="487"/>
  <c r="J77" i="487"/>
  <c r="L125" i="487"/>
  <c r="J125" i="487"/>
  <c r="K125" i="487"/>
  <c r="L129" i="487"/>
  <c r="J129" i="487"/>
  <c r="K129" i="487"/>
  <c r="L133" i="487"/>
  <c r="K133" i="487"/>
  <c r="J133" i="487"/>
  <c r="L135" i="487"/>
  <c r="K212" i="487"/>
  <c r="J212" i="487"/>
  <c r="L212" i="487"/>
  <c r="K216" i="487"/>
  <c r="J216" i="487"/>
  <c r="L216" i="487"/>
  <c r="L218" i="487"/>
  <c r="K224" i="487"/>
  <c r="J224" i="487"/>
  <c r="L224" i="487"/>
  <c r="K257" i="487"/>
  <c r="J257" i="487"/>
  <c r="L257" i="487"/>
  <c r="K261" i="487"/>
  <c r="J261" i="487"/>
  <c r="L261" i="487"/>
  <c r="J265" i="487"/>
  <c r="L535" i="487"/>
  <c r="K535" i="487"/>
  <c r="J535" i="487"/>
  <c r="L539" i="487"/>
  <c r="K539" i="487"/>
  <c r="J539" i="487"/>
  <c r="J543" i="487"/>
  <c r="L532" i="487"/>
  <c r="J532" i="487"/>
  <c r="K532" i="487"/>
  <c r="L580" i="487"/>
  <c r="J580" i="487"/>
  <c r="K580" i="487"/>
  <c r="L584" i="487"/>
  <c r="J584" i="487"/>
  <c r="K584" i="487"/>
  <c r="L588" i="487"/>
  <c r="J588" i="487"/>
  <c r="K588" i="487"/>
  <c r="L590" i="487"/>
  <c r="L472" i="487"/>
  <c r="K472" i="487"/>
  <c r="J472" i="487"/>
  <c r="L476" i="487"/>
  <c r="K476" i="487"/>
  <c r="J476" i="487"/>
  <c r="L478" i="487"/>
  <c r="L484" i="487"/>
  <c r="J484" i="487"/>
  <c r="K484" i="487"/>
  <c r="L517" i="487"/>
  <c r="K517" i="487"/>
  <c r="J517" i="487"/>
  <c r="L521" i="487"/>
  <c r="K521" i="487"/>
  <c r="J521" i="487"/>
  <c r="J525" i="487"/>
  <c r="L405" i="487"/>
  <c r="K405" i="487"/>
  <c r="J405" i="487"/>
  <c r="L409" i="487"/>
  <c r="K409" i="487"/>
  <c r="J409" i="487"/>
  <c r="J413" i="487"/>
  <c r="L402" i="487"/>
  <c r="K402" i="487"/>
  <c r="J402" i="487"/>
  <c r="L450" i="487"/>
  <c r="K450" i="487"/>
  <c r="J450" i="487"/>
  <c r="L454" i="487"/>
  <c r="K454" i="487"/>
  <c r="J454" i="487"/>
  <c r="L458" i="487"/>
  <c r="K458" i="487"/>
  <c r="J458" i="487"/>
  <c r="L460" i="487"/>
  <c r="K342" i="487"/>
  <c r="J342" i="487"/>
  <c r="L342" i="487"/>
  <c r="K346" i="487"/>
  <c r="J346" i="487"/>
  <c r="L346" i="487"/>
  <c r="L348" i="487"/>
  <c r="K354" i="487"/>
  <c r="J354" i="487"/>
  <c r="L354" i="487"/>
  <c r="L387" i="487"/>
  <c r="J387" i="487"/>
  <c r="K387" i="487"/>
  <c r="L391" i="487"/>
  <c r="J391" i="487"/>
  <c r="K391" i="487"/>
  <c r="J395" i="487"/>
  <c r="J81" i="487"/>
  <c r="L81" i="487"/>
  <c r="K81" i="487"/>
  <c r="J85" i="487"/>
  <c r="L85" i="487"/>
  <c r="K85" i="487"/>
  <c r="J86" i="487"/>
  <c r="L86" i="487"/>
  <c r="K86" i="487"/>
  <c r="J80" i="487"/>
  <c r="L80" i="487"/>
  <c r="K80" i="487"/>
  <c r="J84" i="487"/>
  <c r="L84" i="487"/>
  <c r="K84" i="487"/>
  <c r="J82" i="487"/>
  <c r="L82" i="487"/>
  <c r="K82" i="487"/>
  <c r="J83" i="487"/>
  <c r="L83" i="487"/>
  <c r="K83" i="487"/>
  <c r="J87" i="487"/>
  <c r="L87" i="487"/>
  <c r="K87" i="487"/>
  <c r="J268" i="487"/>
  <c r="K918" i="487"/>
  <c r="L1048" i="487"/>
  <c r="L96" i="487" l="1"/>
  <c r="K96" i="487"/>
  <c r="J96" i="487"/>
  <c r="J941" i="487"/>
  <c r="J811" i="487"/>
  <c r="M811" i="487"/>
  <c r="K746" i="487"/>
  <c r="M746" i="487"/>
  <c r="K1071" i="487"/>
  <c r="M1071" i="487"/>
  <c r="L291" i="487"/>
  <c r="M291" i="487"/>
  <c r="K616" i="487"/>
  <c r="M616" i="487"/>
  <c r="L876" i="487"/>
  <c r="M876" i="487"/>
  <c r="J551" i="487"/>
  <c r="J616" i="487"/>
  <c r="L551" i="487"/>
  <c r="I593" i="487"/>
  <c r="M593" i="487" s="1"/>
  <c r="K1006" i="487"/>
  <c r="J746" i="487"/>
  <c r="K291" i="487"/>
  <c r="J1071" i="487"/>
  <c r="I1048" i="487"/>
  <c r="M1048" i="487" s="1"/>
  <c r="J1006" i="487"/>
  <c r="I983" i="487"/>
  <c r="M983" i="487" s="1"/>
  <c r="J291" i="487"/>
  <c r="L1006" i="487"/>
  <c r="K941" i="487"/>
  <c r="I853" i="487"/>
  <c r="M853" i="487" s="1"/>
  <c r="L1071" i="487"/>
  <c r="L746" i="487"/>
  <c r="L616" i="487"/>
  <c r="J876" i="487"/>
  <c r="I463" i="487"/>
  <c r="M463" i="487" s="1"/>
  <c r="L941" i="487"/>
  <c r="K876" i="487"/>
  <c r="K811" i="487"/>
  <c r="K681" i="487"/>
  <c r="I528" i="487"/>
  <c r="M528" i="487" s="1"/>
  <c r="I723" i="487"/>
  <c r="M723" i="487" s="1"/>
  <c r="L681" i="487"/>
  <c r="I788" i="487"/>
  <c r="M788" i="487" s="1"/>
  <c r="L811" i="487"/>
  <c r="J681" i="487"/>
  <c r="I268" i="487"/>
  <c r="M268" i="487" s="1"/>
  <c r="I333" i="487"/>
  <c r="M333" i="487" s="1"/>
  <c r="I1113" i="487"/>
  <c r="M1113" i="487" s="1"/>
  <c r="I203" i="487"/>
  <c r="M203" i="487" s="1"/>
  <c r="I658" i="487"/>
  <c r="M658" i="487" s="1"/>
  <c r="I918" i="487"/>
  <c r="M918" i="487" s="1"/>
  <c r="I398" i="487"/>
  <c r="M398" i="487" s="1"/>
  <c r="J1113" i="487"/>
  <c r="L528" i="487"/>
  <c r="L398" i="487"/>
  <c r="J333" i="487"/>
  <c r="L356" i="487"/>
  <c r="J356" i="487"/>
  <c r="K356" i="487"/>
  <c r="J161" i="487"/>
  <c r="K161" i="487"/>
  <c r="L161" i="487"/>
  <c r="J593" i="487"/>
  <c r="L486" i="487"/>
  <c r="K486" i="487"/>
  <c r="J486" i="487"/>
  <c r="J226" i="487"/>
  <c r="K226" i="487"/>
  <c r="L226" i="487"/>
  <c r="L203" i="487"/>
  <c r="L788" i="487"/>
  <c r="L723" i="487"/>
  <c r="L983" i="487"/>
  <c r="K421" i="487"/>
  <c r="L421" i="487"/>
  <c r="J421" i="487"/>
  <c r="L658" i="487"/>
  <c r="I138" i="487"/>
  <c r="M138" i="487" s="1"/>
  <c r="K528" i="487"/>
  <c r="L1113" i="487"/>
  <c r="L593" i="487"/>
  <c r="L918" i="487"/>
  <c r="J203" i="487"/>
  <c r="J463" i="487"/>
  <c r="J138" i="487"/>
  <c r="J723" i="487"/>
  <c r="J983" i="487"/>
  <c r="K788" i="487"/>
  <c r="K398" i="487"/>
  <c r="K268" i="487"/>
  <c r="J398" i="487"/>
  <c r="J658" i="487"/>
  <c r="L853" i="487"/>
  <c r="K1113" i="487"/>
  <c r="L333" i="487"/>
  <c r="K138" i="487"/>
  <c r="L463" i="487"/>
  <c r="K983" i="487"/>
  <c r="K1048" i="487"/>
  <c r="J528" i="487"/>
  <c r="K463" i="487"/>
  <c r="J853" i="487"/>
  <c r="K203" i="487"/>
  <c r="J788" i="487"/>
  <c r="K723" i="487"/>
  <c r="K593" i="487"/>
  <c r="L268" i="487"/>
  <c r="K658" i="487"/>
  <c r="J1048" i="487"/>
  <c r="J918" i="487"/>
  <c r="K853" i="487"/>
  <c r="L138" i="487"/>
  <c r="K333" i="487"/>
  <c r="I26" i="487"/>
  <c r="M26" i="487" s="1"/>
  <c r="L26" i="487" l="1"/>
  <c r="K26" i="487"/>
  <c r="J26" i="487"/>
  <c r="I69" i="487"/>
  <c r="M69" i="487" s="1"/>
  <c r="I68" i="487"/>
  <c r="M68" i="487" s="1"/>
  <c r="I67" i="487"/>
  <c r="M67" i="487" s="1"/>
  <c r="I66" i="487"/>
  <c r="M66" i="487" s="1"/>
  <c r="I65" i="487"/>
  <c r="M65" i="487" s="1"/>
  <c r="I64" i="487"/>
  <c r="M64" i="487" s="1"/>
  <c r="I63" i="487"/>
  <c r="M63" i="487" s="1"/>
  <c r="I62" i="487"/>
  <c r="M62" i="487" s="1"/>
  <c r="I61" i="487"/>
  <c r="M61" i="487" s="1"/>
  <c r="I60" i="487"/>
  <c r="M60" i="487" s="1"/>
  <c r="I30" i="487"/>
  <c r="M30" i="487" s="1"/>
  <c r="I29" i="487"/>
  <c r="I12" i="487"/>
  <c r="M12" i="487" s="1"/>
  <c r="J23" i="487"/>
  <c r="I22" i="487"/>
  <c r="M22" i="487" s="1"/>
  <c r="I21" i="487"/>
  <c r="M21" i="487" s="1"/>
  <c r="I20" i="487"/>
  <c r="M20" i="487" s="1"/>
  <c r="I19" i="487"/>
  <c r="M19" i="487" s="1"/>
  <c r="I18" i="487"/>
  <c r="M18" i="487" s="1"/>
  <c r="I17" i="487"/>
  <c r="M17" i="487" s="1"/>
  <c r="I16" i="487"/>
  <c r="M16" i="487" s="1"/>
  <c r="I15" i="487"/>
  <c r="M15" i="487" s="1"/>
  <c r="I31" i="487" l="1"/>
  <c r="M31" i="487" s="1"/>
  <c r="M29" i="487"/>
  <c r="J31" i="487"/>
  <c r="K31" i="487"/>
  <c r="L31" i="487"/>
  <c r="I23" i="487"/>
  <c r="M23" i="487" s="1"/>
  <c r="I70" i="487"/>
  <c r="M70" i="487" s="1"/>
  <c r="K15" i="487"/>
  <c r="J15" i="487"/>
  <c r="L15" i="487"/>
  <c r="K19" i="487"/>
  <c r="J19" i="487"/>
  <c r="L19" i="487"/>
  <c r="K12" i="487"/>
  <c r="J12" i="487"/>
  <c r="L12" i="487"/>
  <c r="K61" i="487"/>
  <c r="J61" i="487"/>
  <c r="L61" i="487"/>
  <c r="K65" i="487"/>
  <c r="J65" i="487"/>
  <c r="L65" i="487"/>
  <c r="K69" i="487"/>
  <c r="J69" i="487"/>
  <c r="L69" i="487"/>
  <c r="L16" i="487"/>
  <c r="K16" i="487"/>
  <c r="J16" i="487"/>
  <c r="L20" i="487"/>
  <c r="K20" i="487"/>
  <c r="J20" i="487"/>
  <c r="K23" i="487"/>
  <c r="L29" i="487"/>
  <c r="J29" i="487"/>
  <c r="K29" i="487"/>
  <c r="L62" i="487"/>
  <c r="K62" i="487"/>
  <c r="J62" i="487"/>
  <c r="L66" i="487"/>
  <c r="K66" i="487"/>
  <c r="J66" i="487"/>
  <c r="J70" i="487"/>
  <c r="L17" i="487"/>
  <c r="K17" i="487"/>
  <c r="J17" i="487"/>
  <c r="L21" i="487"/>
  <c r="J21" i="487"/>
  <c r="K21" i="487"/>
  <c r="L23" i="487"/>
  <c r="J30" i="487"/>
  <c r="L30" i="487"/>
  <c r="K30" i="487"/>
  <c r="L63" i="487"/>
  <c r="J63" i="487"/>
  <c r="K63" i="487"/>
  <c r="L67" i="487"/>
  <c r="K67" i="487"/>
  <c r="J67" i="487"/>
  <c r="K70" i="487"/>
  <c r="J18" i="487"/>
  <c r="L18" i="487"/>
  <c r="K18" i="487"/>
  <c r="J22" i="487"/>
  <c r="L22" i="487"/>
  <c r="K22" i="487"/>
  <c r="J60" i="487"/>
  <c r="K60" i="487"/>
  <c r="L60" i="487"/>
  <c r="J64" i="487"/>
  <c r="L64" i="487"/>
  <c r="K64" i="487"/>
  <c r="J68" i="487"/>
  <c r="L68" i="487"/>
  <c r="K68" i="487"/>
  <c r="L70" i="487"/>
  <c r="I73" i="487" l="1"/>
  <c r="M73" i="487" s="1"/>
  <c r="C73" i="487"/>
</calcChain>
</file>

<file path=xl/comments1.xml><?xml version="1.0" encoding="utf-8"?>
<comments xmlns="http://schemas.openxmlformats.org/spreadsheetml/2006/main">
  <authors>
    <author>JEWELL, GREGG K GG-11 USAF AFSOC 11 SOIS/MS</author>
  </authors>
  <commentList>
    <comment ref="D7" authorId="0" shapeId="0">
      <text>
        <r>
          <rPr>
            <b/>
            <sz val="9"/>
            <color indexed="81"/>
            <rFont val="Tahoma"/>
            <family val="2"/>
          </rPr>
          <t>This training can be completed in AFPAAS, click on the link to go there.</t>
        </r>
      </text>
    </comment>
    <comment ref="D10" authorId="0" shapeId="0">
      <text>
        <r>
          <rPr>
            <b/>
            <sz val="9"/>
            <color indexed="81"/>
            <rFont val="Tahoma"/>
            <family val="2"/>
          </rPr>
          <t>This training can be completed in ADLS, click on the link to go there.</t>
        </r>
      </text>
    </comment>
    <comment ref="D11" authorId="0" shapeId="0">
      <text>
        <r>
          <rPr>
            <b/>
            <sz val="9"/>
            <color indexed="81"/>
            <rFont val="Tahoma"/>
            <family val="2"/>
          </rPr>
          <t>This training can be completed in ADLS, click on the link to go there.</t>
        </r>
      </text>
    </comment>
    <comment ref="D12" authorId="0" shapeId="0">
      <text>
        <r>
          <rPr>
            <b/>
            <sz val="9"/>
            <color indexed="81"/>
            <rFont val="Tahoma"/>
            <family val="2"/>
          </rPr>
          <t>This training can be completed in ADLS, click on the link to go there.</t>
        </r>
      </text>
    </comment>
    <comment ref="D13" authorId="0" shapeId="0">
      <text>
        <r>
          <rPr>
            <b/>
            <sz val="9"/>
            <color indexed="81"/>
            <rFont val="Tahoma"/>
            <family val="2"/>
          </rPr>
          <t>This training can be completed in ADLS, click on the link to go there.</t>
        </r>
      </text>
    </comment>
    <comment ref="D14" authorId="0" shapeId="0">
      <text>
        <r>
          <rPr>
            <b/>
            <sz val="9"/>
            <color indexed="81"/>
            <rFont val="Tahoma"/>
            <family val="2"/>
          </rPr>
          <t>This training can be completed in ADLS, click on the link to go there.</t>
        </r>
      </text>
    </comment>
    <comment ref="D15" authorId="0" shapeId="0">
      <text>
        <r>
          <rPr>
            <b/>
            <sz val="9"/>
            <color indexed="81"/>
            <rFont val="Tahoma"/>
            <family val="2"/>
          </rPr>
          <t>This training can be completed in the UTM's office (binder).</t>
        </r>
      </text>
    </comment>
    <comment ref="D16" authorId="0" shapeId="0">
      <text>
        <r>
          <rPr>
            <b/>
            <sz val="9"/>
            <color indexed="81"/>
            <rFont val="Tahoma"/>
            <family val="2"/>
          </rPr>
          <t>This training can be completed in ADLS, click on the link to go there.</t>
        </r>
      </text>
    </comment>
    <comment ref="D17" authorId="0" shapeId="0">
      <text>
        <r>
          <rPr>
            <b/>
            <sz val="9"/>
            <color indexed="81"/>
            <rFont val="Tahoma"/>
            <family val="2"/>
          </rPr>
          <t>This training can be completed on base, ask the UTM office for a schedule of upcoming green dot briefings.</t>
        </r>
      </text>
    </comment>
    <comment ref="D20" authorId="0" shapeId="0">
      <text>
        <r>
          <rPr>
            <b/>
            <sz val="9"/>
            <color indexed="81"/>
            <rFont val="Tahoma"/>
            <family val="2"/>
          </rPr>
          <t>This information can be completed in AtHoc, click on the link to go there.</t>
        </r>
      </text>
    </comment>
    <comment ref="D23" authorId="0" shapeId="0">
      <text>
        <r>
          <rPr>
            <b/>
            <sz val="9"/>
            <color indexed="81"/>
            <rFont val="Tahoma"/>
            <family val="2"/>
          </rPr>
          <t>This information can be completed in DTS, click on the link to go there.</t>
        </r>
      </text>
    </comment>
    <comment ref="D24" authorId="0" shapeId="0">
      <text>
        <r>
          <rPr>
            <b/>
            <sz val="9"/>
            <color indexed="81"/>
            <rFont val="Tahoma"/>
            <family val="2"/>
          </rPr>
          <t>This information can be completed in DTS, click on the link to go there.</t>
        </r>
      </text>
    </comment>
    <comment ref="D27" authorId="0" shapeId="0">
      <text>
        <r>
          <rPr>
            <b/>
            <sz val="9"/>
            <color indexed="81"/>
            <rFont val="Tahoma"/>
            <family val="2"/>
          </rPr>
          <t>This information can be accessed in AFFMS, click on the link to go there.
You can schedule a fitness test with your UFPM.</t>
        </r>
      </text>
    </comment>
    <comment ref="D30" authorId="0" shapeId="0">
      <text>
        <r>
          <rPr>
            <b/>
            <sz val="9"/>
            <color indexed="81"/>
            <rFont val="Tahoma"/>
            <family val="2"/>
          </rPr>
          <t>This information can be accessed in ASIMS, click on the link to go there.
You can schedule appoinments with base medical.</t>
        </r>
      </text>
    </comment>
    <comment ref="D31" authorId="0" shapeId="0">
      <text>
        <r>
          <rPr>
            <b/>
            <sz val="9"/>
            <color indexed="81"/>
            <rFont val="Tahoma"/>
            <family val="2"/>
          </rPr>
          <t>This information can be accessed in ASIMS, click on the link to go there.
You can schedule appoinments with base medical.</t>
        </r>
      </text>
    </comment>
    <comment ref="D32" authorId="0" shapeId="0">
      <text>
        <r>
          <rPr>
            <b/>
            <sz val="9"/>
            <color indexed="81"/>
            <rFont val="Tahoma"/>
            <family val="2"/>
          </rPr>
          <t>This information can be accessed in ASIMS, click on the link to go there.
You can schedule appoinments with base medical.</t>
        </r>
      </text>
    </comment>
    <comment ref="D33" authorId="0" shapeId="0">
      <text>
        <r>
          <rPr>
            <b/>
            <sz val="9"/>
            <color indexed="81"/>
            <rFont val="Tahoma"/>
            <family val="2"/>
          </rPr>
          <t>This information can be accessed in ASIMS, click on the link to go there.
You can schedule appoinments with base medical.</t>
        </r>
      </text>
    </comment>
    <comment ref="D34" authorId="0" shapeId="0">
      <text>
        <r>
          <rPr>
            <b/>
            <sz val="9"/>
            <color indexed="81"/>
            <rFont val="Tahoma"/>
            <family val="2"/>
          </rPr>
          <t>This information can be accessed in ASIMS, click on the link to go there.
You can schedule appoinments with base medical.</t>
        </r>
      </text>
    </comment>
    <comment ref="D35" authorId="0" shapeId="0">
      <text>
        <r>
          <rPr>
            <b/>
            <sz val="9"/>
            <color indexed="81"/>
            <rFont val="Tahoma"/>
            <family val="2"/>
          </rPr>
          <t>This information can be accessed in ASIMS, click on the link to go there.
You can schedule appoinments with base medical.</t>
        </r>
      </text>
    </comment>
    <comment ref="D36" authorId="0" shapeId="0">
      <text>
        <r>
          <rPr>
            <b/>
            <sz val="9"/>
            <color indexed="81"/>
            <rFont val="Tahoma"/>
            <family val="2"/>
          </rPr>
          <t>This information can be accessed in ASIMS, click on the link to go there.
You can schedule appoinments with base medical.</t>
        </r>
      </text>
    </comment>
    <comment ref="D37" authorId="0" shapeId="0">
      <text>
        <r>
          <rPr>
            <b/>
            <sz val="9"/>
            <color indexed="81"/>
            <rFont val="Tahoma"/>
            <family val="2"/>
          </rPr>
          <t>This information can be accessed in ASIMS, click on the link to go there.
You can schedule appoinments with base medical.</t>
        </r>
      </text>
    </comment>
    <comment ref="D40" authorId="0" shapeId="0">
      <text>
        <r>
          <rPr>
            <b/>
            <sz val="9"/>
            <color indexed="81"/>
            <rFont val="Tahoma"/>
            <family val="2"/>
          </rPr>
          <t>This training can be completed with a squadron IO monitor.</t>
        </r>
      </text>
    </comment>
    <comment ref="D43" authorId="0" shapeId="0">
      <text>
        <r>
          <rPr>
            <b/>
            <sz val="9"/>
            <color indexed="81"/>
            <rFont val="Tahoma"/>
            <family val="2"/>
          </rPr>
          <t>If your signature is required, log into PEX and sign your 4350. If someone else's signature is required, notify that person that hey need to log into PEX and sign the 4350.</t>
        </r>
      </text>
    </comment>
    <comment ref="D46" authorId="0" shapeId="0">
      <text>
        <r>
          <rPr>
            <b/>
            <sz val="9"/>
            <color indexed="81"/>
            <rFont val="Tahoma"/>
            <family val="2"/>
          </rPr>
          <t>This training can be completed with a safety monitor or by reading a document, click the link to open it.
If you complete the training by reading the document, inform a safety monitor to gain credit.</t>
        </r>
      </text>
    </comment>
    <comment ref="D47" authorId="0" shapeId="0">
      <text>
        <r>
          <rPr>
            <b/>
            <sz val="9"/>
            <color indexed="81"/>
            <rFont val="Tahoma"/>
            <family val="2"/>
          </rPr>
          <t>This training can be completed with a safety monitor or by reading a document, click the link to open it.
If you complete the training by reading the document, inform a safety monitor to gain credit.</t>
        </r>
      </text>
    </comment>
    <comment ref="D48" authorId="0" shapeId="0">
      <text>
        <r>
          <rPr>
            <b/>
            <sz val="9"/>
            <color indexed="81"/>
            <rFont val="Tahoma"/>
            <family val="2"/>
          </rPr>
          <t>This training can be completed in ADLS (the one named "Air Force Risk Managament Fundamentals Course"), click on the link to go there.</t>
        </r>
      </text>
    </comment>
    <comment ref="D49" authorId="0" shapeId="0">
      <text>
        <r>
          <rPr>
            <b/>
            <sz val="9"/>
            <color indexed="81"/>
            <rFont val="Tahoma"/>
            <family val="2"/>
          </rPr>
          <t>This training can be completed in ADLS (Supervisor Safety CBT- Supervisor Safety Course (ZZ13212)) – required for officers and enlisted military E5 and up. Click on the link to go there.</t>
        </r>
      </text>
    </comment>
    <comment ref="D50" authorId="0" shapeId="0">
      <text>
        <r>
          <rPr>
            <b/>
            <sz val="9"/>
            <color indexed="81"/>
            <rFont val="Tahoma"/>
            <family val="2"/>
          </rPr>
          <t xml:space="preserve">This training can be completed with a wing safety representative, read the instructions below.
1.       Complete the Supervisor Safety Course (ZZ13212)  CBT on ADLS. Print the certificate and take it with you to the face-to-face training.
2.       Click the link to sign up for SST.
3.       Click on "new item" to add your name to the roster.
4.       Make sure they stamp your certificate with the 1 SOW SAFETY stamp.
5.       Either scan the certificate and email it to SSgt McKinney and SSgt Kjos so we can update you in our records or stop by and let us know that you have completed it.
6.       Keep you certificate somewhere safe just in case.
</t>
        </r>
      </text>
    </comment>
    <comment ref="D53" authorId="0" shapeId="0">
      <text>
        <r>
          <rPr>
            <b/>
            <sz val="9"/>
            <color indexed="81"/>
            <rFont val="Tahoma"/>
            <family val="2"/>
          </rPr>
          <t>This training can be completed in the SSO's office (binder).</t>
        </r>
      </text>
    </comment>
    <comment ref="D54" authorId="0" shapeId="0">
      <text>
        <r>
          <rPr>
            <b/>
            <sz val="9"/>
            <color indexed="81"/>
            <rFont val="Tahoma"/>
            <family val="2"/>
          </rPr>
          <t>This training can be completed in the SSO's office (binder).</t>
        </r>
      </text>
    </comment>
    <comment ref="D55" authorId="0" shapeId="0">
      <text>
        <r>
          <rPr>
            <b/>
            <sz val="9"/>
            <color indexed="81"/>
            <rFont val="Tahoma"/>
            <family val="2"/>
          </rPr>
          <t>This training can be completed in the SSO's office (binder).</t>
        </r>
      </text>
    </comment>
    <comment ref="D56" authorId="0" shapeId="0">
      <text>
        <r>
          <rPr>
            <b/>
            <sz val="9"/>
            <color indexed="81"/>
            <rFont val="Tahoma"/>
            <family val="2"/>
          </rPr>
          <t>This training can be completed in the SSO's office (binder).</t>
        </r>
      </text>
    </comment>
    <comment ref="D57" authorId="0" shapeId="0">
      <text>
        <r>
          <rPr>
            <b/>
            <sz val="9"/>
            <color indexed="81"/>
            <rFont val="Tahoma"/>
            <family val="2"/>
          </rPr>
          <t>This training can be completed in the SSO's office (binder).</t>
        </r>
      </text>
    </comment>
    <comment ref="D58" authorId="0" shapeId="0">
      <text>
        <r>
          <rPr>
            <b/>
            <sz val="9"/>
            <color indexed="81"/>
            <rFont val="Tahoma"/>
            <family val="2"/>
          </rPr>
          <t>This training can be completed in the SSO's office (binder).</t>
        </r>
      </text>
    </comment>
    <comment ref="D59" authorId="0" shapeId="0">
      <text>
        <r>
          <rPr>
            <b/>
            <sz val="9"/>
            <color indexed="81"/>
            <rFont val="Tahoma"/>
            <family val="2"/>
          </rPr>
          <t>This training can be completed in the SSO's office (binder).</t>
        </r>
      </text>
    </comment>
    <comment ref="D60" authorId="0" shapeId="0">
      <text>
        <r>
          <rPr>
            <b/>
            <sz val="9"/>
            <color indexed="81"/>
            <rFont val="Tahoma"/>
            <family val="2"/>
          </rPr>
          <t>This training can be completed in the SSO's office (binder).</t>
        </r>
      </text>
    </comment>
    <comment ref="D61" authorId="0" shapeId="0">
      <text>
        <r>
          <rPr>
            <b/>
            <sz val="9"/>
            <color indexed="81"/>
            <rFont val="Tahoma"/>
            <family val="2"/>
          </rPr>
          <t>This training can be completed in the SSO's office (binder).</t>
        </r>
      </text>
    </comment>
    <comment ref="D62" authorId="0" shapeId="0">
      <text>
        <r>
          <rPr>
            <b/>
            <sz val="9"/>
            <color indexed="81"/>
            <rFont val="Tahoma"/>
            <family val="2"/>
          </rPr>
          <t>This training can be completed in the SSO's office (binder).</t>
        </r>
      </text>
    </comment>
  </commentList>
</comments>
</file>

<file path=xl/comments2.xml><?xml version="1.0" encoding="utf-8"?>
<comments xmlns="http://schemas.openxmlformats.org/spreadsheetml/2006/main">
  <authors>
    <author>JEWELL, GREGG K GG-11 USAF AFSOC 11 SOIS/MS</author>
  </authors>
  <commentList>
    <comment ref="D7" authorId="0" shapeId="0">
      <text>
        <r>
          <rPr>
            <b/>
            <sz val="9"/>
            <color indexed="81"/>
            <rFont val="Tahoma"/>
            <family val="2"/>
          </rPr>
          <t>This training can be completed in AFPAAS, click on the link to go there.</t>
        </r>
      </text>
    </comment>
    <comment ref="D10" authorId="0" shapeId="0">
      <text>
        <r>
          <rPr>
            <b/>
            <sz val="9"/>
            <color indexed="81"/>
            <rFont val="Tahoma"/>
            <family val="2"/>
          </rPr>
          <t>This training can be completed in ADLS, click on the link to go there.</t>
        </r>
      </text>
    </comment>
    <comment ref="D11" authorId="0" shapeId="0">
      <text>
        <r>
          <rPr>
            <b/>
            <sz val="9"/>
            <color indexed="81"/>
            <rFont val="Tahoma"/>
            <family val="2"/>
          </rPr>
          <t>This training can be completed in ADLS, click on the link to go there.</t>
        </r>
      </text>
    </comment>
    <comment ref="D12" authorId="0" shapeId="0">
      <text>
        <r>
          <rPr>
            <b/>
            <sz val="9"/>
            <color indexed="81"/>
            <rFont val="Tahoma"/>
            <family val="2"/>
          </rPr>
          <t>This training can be completed in ADLS, click on the link to go there.</t>
        </r>
      </text>
    </comment>
    <comment ref="D13" authorId="0" shapeId="0">
      <text>
        <r>
          <rPr>
            <b/>
            <sz val="9"/>
            <color indexed="81"/>
            <rFont val="Tahoma"/>
            <family val="2"/>
          </rPr>
          <t>This training can be completed in ADLS, click on the link to go there.</t>
        </r>
      </text>
    </comment>
    <comment ref="D14" authorId="0" shapeId="0">
      <text>
        <r>
          <rPr>
            <b/>
            <sz val="9"/>
            <color indexed="81"/>
            <rFont val="Tahoma"/>
            <family val="2"/>
          </rPr>
          <t>This training can be completed in ADLS, click on the link to go there.</t>
        </r>
      </text>
    </comment>
    <comment ref="D15" authorId="0" shapeId="0">
      <text>
        <r>
          <rPr>
            <b/>
            <sz val="9"/>
            <color indexed="81"/>
            <rFont val="Tahoma"/>
            <family val="2"/>
          </rPr>
          <t>This training can be completed in the UTM's office (binder).</t>
        </r>
      </text>
    </comment>
    <comment ref="D16" authorId="0" shapeId="0">
      <text>
        <r>
          <rPr>
            <b/>
            <sz val="9"/>
            <color indexed="81"/>
            <rFont val="Tahoma"/>
            <family val="2"/>
          </rPr>
          <t>This training can be completed in ADLS, click on the link to go there.</t>
        </r>
      </text>
    </comment>
    <comment ref="D17" authorId="0" shapeId="0">
      <text>
        <r>
          <rPr>
            <b/>
            <sz val="9"/>
            <color indexed="81"/>
            <rFont val="Tahoma"/>
            <family val="2"/>
          </rPr>
          <t>This training can be completed on base, ask the UTM office for a schedule of upcoming green dot briefings.</t>
        </r>
      </text>
    </comment>
    <comment ref="D20" authorId="0" shapeId="0">
      <text>
        <r>
          <rPr>
            <b/>
            <sz val="9"/>
            <color indexed="81"/>
            <rFont val="Tahoma"/>
            <family val="2"/>
          </rPr>
          <t>This information can be completed in AtHoc, click on the link to go there.</t>
        </r>
      </text>
    </comment>
    <comment ref="D23" authorId="0" shapeId="0">
      <text>
        <r>
          <rPr>
            <b/>
            <sz val="9"/>
            <color indexed="81"/>
            <rFont val="Tahoma"/>
            <family val="2"/>
          </rPr>
          <t>This information can be completed in DTS, click on the link to go there.</t>
        </r>
      </text>
    </comment>
    <comment ref="D24" authorId="0" shapeId="0">
      <text>
        <r>
          <rPr>
            <b/>
            <sz val="9"/>
            <color indexed="81"/>
            <rFont val="Tahoma"/>
            <family val="2"/>
          </rPr>
          <t>This information can be completed in DTS, click on the link to go there.</t>
        </r>
      </text>
    </comment>
    <comment ref="D27" authorId="0" shapeId="0">
      <text>
        <r>
          <rPr>
            <b/>
            <sz val="9"/>
            <color indexed="81"/>
            <rFont val="Tahoma"/>
            <family val="2"/>
          </rPr>
          <t>This information can be accessed in AFFMS, click on the link to go there.
You can schedule a fitness test with your UFPM.</t>
        </r>
      </text>
    </comment>
    <comment ref="D30" authorId="0" shapeId="0">
      <text>
        <r>
          <rPr>
            <b/>
            <sz val="9"/>
            <color indexed="81"/>
            <rFont val="Tahoma"/>
            <family val="2"/>
          </rPr>
          <t>This information can be accessed in ASIMS, click on the link to go there.
You can schedule appoinments with base medical.</t>
        </r>
      </text>
    </comment>
    <comment ref="D31" authorId="0" shapeId="0">
      <text>
        <r>
          <rPr>
            <b/>
            <sz val="9"/>
            <color indexed="81"/>
            <rFont val="Tahoma"/>
            <family val="2"/>
          </rPr>
          <t>This information can be accessed in ASIMS, click on the link to go there.
You can schedule appoinments with base medical.</t>
        </r>
      </text>
    </comment>
    <comment ref="D32" authorId="0" shapeId="0">
      <text>
        <r>
          <rPr>
            <b/>
            <sz val="9"/>
            <color indexed="81"/>
            <rFont val="Tahoma"/>
            <family val="2"/>
          </rPr>
          <t>This information can be accessed in ASIMS, click on the link to go there.
You can schedule appoinments with base medical.</t>
        </r>
      </text>
    </comment>
    <comment ref="D33" authorId="0" shapeId="0">
      <text>
        <r>
          <rPr>
            <b/>
            <sz val="9"/>
            <color indexed="81"/>
            <rFont val="Tahoma"/>
            <family val="2"/>
          </rPr>
          <t>This information can be accessed in ASIMS, click on the link to go there.
You can schedule appoinments with base medical.</t>
        </r>
      </text>
    </comment>
    <comment ref="D34" authorId="0" shapeId="0">
      <text>
        <r>
          <rPr>
            <b/>
            <sz val="9"/>
            <color indexed="81"/>
            <rFont val="Tahoma"/>
            <family val="2"/>
          </rPr>
          <t>This information can be accessed in ASIMS, click on the link to go there.
You can schedule appoinments with base medical.</t>
        </r>
      </text>
    </comment>
    <comment ref="D35" authorId="0" shapeId="0">
      <text>
        <r>
          <rPr>
            <b/>
            <sz val="9"/>
            <color indexed="81"/>
            <rFont val="Tahoma"/>
            <family val="2"/>
          </rPr>
          <t>This information can be accessed in ASIMS, click on the link to go there.
You can schedule appoinments with base medical.</t>
        </r>
      </text>
    </comment>
    <comment ref="D36" authorId="0" shapeId="0">
      <text>
        <r>
          <rPr>
            <b/>
            <sz val="9"/>
            <color indexed="81"/>
            <rFont val="Tahoma"/>
            <family val="2"/>
          </rPr>
          <t>This information can be accessed in ASIMS, click on the link to go there.
You can schedule appoinments with base medical.</t>
        </r>
      </text>
    </comment>
    <comment ref="D37" authorId="0" shapeId="0">
      <text>
        <r>
          <rPr>
            <b/>
            <sz val="9"/>
            <color indexed="81"/>
            <rFont val="Tahoma"/>
            <family val="2"/>
          </rPr>
          <t>This information can be accessed in ASIMS, click on the link to go there.
You can schedule appoinments with base medical.</t>
        </r>
      </text>
    </comment>
    <comment ref="D40" authorId="0" shapeId="0">
      <text>
        <r>
          <rPr>
            <b/>
            <sz val="9"/>
            <color indexed="81"/>
            <rFont val="Tahoma"/>
            <family val="2"/>
          </rPr>
          <t>This training must be completed with your supervisor within 6 months of joining the unit. Once completed, inform the UTM office.</t>
        </r>
      </text>
    </comment>
    <comment ref="D43" authorId="0" shapeId="0">
      <text>
        <r>
          <rPr>
            <b/>
            <sz val="9"/>
            <color indexed="81"/>
            <rFont val="Tahoma"/>
            <family val="2"/>
          </rPr>
          <t>This training can be completed with a squadron IO monitor.</t>
        </r>
      </text>
    </comment>
    <comment ref="D46" authorId="0" shapeId="0">
      <text>
        <r>
          <rPr>
            <b/>
            <sz val="9"/>
            <color indexed="81"/>
            <rFont val="Tahoma"/>
            <family val="2"/>
          </rPr>
          <t>This training can be completed with a safety monitor or by reading a document, click the link to open it.
If you complete the training by reading the document, inform a safety monitor to gain credit.</t>
        </r>
      </text>
    </comment>
    <comment ref="D47" authorId="0" shapeId="0">
      <text>
        <r>
          <rPr>
            <b/>
            <sz val="9"/>
            <color indexed="81"/>
            <rFont val="Tahoma"/>
            <family val="2"/>
          </rPr>
          <t>This training can be completed with a safety monitor or by reading a document, click the link to open it.
If you complete the training by reading the document, inform a safety monitor to gain credit.</t>
        </r>
      </text>
    </comment>
    <comment ref="D48" authorId="0" shapeId="0">
      <text>
        <r>
          <rPr>
            <b/>
            <sz val="9"/>
            <color indexed="81"/>
            <rFont val="Tahoma"/>
            <family val="2"/>
          </rPr>
          <t>This training can be completed in ADLS (the one named "Air Force Risk Managament Fundamentals Course"), click on the link to go there.</t>
        </r>
      </text>
    </comment>
    <comment ref="D49" authorId="0" shapeId="0">
      <text>
        <r>
          <rPr>
            <b/>
            <sz val="9"/>
            <color indexed="81"/>
            <rFont val="Tahoma"/>
            <family val="2"/>
          </rPr>
          <t>This training can be completed in ADLS (Supervisor Safety CBT- Supervisor Safety Course (ZZ13212)) – required for officers and enlisted military E5 and up. Click on the link to go there.</t>
        </r>
      </text>
    </comment>
    <comment ref="D50" authorId="0" shapeId="0">
      <text>
        <r>
          <rPr>
            <b/>
            <sz val="9"/>
            <color indexed="81"/>
            <rFont val="Tahoma"/>
            <family val="2"/>
          </rPr>
          <t xml:space="preserve">This training can be completed with a wing safety representative, read the instructions below.
1.       Complete the Supervisor Safety Course (ZZ13212)  CBT on ADLS. Print the certificate and take it with you to the face-to-face training.
2.       Click the link to sign up for SST.
3.       Click on "new item" to add your name to the roster.
4.       Make sure they stamp your certificate with the 1 SOW SAFETY stamp.
5.       Either scan the certificate and email it to SSgt McKinney and SSgt Kjos so we can update you in our records or stop by and let us know that you have completed it.
6.       Keep you certificate somewhere safe just in case.
</t>
        </r>
      </text>
    </comment>
    <comment ref="D53" authorId="0" shapeId="0">
      <text>
        <r>
          <rPr>
            <b/>
            <sz val="9"/>
            <color indexed="81"/>
            <rFont val="Tahoma"/>
            <family val="2"/>
          </rPr>
          <t>This training can be completed in the SSO's office (binder).</t>
        </r>
      </text>
    </comment>
    <comment ref="D54" authorId="0" shapeId="0">
      <text>
        <r>
          <rPr>
            <b/>
            <sz val="9"/>
            <color indexed="81"/>
            <rFont val="Tahoma"/>
            <family val="2"/>
          </rPr>
          <t>This training can be completed in the SSO's office (binder).</t>
        </r>
      </text>
    </comment>
    <comment ref="D55" authorId="0" shapeId="0">
      <text>
        <r>
          <rPr>
            <b/>
            <sz val="9"/>
            <color indexed="81"/>
            <rFont val="Tahoma"/>
            <family val="2"/>
          </rPr>
          <t>This training can be completed in the SSO's office (binder).</t>
        </r>
      </text>
    </comment>
    <comment ref="D56" authorId="0" shapeId="0">
      <text>
        <r>
          <rPr>
            <b/>
            <sz val="9"/>
            <color indexed="81"/>
            <rFont val="Tahoma"/>
            <family val="2"/>
          </rPr>
          <t>This training can be completed in the SSO's office (binder).</t>
        </r>
      </text>
    </comment>
    <comment ref="D57" authorId="0" shapeId="0">
      <text>
        <r>
          <rPr>
            <b/>
            <sz val="9"/>
            <color indexed="81"/>
            <rFont val="Tahoma"/>
            <family val="2"/>
          </rPr>
          <t>This training can be completed in the SSO's office (binder).</t>
        </r>
      </text>
    </comment>
    <comment ref="D58" authorId="0" shapeId="0">
      <text>
        <r>
          <rPr>
            <b/>
            <sz val="9"/>
            <color indexed="81"/>
            <rFont val="Tahoma"/>
            <family val="2"/>
          </rPr>
          <t>This training can be completed in the SSO's office (binder).</t>
        </r>
      </text>
    </comment>
    <comment ref="D59" authorId="0" shapeId="0">
      <text>
        <r>
          <rPr>
            <b/>
            <sz val="9"/>
            <color indexed="81"/>
            <rFont val="Tahoma"/>
            <family val="2"/>
          </rPr>
          <t>This training can be completed in the SSO's office (binder).</t>
        </r>
      </text>
    </comment>
    <comment ref="D60" authorId="0" shapeId="0">
      <text>
        <r>
          <rPr>
            <b/>
            <sz val="9"/>
            <color indexed="81"/>
            <rFont val="Tahoma"/>
            <family val="2"/>
          </rPr>
          <t>This training can be completed in the SSO's office (binder).</t>
        </r>
      </text>
    </comment>
    <comment ref="D61" authorId="0" shapeId="0">
      <text>
        <r>
          <rPr>
            <b/>
            <sz val="9"/>
            <color indexed="81"/>
            <rFont val="Tahoma"/>
            <family val="2"/>
          </rPr>
          <t>This training can be completed in the SSO's office (binder).</t>
        </r>
      </text>
    </comment>
    <comment ref="D62" authorId="0" shapeId="0">
      <text>
        <r>
          <rPr>
            <b/>
            <sz val="9"/>
            <color indexed="81"/>
            <rFont val="Tahoma"/>
            <family val="2"/>
          </rPr>
          <t>This training can be completed in the SSO's office (binder).</t>
        </r>
      </text>
    </comment>
  </commentList>
</comments>
</file>

<file path=xl/sharedStrings.xml><?xml version="1.0" encoding="utf-8"?>
<sst xmlns="http://schemas.openxmlformats.org/spreadsheetml/2006/main" count="24264" uniqueCount="2040">
  <si>
    <t>PERSONNEL</t>
  </si>
  <si>
    <t>PERSONNELKEY</t>
  </si>
  <si>
    <t>AUTOCOMPLETE</t>
  </si>
  <si>
    <t>MI</t>
  </si>
  <si>
    <t>11 SOIS</t>
  </si>
  <si>
    <t>DOC</t>
  </si>
  <si>
    <t>CCI</t>
  </si>
  <si>
    <t>DOD</t>
  </si>
  <si>
    <t>DOA</t>
  </si>
  <si>
    <t>DOT</t>
  </si>
  <si>
    <t>MS</t>
  </si>
  <si>
    <t>CCV</t>
  </si>
  <si>
    <t>DOB</t>
  </si>
  <si>
    <t>DOF</t>
  </si>
  <si>
    <t>DOK</t>
  </si>
  <si>
    <t>DOX</t>
  </si>
  <si>
    <t>UDM</t>
  </si>
  <si>
    <t>DO</t>
  </si>
  <si>
    <t>DOM</t>
  </si>
  <si>
    <t>UTM</t>
  </si>
  <si>
    <t>AFPAAS</t>
  </si>
  <si>
    <t>DoD IAA Cyber Awareness Challenge</t>
  </si>
  <si>
    <t>Force Protection</t>
  </si>
  <si>
    <t>Law of Armed Conflict</t>
  </si>
  <si>
    <t>No Fear Act</t>
  </si>
  <si>
    <t>Last Checked Date</t>
  </si>
  <si>
    <t>ADLS</t>
  </si>
  <si>
    <t>Dod Combating Trafficking in Persons</t>
  </si>
  <si>
    <t>Religious Freedom Trng (Formerly Free Ex of Religion)</t>
  </si>
  <si>
    <t>TOTALS</t>
  </si>
  <si>
    <t>Compliant</t>
  </si>
  <si>
    <t>All</t>
  </si>
  <si>
    <t>Coming Due</t>
  </si>
  <si>
    <t>Last Name</t>
  </si>
  <si>
    <t>First Name</t>
  </si>
  <si>
    <t>Rank</t>
  </si>
  <si>
    <t>Unit</t>
  </si>
  <si>
    <t>Flight</t>
  </si>
  <si>
    <t>ALL</t>
  </si>
  <si>
    <t xml:space="preserve"> </t>
  </si>
  <si>
    <t>2018 SAPR/Suicide Prevention Annual Foundational/Booster</t>
  </si>
  <si>
    <t>Insider Threat</t>
  </si>
  <si>
    <t>SSO</t>
  </si>
  <si>
    <t>EAP DATE</t>
  </si>
  <si>
    <t>ACCM (NEW)</t>
  </si>
  <si>
    <t>UNAUTH DISCLOSURE TRNG</t>
  </si>
  <si>
    <t>INITIAL SECURITY</t>
  </si>
  <si>
    <t>DERIVATIVE CLASS</t>
  </si>
  <si>
    <t>NATO (MIL/CIV)</t>
  </si>
  <si>
    <t>PDS USER</t>
  </si>
  <si>
    <t>TRANS OF CLASSIFIED</t>
  </si>
  <si>
    <t>ANNUAL SECURITY</t>
  </si>
  <si>
    <t>CLASSIFIED MGMT (DNI)</t>
  </si>
  <si>
    <t>MEMBER</t>
  </si>
  <si>
    <t>Non-Compliant</t>
  </si>
  <si>
    <t>DTS</t>
  </si>
  <si>
    <t>GTC Expiration Date</t>
  </si>
  <si>
    <t>Linked Bank Account</t>
  </si>
  <si>
    <t>Frequency</t>
  </si>
  <si>
    <t>Not in System</t>
  </si>
  <si>
    <t/>
  </si>
  <si>
    <t>sort</t>
  </si>
  <si>
    <t>All Systems</t>
  </si>
  <si>
    <t>ALL SYSTEMS</t>
  </si>
  <si>
    <t>ATHOC</t>
  </si>
  <si>
    <t>AtHoc</t>
  </si>
  <si>
    <t>Account is active and linked to unit?</t>
  </si>
  <si>
    <t>Squadron Report</t>
  </si>
  <si>
    <t xml:space="preserve">Offices: </t>
  </si>
  <si>
    <t xml:space="preserve">Systems: </t>
  </si>
  <si>
    <t xml:space="preserve">Components: </t>
  </si>
  <si>
    <t xml:space="preserve">Report Date: 
Snapshot Date: </t>
  </si>
  <si>
    <t xml:space="preserve">Member: </t>
  </si>
  <si>
    <t>Member Report</t>
  </si>
  <si>
    <t>AFFMSII</t>
  </si>
  <si>
    <t>Fitness (AFFMS II)</t>
  </si>
  <si>
    <t>All Personnel (PEX)</t>
  </si>
  <si>
    <t>Last Test Date</t>
  </si>
  <si>
    <t>IMR</t>
  </si>
  <si>
    <t>Overall Status</t>
  </si>
  <si>
    <t>IMR/ASIMS</t>
  </si>
  <si>
    <t>Immunizations</t>
  </si>
  <si>
    <t>Dental</t>
  </si>
  <si>
    <t>Laboratory</t>
  </si>
  <si>
    <t>Medical Equipment</t>
  </si>
  <si>
    <t>Action List</t>
  </si>
  <si>
    <t>nosort</t>
  </si>
  <si>
    <t>Public Health Assessment</t>
  </si>
  <si>
    <t>Duty Limiting Condition (Being red just means you're on a profile)</t>
  </si>
  <si>
    <t>Intelligence Oversight (IO)</t>
  </si>
  <si>
    <t>Last Completion Date</t>
  </si>
  <si>
    <t>IO</t>
  </si>
  <si>
    <t>Offices</t>
  </si>
  <si>
    <t>Military</t>
  </si>
  <si>
    <t>Civilian</t>
  </si>
  <si>
    <t>Contractor</t>
  </si>
  <si>
    <t>Systems</t>
  </si>
  <si>
    <t>Components</t>
  </si>
  <si>
    <t>Ancillary Training</t>
  </si>
  <si>
    <t>One-Time</t>
  </si>
  <si>
    <t>CIV</t>
  </si>
  <si>
    <t>AANONSONAUDREYL</t>
  </si>
  <si>
    <t>AANONSON, AUDREY L</t>
  </si>
  <si>
    <t>AANONSON</t>
  </si>
  <si>
    <t>AUDREY</t>
  </si>
  <si>
    <t>L</t>
  </si>
  <si>
    <t>CTR</t>
  </si>
  <si>
    <t>N/A</t>
  </si>
  <si>
    <t>ABELLTAVARUSP</t>
  </si>
  <si>
    <t>ABELL, TAVARUS P</t>
  </si>
  <si>
    <t>ABELL</t>
  </si>
  <si>
    <t>TAVARUS</t>
  </si>
  <si>
    <t>P</t>
  </si>
  <si>
    <t>SRA</t>
  </si>
  <si>
    <t>G</t>
  </si>
  <si>
    <t>ALLINGERICR</t>
  </si>
  <si>
    <t>ALLING, ERIC R</t>
  </si>
  <si>
    <t>ALLING</t>
  </si>
  <si>
    <t>ERIC</t>
  </si>
  <si>
    <t>R</t>
  </si>
  <si>
    <t>ALONZO</t>
  </si>
  <si>
    <t>D</t>
  </si>
  <si>
    <t>A1C</t>
  </si>
  <si>
    <t>ALONZOSTEVEJ</t>
  </si>
  <si>
    <t>ALONZO, STEVE J</t>
  </si>
  <si>
    <t>STEVE</t>
  </si>
  <si>
    <t>J</t>
  </si>
  <si>
    <t>TSGT</t>
  </si>
  <si>
    <t>AMUNDSONGINAL</t>
  </si>
  <si>
    <t>AMUNDSON, GINA L</t>
  </si>
  <si>
    <t>AMUNDSON</t>
  </si>
  <si>
    <t>GINA</t>
  </si>
  <si>
    <t>ANDERSONAIMEEL</t>
  </si>
  <si>
    <t>ANDERSON, AIMEE L</t>
  </si>
  <si>
    <t>ANDERSON</t>
  </si>
  <si>
    <t>AIMEE</t>
  </si>
  <si>
    <t>MSGT</t>
  </si>
  <si>
    <t>ARANDAYUNELKYM</t>
  </si>
  <si>
    <t>ARANDA, YUNELKY M</t>
  </si>
  <si>
    <t>ARANDA</t>
  </si>
  <si>
    <t>YUNELKY</t>
  </si>
  <si>
    <t>M</t>
  </si>
  <si>
    <t>JUSTIN</t>
  </si>
  <si>
    <t>T</t>
  </si>
  <si>
    <t>SSGT</t>
  </si>
  <si>
    <t>ARNOLDMADISENA</t>
  </si>
  <si>
    <t>ARNOLD, MADISEN A</t>
  </si>
  <si>
    <t>ARNOLD</t>
  </si>
  <si>
    <t>MADISEN</t>
  </si>
  <si>
    <t>A</t>
  </si>
  <si>
    <t>ASPAXENIAT</t>
  </si>
  <si>
    <t>ASPA, XENIA T</t>
  </si>
  <si>
    <t>ASPA</t>
  </si>
  <si>
    <t>XENIA</t>
  </si>
  <si>
    <t>AUGSBURGERRICHARDS</t>
  </si>
  <si>
    <t>AUGSBURGER, RICHARD S</t>
  </si>
  <si>
    <t>AUGSBURGER</t>
  </si>
  <si>
    <t>RICHARD</t>
  </si>
  <si>
    <t>S</t>
  </si>
  <si>
    <t>AUNEKEVINK</t>
  </si>
  <si>
    <t>AUNE, KEVIN K</t>
  </si>
  <si>
    <t>AUNE</t>
  </si>
  <si>
    <t>KEVIN</t>
  </si>
  <si>
    <t>K</t>
  </si>
  <si>
    <t>AUSTINBENJAMINJ</t>
  </si>
  <si>
    <t>AUSTIN, BENJAMIN J</t>
  </si>
  <si>
    <t>AUSTIN</t>
  </si>
  <si>
    <t>BENJAMIN</t>
  </si>
  <si>
    <t>BAIRDJORDANR</t>
  </si>
  <si>
    <t>BAIRD, JORDAN R</t>
  </si>
  <si>
    <t>BAIRD</t>
  </si>
  <si>
    <t>JORDAN</t>
  </si>
  <si>
    <t>CAPT</t>
  </si>
  <si>
    <t>BAKERRAEVANA</t>
  </si>
  <si>
    <t>BAKER, RAEVAN A</t>
  </si>
  <si>
    <t>BAKER</t>
  </si>
  <si>
    <t>RAEVAN</t>
  </si>
  <si>
    <t>BALIUSJONATHANS</t>
  </si>
  <si>
    <t>BALIUS, JONATHAN S</t>
  </si>
  <si>
    <t>BALIUS</t>
  </si>
  <si>
    <t>JONATHAN</t>
  </si>
  <si>
    <t>BANNISTERDANIELLEJ</t>
  </si>
  <si>
    <t>BANNISTER, DANIELLE J</t>
  </si>
  <si>
    <t>BANNISTER</t>
  </si>
  <si>
    <t>DANIELLE</t>
  </si>
  <si>
    <t>BARNESDAVIDA</t>
  </si>
  <si>
    <t>BARNES, DAVID A</t>
  </si>
  <si>
    <t>BARNES</t>
  </si>
  <si>
    <t>DAVID</t>
  </si>
  <si>
    <t>BARRYKEVINA</t>
  </si>
  <si>
    <t>BARRY, KEVIN A</t>
  </si>
  <si>
    <t>BARRY</t>
  </si>
  <si>
    <t>BARRYSCOTTA</t>
  </si>
  <si>
    <t>BARRY, SCOTT A</t>
  </si>
  <si>
    <t>SCOTT</t>
  </si>
  <si>
    <t>ANDREW</t>
  </si>
  <si>
    <t>NICHOLAS</t>
  </si>
  <si>
    <t>BEARDBRITTANYN</t>
  </si>
  <si>
    <t>BEARD, BRITTANY N</t>
  </si>
  <si>
    <t>BEARD</t>
  </si>
  <si>
    <t>BRITTANY</t>
  </si>
  <si>
    <t>N</t>
  </si>
  <si>
    <t>BEAUCHAMPGEORGEW</t>
  </si>
  <si>
    <t>BEAUCHAMP, GEORGE W</t>
  </si>
  <si>
    <t>BEAUCHAMP</t>
  </si>
  <si>
    <t>GEORGE</t>
  </si>
  <si>
    <t>W</t>
  </si>
  <si>
    <t>BENLIZARBRYANNAY</t>
  </si>
  <si>
    <t>BENLIZAR, BRYANNA Y</t>
  </si>
  <si>
    <t>BENLIZAR</t>
  </si>
  <si>
    <t>BRYANNA</t>
  </si>
  <si>
    <t>Y</t>
  </si>
  <si>
    <t>BENSLAYGLENDONW</t>
  </si>
  <si>
    <t>BENSLAY, GLENDON W</t>
  </si>
  <si>
    <t>BENSLAY</t>
  </si>
  <si>
    <t>GLENDON</t>
  </si>
  <si>
    <t>BIGGSMARTINQ</t>
  </si>
  <si>
    <t>BIGGS, MARTIN Q</t>
  </si>
  <si>
    <t>BIGGS</t>
  </si>
  <si>
    <t>MARTIN</t>
  </si>
  <si>
    <t>Q</t>
  </si>
  <si>
    <t>BILLEAUD</t>
  </si>
  <si>
    <t>E</t>
  </si>
  <si>
    <t>BILLEAUDMICHAELG</t>
  </si>
  <si>
    <t>BILLEAUD, MICHAEL G</t>
  </si>
  <si>
    <t>MICHAEL</t>
  </si>
  <si>
    <t>ROBERT</t>
  </si>
  <si>
    <t>BOSWELLTIMOTHYB</t>
  </si>
  <si>
    <t>BOSWELL, TIMOTHY B</t>
  </si>
  <si>
    <t>BOSWELL</t>
  </si>
  <si>
    <t>TIMOTHY</t>
  </si>
  <si>
    <t>B</t>
  </si>
  <si>
    <t>BOYKINBLAKEA</t>
  </si>
  <si>
    <t>BOYKIN, BLAKE A</t>
  </si>
  <si>
    <t>BOYKIN</t>
  </si>
  <si>
    <t>BLAKE</t>
  </si>
  <si>
    <t>BRIDGESWILLIAMF</t>
  </si>
  <si>
    <t>BRIDGES, WILLIAM F</t>
  </si>
  <si>
    <t>BRIDGES</t>
  </si>
  <si>
    <t>WILLIAM</t>
  </si>
  <si>
    <t>F</t>
  </si>
  <si>
    <t>BRITTKYLER</t>
  </si>
  <si>
    <t>BRITT, KYLE R</t>
  </si>
  <si>
    <t>BRITT</t>
  </si>
  <si>
    <t>KYLE</t>
  </si>
  <si>
    <t>AMN</t>
  </si>
  <si>
    <t>BROADDUSANDREWB</t>
  </si>
  <si>
    <t>BROADDUS, ANDREW B</t>
  </si>
  <si>
    <t>BROADDUS</t>
  </si>
  <si>
    <t>1LT</t>
  </si>
  <si>
    <t>BRONSONJONATHANT</t>
  </si>
  <si>
    <t>BRONSON, JONATHAN T</t>
  </si>
  <si>
    <t>BRONSON</t>
  </si>
  <si>
    <t>BROWN-FERNANDEZERIC</t>
  </si>
  <si>
    <t xml:space="preserve">BROWN-FERNANDEZ, ERIC </t>
  </si>
  <si>
    <t>BROWN-FERNANDEZ</t>
  </si>
  <si>
    <t>BROWN</t>
  </si>
  <si>
    <t>SSG</t>
  </si>
  <si>
    <t>BROWNERICB</t>
  </si>
  <si>
    <t>BROWN, ERIC B</t>
  </si>
  <si>
    <t>BROWNJOSHUAT</t>
  </si>
  <si>
    <t>BROWN, JOSHUA T</t>
  </si>
  <si>
    <t>JOSHUA</t>
  </si>
  <si>
    <t>BROWNTRAVISR</t>
  </si>
  <si>
    <t>BROWN, TRAVIS R</t>
  </si>
  <si>
    <t>TRAVIS</t>
  </si>
  <si>
    <t>BRYANTCOLINP</t>
  </si>
  <si>
    <t>BRYANT, COLIN P</t>
  </si>
  <si>
    <t>BRYANT</t>
  </si>
  <si>
    <t>COLIN</t>
  </si>
  <si>
    <t>2LT</t>
  </si>
  <si>
    <t>BUCHHEIM-JURISSONBENJAMINJ</t>
  </si>
  <si>
    <t>BUCHHEIM-JURISSON, BENJAMIN J</t>
  </si>
  <si>
    <t>BUCHHEIM-JURISSON</t>
  </si>
  <si>
    <t>BUITHAOH</t>
  </si>
  <si>
    <t>BUI, THAO H</t>
  </si>
  <si>
    <t>BUI</t>
  </si>
  <si>
    <t>THAO</t>
  </si>
  <si>
    <t>H</t>
  </si>
  <si>
    <t>BUSTERAMBERL</t>
  </si>
  <si>
    <t>BUSTER, AMBER L</t>
  </si>
  <si>
    <t>BUSTER</t>
  </si>
  <si>
    <t>AMBER</t>
  </si>
  <si>
    <t>BUTLERDEVONA</t>
  </si>
  <si>
    <t>BUTLER, DEVON A</t>
  </si>
  <si>
    <t>BUTLER</t>
  </si>
  <si>
    <t>DEVON</t>
  </si>
  <si>
    <t>CALDIEBRIANC</t>
  </si>
  <si>
    <t>CALDIE, BRIAN C</t>
  </si>
  <si>
    <t>CALDIE</t>
  </si>
  <si>
    <t>BRIAN</t>
  </si>
  <si>
    <t>C</t>
  </si>
  <si>
    <t>CALDWELLJONATHANM</t>
  </si>
  <si>
    <t>CALDWELL, JONATHAN M</t>
  </si>
  <si>
    <t>CALDWELL</t>
  </si>
  <si>
    <t>NATHAN</t>
  </si>
  <si>
    <t>JEFFREY</t>
  </si>
  <si>
    <t>CANNONSHANAN</t>
  </si>
  <si>
    <t>CANNON, SHANA N</t>
  </si>
  <si>
    <t>CANNON</t>
  </si>
  <si>
    <t>SHANA</t>
  </si>
  <si>
    <t>CANTEENGARRIETR</t>
  </si>
  <si>
    <t>CANTEEN, GARRIET R</t>
  </si>
  <si>
    <t>CANTEEN</t>
  </si>
  <si>
    <t>GARRIET</t>
  </si>
  <si>
    <t>CARLISLEWENDELLM</t>
  </si>
  <si>
    <t>CARLISLE, WENDELL M</t>
  </si>
  <si>
    <t>CARLISLE</t>
  </si>
  <si>
    <t>WENDELL</t>
  </si>
  <si>
    <t>CARLSONCODYL</t>
  </si>
  <si>
    <t>CARLSON, CODY L</t>
  </si>
  <si>
    <t>CARLSON</t>
  </si>
  <si>
    <t>CODY</t>
  </si>
  <si>
    <t>CARSONRYANS</t>
  </si>
  <si>
    <t>CARSON, RYAN S</t>
  </si>
  <si>
    <t>CARSON</t>
  </si>
  <si>
    <t>RYAN</t>
  </si>
  <si>
    <t>CARTERBRYANNAN</t>
  </si>
  <si>
    <t>CARTER, BRYANNA N</t>
  </si>
  <si>
    <t>CARTER</t>
  </si>
  <si>
    <t>CARTERJOSHUAM</t>
  </si>
  <si>
    <t>CARTER, JOSHUA M</t>
  </si>
  <si>
    <t>CARTWRIGHTJAYMEL</t>
  </si>
  <si>
    <t>CARTWRIGHT, JAYME L</t>
  </si>
  <si>
    <t>CARTWRIGHT</t>
  </si>
  <si>
    <t>JAYME</t>
  </si>
  <si>
    <t>CARVERMARKA</t>
  </si>
  <si>
    <t>CARVER, MARK A</t>
  </si>
  <si>
    <t>CARVER</t>
  </si>
  <si>
    <t>MARK</t>
  </si>
  <si>
    <t>CASEJONATHANC</t>
  </si>
  <si>
    <t>CASE, JONATHAN C</t>
  </si>
  <si>
    <t>CASE</t>
  </si>
  <si>
    <t>CATONGARYD</t>
  </si>
  <si>
    <t>CATON, GARY D</t>
  </si>
  <si>
    <t>CATON</t>
  </si>
  <si>
    <t>GARY</t>
  </si>
  <si>
    <t>KEITH</t>
  </si>
  <si>
    <t>CHAVEZTEODOROL</t>
  </si>
  <si>
    <t>CHAVEZ, TEODORO L</t>
  </si>
  <si>
    <t>CHAVEZ</t>
  </si>
  <si>
    <t>TEODORO</t>
  </si>
  <si>
    <t>CHESSERMICHAELD</t>
  </si>
  <si>
    <t>CHESSER, MICHAEL D</t>
  </si>
  <si>
    <t>CHESSER</t>
  </si>
  <si>
    <t>CHHOUNCANON</t>
  </si>
  <si>
    <t xml:space="preserve">CHHOUN, CANON </t>
  </si>
  <si>
    <t>CHHOUN</t>
  </si>
  <si>
    <t>CANON</t>
  </si>
  <si>
    <t>CHRISTIAN</t>
  </si>
  <si>
    <t>JEREMY</t>
  </si>
  <si>
    <t>CLARK</t>
  </si>
  <si>
    <t>CLARKZHANER</t>
  </si>
  <si>
    <t>CLARK, ZHANE R</t>
  </si>
  <si>
    <t>ZHANE</t>
  </si>
  <si>
    <t>CLEMENTEJONATHAN</t>
  </si>
  <si>
    <t xml:space="preserve">CLEMENTE, JONATHAN </t>
  </si>
  <si>
    <t>CLEMENTE</t>
  </si>
  <si>
    <t>CLEVENGERBRIANM</t>
  </si>
  <si>
    <t>CLEVENGER, BRIAN M</t>
  </si>
  <si>
    <t>CLEVENGER</t>
  </si>
  <si>
    <t>COFFMANCHRISTINEN</t>
  </si>
  <si>
    <t>COFFMAN, CHRISTINE N</t>
  </si>
  <si>
    <t>COFFMAN</t>
  </si>
  <si>
    <t>CHRISTINE</t>
  </si>
  <si>
    <t>COLVINTAYLORJ</t>
  </si>
  <si>
    <t>COLVIN, TAYLOR J</t>
  </si>
  <si>
    <t>COLVIN</t>
  </si>
  <si>
    <t>TAYLOR</t>
  </si>
  <si>
    <t>COOKEWILLIAMK</t>
  </si>
  <si>
    <t>COOKE, WILLIAM K</t>
  </si>
  <si>
    <t>COOKE</t>
  </si>
  <si>
    <t>CORRADETTIANTHONYM</t>
  </si>
  <si>
    <t>CORRADETTI, ANTHONY M</t>
  </si>
  <si>
    <t>CORRADETTI</t>
  </si>
  <si>
    <t>ANTHONY</t>
  </si>
  <si>
    <t>COSCARELLACHRISTOPHERJ</t>
  </si>
  <si>
    <t>COSCARELLA, CHRISTOPHER J</t>
  </si>
  <si>
    <t>COSCARELLA</t>
  </si>
  <si>
    <t>CHRISTOPHER</t>
  </si>
  <si>
    <t>COVELLAJENNIFERR</t>
  </si>
  <si>
    <t>COVELLA, JENNIFER R</t>
  </si>
  <si>
    <t>COVELLA</t>
  </si>
  <si>
    <t>JENNIFER</t>
  </si>
  <si>
    <t>CRAWFORDCORTESL</t>
  </si>
  <si>
    <t>CRAWFORD, CORTES L</t>
  </si>
  <si>
    <t>CRAWFORD</t>
  </si>
  <si>
    <t>CORTES</t>
  </si>
  <si>
    <t>CRESONAMANDAM</t>
  </si>
  <si>
    <t>CRESON, AMANDA M</t>
  </si>
  <si>
    <t>CRESON</t>
  </si>
  <si>
    <t>AMANDA</t>
  </si>
  <si>
    <t>CRISSTREVORL</t>
  </si>
  <si>
    <t>CRISS, TREVOR L</t>
  </si>
  <si>
    <t>CRISS</t>
  </si>
  <si>
    <t>TREVOR</t>
  </si>
  <si>
    <t>CROSSLEYZACHARYT</t>
  </si>
  <si>
    <t>CROSSLEY, ZACHARY T</t>
  </si>
  <si>
    <t>CROSSLEY</t>
  </si>
  <si>
    <t>ZACHARY</t>
  </si>
  <si>
    <t>MATHEW</t>
  </si>
  <si>
    <t>CRUZLENNIE</t>
  </si>
  <si>
    <t xml:space="preserve">CRUZ, LENNIE </t>
  </si>
  <si>
    <t>CRUZ</t>
  </si>
  <si>
    <t>LENNIE</t>
  </si>
  <si>
    <t>CRUZMARCA</t>
  </si>
  <si>
    <t>CRUZ, MARC A</t>
  </si>
  <si>
    <t>MARC</t>
  </si>
  <si>
    <t>CUNNINGHAMCAMERONA</t>
  </si>
  <si>
    <t>CUNNINGHAM, CAMERON A</t>
  </si>
  <si>
    <t>CUNNINGHAM</t>
  </si>
  <si>
    <t>CAMERON</t>
  </si>
  <si>
    <t>CUSTURERIRICHARDD</t>
  </si>
  <si>
    <t>CUSTURERI, RICHARD D</t>
  </si>
  <si>
    <t>CUSTURERI</t>
  </si>
  <si>
    <t>DAVISDERRICKJ</t>
  </si>
  <si>
    <t>DAVIS, DERRICK J</t>
  </si>
  <si>
    <t>DAVIS</t>
  </si>
  <si>
    <t>DERRICK</t>
  </si>
  <si>
    <t>DAVISIANM</t>
  </si>
  <si>
    <t>DAVIS, IAN M</t>
  </si>
  <si>
    <t>IAN</t>
  </si>
  <si>
    <t>DAVISJORDANC</t>
  </si>
  <si>
    <t>DAVIS, JORDAN C</t>
  </si>
  <si>
    <t>DAVISMARKL</t>
  </si>
  <si>
    <t>DAVIS, MARK L</t>
  </si>
  <si>
    <t>SARAH</t>
  </si>
  <si>
    <t>DAVISTHOMASM</t>
  </si>
  <si>
    <t>DAVIS, THOMAS M</t>
  </si>
  <si>
    <t>THOMAS</t>
  </si>
  <si>
    <t>DAVISZACHARYP</t>
  </si>
  <si>
    <t>DAVIS, ZACHARY P</t>
  </si>
  <si>
    <t>DEBERRYJAMESD</t>
  </si>
  <si>
    <t>DEBERRY, JAMES D</t>
  </si>
  <si>
    <t>DEBERRY</t>
  </si>
  <si>
    <t>JAMES</t>
  </si>
  <si>
    <t>DENNISCHRISTOPHERL</t>
  </si>
  <si>
    <t>DENNIS, CHRISTOPHER L</t>
  </si>
  <si>
    <t>DENNIS</t>
  </si>
  <si>
    <t>DEUPREEWILLIAME</t>
  </si>
  <si>
    <t>DEUPREE, WILLIAM E</t>
  </si>
  <si>
    <t>DEUPREE</t>
  </si>
  <si>
    <t>DHONDTCODYJ</t>
  </si>
  <si>
    <t>DHONDT, CODY J</t>
  </si>
  <si>
    <t>DHONDT</t>
  </si>
  <si>
    <t>DI PRETACHRISTINAD</t>
  </si>
  <si>
    <t>DI PRETA, CHRISTINA D</t>
  </si>
  <si>
    <t>DI PRETA</t>
  </si>
  <si>
    <t>CHRISTINA</t>
  </si>
  <si>
    <t>DICKCARLE</t>
  </si>
  <si>
    <t>DICK, CARL E</t>
  </si>
  <si>
    <t>DICK</t>
  </si>
  <si>
    <t>CARL</t>
  </si>
  <si>
    <t>DICKERSONKIMBERLYN</t>
  </si>
  <si>
    <t>DICKERSON, KIMBERLY N</t>
  </si>
  <si>
    <t>DICKERSON</t>
  </si>
  <si>
    <t>KIMBERLY</t>
  </si>
  <si>
    <t>DILLAISHAL</t>
  </si>
  <si>
    <t>DILL, AISHA L</t>
  </si>
  <si>
    <t>DILL</t>
  </si>
  <si>
    <t>AISHA</t>
  </si>
  <si>
    <t>DILLBRANDONJ</t>
  </si>
  <si>
    <t>DILL, BRANDON J</t>
  </si>
  <si>
    <t>BRANDON</t>
  </si>
  <si>
    <t>DIMICKBRANDONL</t>
  </si>
  <si>
    <t>DIMICK, BRANDON L</t>
  </si>
  <si>
    <t>DIMICK</t>
  </si>
  <si>
    <t>DOBBSJAIMEJ</t>
  </si>
  <si>
    <t>DOBBS, JAIME J</t>
  </si>
  <si>
    <t>DOBBS</t>
  </si>
  <si>
    <t>JAIME</t>
  </si>
  <si>
    <t>DORMEIERMICHAELC</t>
  </si>
  <si>
    <t>DORMEIER, MICHAEL C</t>
  </si>
  <si>
    <t>DORMEIER</t>
  </si>
  <si>
    <t>DORRBRITTANYE</t>
  </si>
  <si>
    <t>DORR, BRITTANY E</t>
  </si>
  <si>
    <t>DORR</t>
  </si>
  <si>
    <t>DOTSON</t>
  </si>
  <si>
    <t>COURTNEY</t>
  </si>
  <si>
    <t>DOTSONSYDNEYT</t>
  </si>
  <si>
    <t>DOTSON, SYDNEY T</t>
  </si>
  <si>
    <t>SYDNEY</t>
  </si>
  <si>
    <t>COREY</t>
  </si>
  <si>
    <t>DRAKERAYMONDJ</t>
  </si>
  <si>
    <t>DRAKE, RAYMOND J</t>
  </si>
  <si>
    <t>DRAKE</t>
  </si>
  <si>
    <t>RAYMOND</t>
  </si>
  <si>
    <t>DREYERCHRISTOPHERL</t>
  </si>
  <si>
    <t>DREYER, CHRISTOPHER L</t>
  </si>
  <si>
    <t>DREYER</t>
  </si>
  <si>
    <t>DUGANKEITHL</t>
  </si>
  <si>
    <t>DUGAN, KEITH L</t>
  </si>
  <si>
    <t>DUGAN</t>
  </si>
  <si>
    <t>DUGGANTHOMASP</t>
  </si>
  <si>
    <t>DUGGAN, THOMAS P</t>
  </si>
  <si>
    <t>DUGGAN</t>
  </si>
  <si>
    <t>DURRETTCHETA</t>
  </si>
  <si>
    <t>DURRETT, CHET A</t>
  </si>
  <si>
    <t>DURRETT</t>
  </si>
  <si>
    <t>CHET</t>
  </si>
  <si>
    <t>EAVESJONATHANC</t>
  </si>
  <si>
    <t>EAVES, JONATHAN C</t>
  </si>
  <si>
    <t>EAVES</t>
  </si>
  <si>
    <t>EKESANGELICAS</t>
  </si>
  <si>
    <t>EKES, ANGELICA S</t>
  </si>
  <si>
    <t>EKES</t>
  </si>
  <si>
    <t>ANGELICA</t>
  </si>
  <si>
    <t>ELFANTEKRISTOFFER</t>
  </si>
  <si>
    <t xml:space="preserve">ELFANTE, KRISTOFFER </t>
  </si>
  <si>
    <t>ELFANTE</t>
  </si>
  <si>
    <t>KRISTOFFER</t>
  </si>
  <si>
    <t>ELLISCHRISTOPHERR</t>
  </si>
  <si>
    <t>ELLIS, CHRISTOPHER R</t>
  </si>
  <si>
    <t>ELLIS</t>
  </si>
  <si>
    <t>ELMOREMICHAELA</t>
  </si>
  <si>
    <t>ELMORE, MICHAEL A</t>
  </si>
  <si>
    <t>ELMORE</t>
  </si>
  <si>
    <t>ERICKSONSTACYR</t>
  </si>
  <si>
    <t>ERICKSON, STACY R</t>
  </si>
  <si>
    <t>ERICKSON</t>
  </si>
  <si>
    <t>STACY</t>
  </si>
  <si>
    <t>EURECARLIEM</t>
  </si>
  <si>
    <t>EURE, CARLIE M</t>
  </si>
  <si>
    <t>EURE</t>
  </si>
  <si>
    <t>CARLIE</t>
  </si>
  <si>
    <t>FARRELLSEANM</t>
  </si>
  <si>
    <t>FARRELL, SEAN M</t>
  </si>
  <si>
    <t>FARRELL</t>
  </si>
  <si>
    <t>SEAN</t>
  </si>
  <si>
    <t>FARUZZIDOMINICR</t>
  </si>
  <si>
    <t>FARUZZI, DOMINIC R</t>
  </si>
  <si>
    <t>FARUZZI</t>
  </si>
  <si>
    <t>DOMINIC</t>
  </si>
  <si>
    <t>FERGUSONANNIEP</t>
  </si>
  <si>
    <t>FERGUSON, ANNIE P</t>
  </si>
  <si>
    <t>FERGUSON</t>
  </si>
  <si>
    <t>ANNIE</t>
  </si>
  <si>
    <t>FERNANDESSHEILAJ</t>
  </si>
  <si>
    <t>FERNANDES, SHEILA J</t>
  </si>
  <si>
    <t>FERNANDES</t>
  </si>
  <si>
    <t>SHEILA</t>
  </si>
  <si>
    <t>FISHERMADALYNNEA</t>
  </si>
  <si>
    <t>FISHER, MADALYNNE A</t>
  </si>
  <si>
    <t>FISHER</t>
  </si>
  <si>
    <t>MADALYNNE</t>
  </si>
  <si>
    <t>FITTENNICHOLASE</t>
  </si>
  <si>
    <t>FITTEN, NICHOLAS E</t>
  </si>
  <si>
    <t>FITTEN</t>
  </si>
  <si>
    <t>FLORESRAYMONDA</t>
  </si>
  <si>
    <t>FLORES, RAYMOND A</t>
  </si>
  <si>
    <t>FLORES</t>
  </si>
  <si>
    <t>FLOREZGILBERT</t>
  </si>
  <si>
    <t xml:space="preserve">FLOREZ, GILBERT </t>
  </si>
  <si>
    <t>FLOREZ</t>
  </si>
  <si>
    <t>GILBERT</t>
  </si>
  <si>
    <t>FOHLTHOMASJ</t>
  </si>
  <si>
    <t>FOHL, THOMAS J</t>
  </si>
  <si>
    <t>FOHL</t>
  </si>
  <si>
    <t>FONTENOTCHRISTOPHERM</t>
  </si>
  <si>
    <t>FONTENOT, CHRISTOPHER M</t>
  </si>
  <si>
    <t>FONTENOT</t>
  </si>
  <si>
    <t>FORCIERGLENNS</t>
  </si>
  <si>
    <t>FORCIER, GLENN S</t>
  </si>
  <si>
    <t>FORCIER</t>
  </si>
  <si>
    <t>GLENN</t>
  </si>
  <si>
    <t>FORDHAMSAMANTHAA</t>
  </si>
  <si>
    <t>FORDHAM, SAMANTHA A</t>
  </si>
  <si>
    <t>FORDHAM</t>
  </si>
  <si>
    <t>SAMANTHA</t>
  </si>
  <si>
    <t>FREEMANJUSTINA</t>
  </si>
  <si>
    <t>FREEMAN, JUSTIN A</t>
  </si>
  <si>
    <t>FREEMAN</t>
  </si>
  <si>
    <t>FRUCKHAILEYC</t>
  </si>
  <si>
    <t>FRUCK, HAILEY C</t>
  </si>
  <si>
    <t>FRUCK</t>
  </si>
  <si>
    <t>HAILEY</t>
  </si>
  <si>
    <t>FRUCKJUSTIND</t>
  </si>
  <si>
    <t>FRUCK, JUSTIN D</t>
  </si>
  <si>
    <t>FULWYLERALECD</t>
  </si>
  <si>
    <t>FULWYLER, ALEC D</t>
  </si>
  <si>
    <t>FULWYLER</t>
  </si>
  <si>
    <t>ALEC</t>
  </si>
  <si>
    <t>FURPHYJEANMARIE</t>
  </si>
  <si>
    <t xml:space="preserve">FURPHY, JEANMARIE </t>
  </si>
  <si>
    <t>FURPHY</t>
  </si>
  <si>
    <t>JEANMARIE</t>
  </si>
  <si>
    <t>GAINEREDWARDB</t>
  </si>
  <si>
    <t>GAINER, EDWARD B</t>
  </si>
  <si>
    <t>GAINER</t>
  </si>
  <si>
    <t>EDWARD</t>
  </si>
  <si>
    <t>GALEAUSTINJ</t>
  </si>
  <si>
    <t>GALE, AUSTIN J</t>
  </si>
  <si>
    <t>GALE</t>
  </si>
  <si>
    <t>GASTJOSHUAW</t>
  </si>
  <si>
    <t>GAST, JOSHUA W</t>
  </si>
  <si>
    <t>GAST</t>
  </si>
  <si>
    <t>GAYJERRYW</t>
  </si>
  <si>
    <t>GAY, JERRY W</t>
  </si>
  <si>
    <t>GAY</t>
  </si>
  <si>
    <t>JERRY</t>
  </si>
  <si>
    <t>MAJ</t>
  </si>
  <si>
    <t>GAZCAANGELM</t>
  </si>
  <si>
    <t>GAZCA, ANGEL M</t>
  </si>
  <si>
    <t>GAZCA</t>
  </si>
  <si>
    <t>ANGEL</t>
  </si>
  <si>
    <t>ASHLEIGH</t>
  </si>
  <si>
    <t>GEZIKJAKEE</t>
  </si>
  <si>
    <t>GEZIK, JAKE E</t>
  </si>
  <si>
    <t>GEZIK</t>
  </si>
  <si>
    <t>JAKE</t>
  </si>
  <si>
    <t>GIBSONAMANDAM</t>
  </si>
  <si>
    <t>GIBSON, AMANDA M</t>
  </si>
  <si>
    <t>GIBSON</t>
  </si>
  <si>
    <t>GIBSONLISAA</t>
  </si>
  <si>
    <t>GIBSON, LISA A</t>
  </si>
  <si>
    <t>LISA</t>
  </si>
  <si>
    <t>GIBSONTRAVISS</t>
  </si>
  <si>
    <t>GIBSON, TRAVIS S</t>
  </si>
  <si>
    <t>GILBERTAMANDAS</t>
  </si>
  <si>
    <t>GILBERT, AMANDA S</t>
  </si>
  <si>
    <t>GLAZETYLERD</t>
  </si>
  <si>
    <t>GLAZE, TYLER D</t>
  </si>
  <si>
    <t>GLAZE</t>
  </si>
  <si>
    <t>TYLER</t>
  </si>
  <si>
    <t>GODBYSTEVENW</t>
  </si>
  <si>
    <t>GODBY, STEVEN W</t>
  </si>
  <si>
    <t>GODBY</t>
  </si>
  <si>
    <t>STEVEN</t>
  </si>
  <si>
    <t>GOLDMANNROBERTD</t>
  </si>
  <si>
    <t>GOLDMANN, ROBERT D</t>
  </si>
  <si>
    <t>GOLDMANN</t>
  </si>
  <si>
    <t>GORDISHHEATHERS</t>
  </si>
  <si>
    <t>GORDISH, HEATHER S</t>
  </si>
  <si>
    <t>GORDISH</t>
  </si>
  <si>
    <t>HEATHER</t>
  </si>
  <si>
    <t>GRADYSPENCERD</t>
  </si>
  <si>
    <t>GRADY, SPENCER D</t>
  </si>
  <si>
    <t>GRADY</t>
  </si>
  <si>
    <t>SPENCER</t>
  </si>
  <si>
    <t>GRIBBLEDAVIDJ</t>
  </si>
  <si>
    <t>GRIBBLE, DAVID J</t>
  </si>
  <si>
    <t>GRIBBLE</t>
  </si>
  <si>
    <t>GRIFFINMICHAELL</t>
  </si>
  <si>
    <t>GRIFFIN, MICHAEL L</t>
  </si>
  <si>
    <t>GRIFFIN</t>
  </si>
  <si>
    <t>RUSSELL</t>
  </si>
  <si>
    <t>GRIFFINTROYA</t>
  </si>
  <si>
    <t>GRIFFIN, TROY A</t>
  </si>
  <si>
    <t>TROY</t>
  </si>
  <si>
    <t>GRIMESJOHNJ</t>
  </si>
  <si>
    <t>GRIMES, JOHN J</t>
  </si>
  <si>
    <t>GRIMES</t>
  </si>
  <si>
    <t>JOHN</t>
  </si>
  <si>
    <t>GROSSJASONMATTHEW</t>
  </si>
  <si>
    <t>GROSS, JASON M</t>
  </si>
  <si>
    <t>GROSS</t>
  </si>
  <si>
    <t>JASON</t>
  </si>
  <si>
    <t>GUTHRIEHANNAHE</t>
  </si>
  <si>
    <t>GUTHRIE, HANNAH E</t>
  </si>
  <si>
    <t>GUTHRIE</t>
  </si>
  <si>
    <t>HANNAH</t>
  </si>
  <si>
    <t>DENNY</t>
  </si>
  <si>
    <t>HALIFKOMATHEWS</t>
  </si>
  <si>
    <t>HALIFKO, MATHEW S</t>
  </si>
  <si>
    <t>HALIFKO</t>
  </si>
  <si>
    <t>HARDYCRAIGA</t>
  </si>
  <si>
    <t>HARDY, CRAIG A</t>
  </si>
  <si>
    <t>HARDY</t>
  </si>
  <si>
    <t>CRAIG</t>
  </si>
  <si>
    <t>HARDYTRACYE</t>
  </si>
  <si>
    <t>HARDY, TRACY E</t>
  </si>
  <si>
    <t>TRACY</t>
  </si>
  <si>
    <t>HARRIGANPHILIPC</t>
  </si>
  <si>
    <t>HARRIGAN, PHILIP C</t>
  </si>
  <si>
    <t>HARRIGAN</t>
  </si>
  <si>
    <t>PHILIP</t>
  </si>
  <si>
    <t>HARRISGERALDJ</t>
  </si>
  <si>
    <t>HARRIS, GERALD J</t>
  </si>
  <si>
    <t>HARRIS</t>
  </si>
  <si>
    <t>GERALD</t>
  </si>
  <si>
    <t>HARRISONRICHARDJ</t>
  </si>
  <si>
    <t>HARRISON, RICHARD J</t>
  </si>
  <si>
    <t>HARRISON</t>
  </si>
  <si>
    <t>HARVEYJAREDC</t>
  </si>
  <si>
    <t>HARVEY, JARED C</t>
  </si>
  <si>
    <t>HARVEY</t>
  </si>
  <si>
    <t>JARED</t>
  </si>
  <si>
    <t>HASTYPATRICKD</t>
  </si>
  <si>
    <t>HASTY, PATRICK D</t>
  </si>
  <si>
    <t>HASTY</t>
  </si>
  <si>
    <t>PATRICK</t>
  </si>
  <si>
    <t>HATCHETTSEANT</t>
  </si>
  <si>
    <t>HATCHETT, SEAN T</t>
  </si>
  <si>
    <t>HATCHETT</t>
  </si>
  <si>
    <t>HAYMANETHAND</t>
  </si>
  <si>
    <t>HAYMAN, ETHAN D</t>
  </si>
  <si>
    <t>HAYMAN</t>
  </si>
  <si>
    <t>ETHAN</t>
  </si>
  <si>
    <t>HELMSDAVIDS</t>
  </si>
  <si>
    <t>HELMS, DAVID S</t>
  </si>
  <si>
    <t>HELMS</t>
  </si>
  <si>
    <t>HENDRICKSPAULD</t>
  </si>
  <si>
    <t>HENDRICKS, PAUL D</t>
  </si>
  <si>
    <t>HENDRICKS</t>
  </si>
  <si>
    <t>PAUL</t>
  </si>
  <si>
    <t>HENSONTRAVISG</t>
  </si>
  <si>
    <t>HENSON, TRAVIS G</t>
  </si>
  <si>
    <t>HENSON</t>
  </si>
  <si>
    <t>HERNANDEZ</t>
  </si>
  <si>
    <t>HERNANDEZKYLEE</t>
  </si>
  <si>
    <t>HERNANDEZ, KYLE E</t>
  </si>
  <si>
    <t>HERRONTAYLORO</t>
  </si>
  <si>
    <t>HERRON, TAYLOR O</t>
  </si>
  <si>
    <t>HERRON</t>
  </si>
  <si>
    <t>O</t>
  </si>
  <si>
    <t>LT COL</t>
  </si>
  <si>
    <t>HESSAUDRIMK</t>
  </si>
  <si>
    <t>HESS, AUDRI M</t>
  </si>
  <si>
    <t>HESS</t>
  </si>
  <si>
    <t>AUDRI</t>
  </si>
  <si>
    <t>HILLCOREYA</t>
  </si>
  <si>
    <t>HILL, COREY A</t>
  </si>
  <si>
    <t>HILL</t>
  </si>
  <si>
    <t>HOBBSCHRISTIANB</t>
  </si>
  <si>
    <t>HOBBS, CHRISTIAN B</t>
  </si>
  <si>
    <t>HOBBS</t>
  </si>
  <si>
    <t>HOGANKATHLEENA</t>
  </si>
  <si>
    <t>HOGAN, KATHLEEN A</t>
  </si>
  <si>
    <t>HOGAN</t>
  </si>
  <si>
    <t>KATHLEEN</t>
  </si>
  <si>
    <t>HOLLENTERRYB</t>
  </si>
  <si>
    <t>HOLLEN, TERRY B</t>
  </si>
  <si>
    <t>HOLLEN</t>
  </si>
  <si>
    <t>TERRY</t>
  </si>
  <si>
    <t>HOLLEYBARRYD</t>
  </si>
  <si>
    <t>HOLLEY, BARRY D</t>
  </si>
  <si>
    <t>HOLLEY</t>
  </si>
  <si>
    <t>HOLMESSAVANNAHB</t>
  </si>
  <si>
    <t>HOLMES, SAVANNAH B</t>
  </si>
  <si>
    <t>HOLMES</t>
  </si>
  <si>
    <t>SAVANNAH</t>
  </si>
  <si>
    <t>HOLSOMBACHVAUGHNM</t>
  </si>
  <si>
    <t>HOLSOMBACH, VAUGHN M</t>
  </si>
  <si>
    <t>HOLSOMBACH</t>
  </si>
  <si>
    <t>VAUGHN</t>
  </si>
  <si>
    <t>HOLSTONJOELS</t>
  </si>
  <si>
    <t>HOLSTON, JOEL S</t>
  </si>
  <si>
    <t>HOLSTON</t>
  </si>
  <si>
    <t>JOEL</t>
  </si>
  <si>
    <t>HOLTONTYLERA</t>
  </si>
  <si>
    <t>HOLTON, TYLER A</t>
  </si>
  <si>
    <t>HOLTON</t>
  </si>
  <si>
    <t>HORTONLEVIA</t>
  </si>
  <si>
    <t>HORTON, LEVI A</t>
  </si>
  <si>
    <t>HORTON</t>
  </si>
  <si>
    <t>LEVI</t>
  </si>
  <si>
    <t>HOWARD</t>
  </si>
  <si>
    <t>HOWARDKENNETHA</t>
  </si>
  <si>
    <t>HOWARD, KENNETH A</t>
  </si>
  <si>
    <t>KENNETH</t>
  </si>
  <si>
    <t>HOWELLKIMBERLYA</t>
  </si>
  <si>
    <t>HOWELL, KIMBERLY A</t>
  </si>
  <si>
    <t>HOWELL</t>
  </si>
  <si>
    <t>HULETTEANDREWC</t>
  </si>
  <si>
    <t>HULETTE, ANDREW C</t>
  </si>
  <si>
    <t>HULETTE</t>
  </si>
  <si>
    <t>HUMPHREYSZACHARIAHM</t>
  </si>
  <si>
    <t>HUMPHREYS, ZACHARIAH M</t>
  </si>
  <si>
    <t>HUMPHREYS</t>
  </si>
  <si>
    <t>ZACHARIAH</t>
  </si>
  <si>
    <t>HUNTERKARLA</t>
  </si>
  <si>
    <t>HUNTER, KARL A</t>
  </si>
  <si>
    <t>HUNTER</t>
  </si>
  <si>
    <t>KARL</t>
  </si>
  <si>
    <t>HUNTERKYLEM</t>
  </si>
  <si>
    <t>HUNTER, KYLE M</t>
  </si>
  <si>
    <t>JANUARYSYMONEB</t>
  </si>
  <si>
    <t>JANUARY, SYMONE B</t>
  </si>
  <si>
    <t>JANUARY</t>
  </si>
  <si>
    <t>SYMONE</t>
  </si>
  <si>
    <t>JEFFERYCHRISTOPHERJ</t>
  </si>
  <si>
    <t>JEFFERY, CHRISTOPHER J</t>
  </si>
  <si>
    <t>JEFFERY</t>
  </si>
  <si>
    <t>JENSENKIRSTENM</t>
  </si>
  <si>
    <t>JENSEN, KIRSTEN M</t>
  </si>
  <si>
    <t>JENSEN</t>
  </si>
  <si>
    <t>KIRSTEN</t>
  </si>
  <si>
    <t>JEWELLGREGGK</t>
  </si>
  <si>
    <t>JEWELL, GREGG K</t>
  </si>
  <si>
    <t>JEWELL</t>
  </si>
  <si>
    <t>GREGG</t>
  </si>
  <si>
    <t>JOHNKEJOSIEL</t>
  </si>
  <si>
    <t>JOHNKE, JOSIE L</t>
  </si>
  <si>
    <t>JOHNKE</t>
  </si>
  <si>
    <t>JOSIE</t>
  </si>
  <si>
    <t>JOHNSONJONATHANO</t>
  </si>
  <si>
    <t>JOHNSON, JONATHAN O</t>
  </si>
  <si>
    <t>JOHNSON</t>
  </si>
  <si>
    <t>JOLIETROBERTM</t>
  </si>
  <si>
    <t>JOLIET, ROBERT M</t>
  </si>
  <si>
    <t>JOLIET</t>
  </si>
  <si>
    <t>JONES</t>
  </si>
  <si>
    <t>JONESORLANDOS</t>
  </si>
  <si>
    <t>JONES, ORLANDO S</t>
  </si>
  <si>
    <t>ORLANDO</t>
  </si>
  <si>
    <t>JOYNER-BARNESTANISHA</t>
  </si>
  <si>
    <t xml:space="preserve">JOYNER-BARNES, TANISHA </t>
  </si>
  <si>
    <t>JOYNER-BARNES</t>
  </si>
  <si>
    <t>TANISHA</t>
  </si>
  <si>
    <t>JUTTNERKEVINE</t>
  </si>
  <si>
    <t>JUTTNER, KEVIN E</t>
  </si>
  <si>
    <t>JUTTNER</t>
  </si>
  <si>
    <t>KAONOKIMK</t>
  </si>
  <si>
    <t>KAONO, KIM K</t>
  </si>
  <si>
    <t>KAONO</t>
  </si>
  <si>
    <t>KIM</t>
  </si>
  <si>
    <t>KARBANKYARAY</t>
  </si>
  <si>
    <t>KARBAN, KYARA Y</t>
  </si>
  <si>
    <t>KARBAN</t>
  </si>
  <si>
    <t>KYARA</t>
  </si>
  <si>
    <t>KELLYTHOMASI</t>
  </si>
  <si>
    <t>KELLY, THOMAS I</t>
  </si>
  <si>
    <t>KELLY</t>
  </si>
  <si>
    <t>I</t>
  </si>
  <si>
    <t>KENNYMARCUSA</t>
  </si>
  <si>
    <t>KENNY, MARCUS A</t>
  </si>
  <si>
    <t>KENNY</t>
  </si>
  <si>
    <t>MARCUS</t>
  </si>
  <si>
    <t>KERNSWHITNYEN</t>
  </si>
  <si>
    <t>KERNS, WHITNYE N</t>
  </si>
  <si>
    <t>KERNS</t>
  </si>
  <si>
    <t>WHITNYE</t>
  </si>
  <si>
    <t>KINGNICOLASA</t>
  </si>
  <si>
    <t>KING, NICOLAS A</t>
  </si>
  <si>
    <t>KING</t>
  </si>
  <si>
    <t>NICOLAS</t>
  </si>
  <si>
    <t>KIRKLEYPHILLIPR</t>
  </si>
  <si>
    <t>KIRKLEY, PHILLIP R</t>
  </si>
  <si>
    <t>KIRKLEY</t>
  </si>
  <si>
    <t>PHILLIP</t>
  </si>
  <si>
    <t>KJOSNATHANIELR</t>
  </si>
  <si>
    <t>KJOS, NATHANIEL R</t>
  </si>
  <si>
    <t>KJOS</t>
  </si>
  <si>
    <t>NATHANIEL</t>
  </si>
  <si>
    <t>KNIGHTTOMMYF</t>
  </si>
  <si>
    <t>KNIGHT, TOMMY F</t>
  </si>
  <si>
    <t>KNIGHT</t>
  </si>
  <si>
    <t>TOMMY</t>
  </si>
  <si>
    <t>KNOBLAUCHCASEYJ</t>
  </si>
  <si>
    <t>KNOBLAUCH, CASEY J</t>
  </si>
  <si>
    <t>KNOBLAUCH</t>
  </si>
  <si>
    <t>CASEY</t>
  </si>
  <si>
    <t>KOPPELGABRIELLEM</t>
  </si>
  <si>
    <t>KOPPEL, GABRIELLE M</t>
  </si>
  <si>
    <t>KOPPEL</t>
  </si>
  <si>
    <t>GABRIELLE</t>
  </si>
  <si>
    <t>KRAFTTHOMASJ</t>
  </si>
  <si>
    <t>KRAFT, THOMAS J</t>
  </si>
  <si>
    <t>KRAFT</t>
  </si>
  <si>
    <t>LANCASTERJASMINEK</t>
  </si>
  <si>
    <t>LANCASTER, JASMINE K</t>
  </si>
  <si>
    <t>LANCASTER</t>
  </si>
  <si>
    <t>JASMINE</t>
  </si>
  <si>
    <t>LARNHARTHUNTERE</t>
  </si>
  <si>
    <t>LARNHART, HUNTER E</t>
  </si>
  <si>
    <t>LARNHART</t>
  </si>
  <si>
    <t>LASALLETHOMASC</t>
  </si>
  <si>
    <t>LASALLE, THOMAS C</t>
  </si>
  <si>
    <t>LASALLE</t>
  </si>
  <si>
    <t>LEBEDZINSKIMARKA</t>
  </si>
  <si>
    <t>LEBEDZINSKI, MARK A</t>
  </si>
  <si>
    <t>LEBEDZINSKI</t>
  </si>
  <si>
    <t>LECKIEJACOBR</t>
  </si>
  <si>
    <t>LECKIE, JACOB R</t>
  </si>
  <si>
    <t>LECKIE</t>
  </si>
  <si>
    <t>JACOB</t>
  </si>
  <si>
    <t>LECKIEMELANIE</t>
  </si>
  <si>
    <t xml:space="preserve">LECKIE, MELANIE </t>
  </si>
  <si>
    <t>MELANIE</t>
  </si>
  <si>
    <t>LEEJENNIFERM</t>
  </si>
  <si>
    <t>LEE, JENNIFER M</t>
  </si>
  <si>
    <t>LEE</t>
  </si>
  <si>
    <t>MATTHEW</t>
  </si>
  <si>
    <t>LEGUILLOUJOHNP</t>
  </si>
  <si>
    <t>LEGUILLOU, JOHN P</t>
  </si>
  <si>
    <t>LEGUILLOU</t>
  </si>
  <si>
    <t>LENNANDREWL</t>
  </si>
  <si>
    <t>LENN, ANDREW L</t>
  </si>
  <si>
    <t>LENN</t>
  </si>
  <si>
    <t>LENNJANELLEJ</t>
  </si>
  <si>
    <t>LENN, JANELLE J</t>
  </si>
  <si>
    <t>JANELLE</t>
  </si>
  <si>
    <t>LINEASTER</t>
  </si>
  <si>
    <t xml:space="preserve">LIN, EASTER </t>
  </si>
  <si>
    <t>LIN</t>
  </si>
  <si>
    <t>EASTER</t>
  </si>
  <si>
    <t>LIPPERTLEWLYNE</t>
  </si>
  <si>
    <t>LIPPERT, LEWLYN E</t>
  </si>
  <si>
    <t>LIPPERT</t>
  </si>
  <si>
    <t>LEWLYN</t>
  </si>
  <si>
    <t>LIPSCOMBERNESTW</t>
  </si>
  <si>
    <t>LIPSCOMB, ERNEST W</t>
  </si>
  <si>
    <t>LIPSCOMB</t>
  </si>
  <si>
    <t>ERNEST</t>
  </si>
  <si>
    <t>LOPEZLUISA</t>
  </si>
  <si>
    <t>LOPEZ, LUIS A</t>
  </si>
  <si>
    <t>LOPEZ</t>
  </si>
  <si>
    <t>LUIS</t>
  </si>
  <si>
    <t>Z</t>
  </si>
  <si>
    <t>LOVELLSHAZZAA</t>
  </si>
  <si>
    <t>LOVELL, SHAZZA A</t>
  </si>
  <si>
    <t>LOVELL</t>
  </si>
  <si>
    <t>SHAZZA</t>
  </si>
  <si>
    <t>LUCASMICHAELC</t>
  </si>
  <si>
    <t>LUCAS, MICHAEL C</t>
  </si>
  <si>
    <t>LUCAS</t>
  </si>
  <si>
    <t>MACKMALCOLMT</t>
  </si>
  <si>
    <t>MACK, MALCOLM T</t>
  </si>
  <si>
    <t>MACK</t>
  </si>
  <si>
    <t>MALCOLM</t>
  </si>
  <si>
    <t>MALLOYKELCIM</t>
  </si>
  <si>
    <t>MALLOY, KELCI M</t>
  </si>
  <si>
    <t>MALLOY</t>
  </si>
  <si>
    <t>KELCI</t>
  </si>
  <si>
    <t>MARSHALLAVERYC</t>
  </si>
  <si>
    <t>MARSHALL, AVERY C</t>
  </si>
  <si>
    <t>MARSHALL</t>
  </si>
  <si>
    <t>AVERY</t>
  </si>
  <si>
    <t>MARSHALLCHRISTIANE</t>
  </si>
  <si>
    <t>MARSHALL, CHRISTIAN E</t>
  </si>
  <si>
    <t>MARTINEZELIZABETHC</t>
  </si>
  <si>
    <t>MARTINEZ, ELIZABETH C</t>
  </si>
  <si>
    <t>MARTINEZ</t>
  </si>
  <si>
    <t>ELIZABETH</t>
  </si>
  <si>
    <t>MARTINGRACYNJ</t>
  </si>
  <si>
    <t>MARTIN, GRACYN J</t>
  </si>
  <si>
    <t>GRACYN</t>
  </si>
  <si>
    <t>MASONJAREDA</t>
  </si>
  <si>
    <t>MASON, JARED A</t>
  </si>
  <si>
    <t>MASON</t>
  </si>
  <si>
    <t>MAXHAMELIZABETHS</t>
  </si>
  <si>
    <t>MAXHAM, ELIZABETH S</t>
  </si>
  <si>
    <t>MAXHAM</t>
  </si>
  <si>
    <t>MAZURCATHERINEM</t>
  </si>
  <si>
    <t>MAZUR, CATHERINE M</t>
  </si>
  <si>
    <t>MAZUR</t>
  </si>
  <si>
    <t>CATHERINE</t>
  </si>
  <si>
    <t>MCANULTYPHILIPC</t>
  </si>
  <si>
    <t>MCANULTY, PHILIP C</t>
  </si>
  <si>
    <t>MCANULTY</t>
  </si>
  <si>
    <t>MCBRIDEMICHAELA</t>
  </si>
  <si>
    <t>MCBRIDE, MICHAEL A</t>
  </si>
  <si>
    <t>MCBRIDE</t>
  </si>
  <si>
    <t>MCCURDYADAMM</t>
  </si>
  <si>
    <t>MCCURDY, ADAM M</t>
  </si>
  <si>
    <t>MCCURDY</t>
  </si>
  <si>
    <t>ADAM</t>
  </si>
  <si>
    <t>MCKINNEYHEATHERL</t>
  </si>
  <si>
    <t>MCKINNEY, HEATHER L</t>
  </si>
  <si>
    <t>MCKINNEY</t>
  </si>
  <si>
    <t>MCKNIGHTJOHNH</t>
  </si>
  <si>
    <t>MCKNIGHT, JOHN H</t>
  </si>
  <si>
    <t>MCKNIGHT</t>
  </si>
  <si>
    <t>MCLEMOREKAIE</t>
  </si>
  <si>
    <t>MCLEMORE, KAI E</t>
  </si>
  <si>
    <t>MCLEMORE</t>
  </si>
  <si>
    <t>KAI</t>
  </si>
  <si>
    <t>JESSICA</t>
  </si>
  <si>
    <t>MCMARTINGERRYW</t>
  </si>
  <si>
    <t>MCMARTIN, GERRY W</t>
  </si>
  <si>
    <t>MCMARTIN</t>
  </si>
  <si>
    <t>GERRY</t>
  </si>
  <si>
    <t>MCMELLONERICR</t>
  </si>
  <si>
    <t>MCMELLON, ERIC R</t>
  </si>
  <si>
    <t>MCMELLON</t>
  </si>
  <si>
    <t>MCQUEENESTELLEP</t>
  </si>
  <si>
    <t>MCQUEEN, ESTELLE P</t>
  </si>
  <si>
    <t>MCQUEEN</t>
  </si>
  <si>
    <t>ESTELLE</t>
  </si>
  <si>
    <t>MEADOWSEDDIER</t>
  </si>
  <si>
    <t>MEADOWS, EDDIE R</t>
  </si>
  <si>
    <t>MEADOWS</t>
  </si>
  <si>
    <t>EDDIE</t>
  </si>
  <si>
    <t>MEJIAS-MARTINEZJOSEO</t>
  </si>
  <si>
    <t>MEJIAS-MARTINEZ, JOSE O</t>
  </si>
  <si>
    <t>MEJIAS-MARTINEZ</t>
  </si>
  <si>
    <t>JOSE</t>
  </si>
  <si>
    <t>MELLONEJOSEPHJ</t>
  </si>
  <si>
    <t>MELLONE, JOSEPH J</t>
  </si>
  <si>
    <t>MELLONE</t>
  </si>
  <si>
    <t>JOSEPH</t>
  </si>
  <si>
    <t>MENGJEREMYJ</t>
  </si>
  <si>
    <t>MENG, JEREMY J</t>
  </si>
  <si>
    <t>MENG</t>
  </si>
  <si>
    <t>MERRILLRUSSELLD</t>
  </si>
  <si>
    <t>MERRILL, RUSSELL D</t>
  </si>
  <si>
    <t>MERRILL</t>
  </si>
  <si>
    <t>MICHAELSJUSTINL</t>
  </si>
  <si>
    <t>MICHAELS, JUSTIN L</t>
  </si>
  <si>
    <t>MICHAELS</t>
  </si>
  <si>
    <t>MIRANDA DE JESUSEDUARDOJ</t>
  </si>
  <si>
    <t>MIRANDA DE JESUS, EDUARDO J</t>
  </si>
  <si>
    <t>MIRANDA DE JESUS</t>
  </si>
  <si>
    <t>EDUARDO</t>
  </si>
  <si>
    <t>MITCHELLSCOTTR</t>
  </si>
  <si>
    <t>MITCHELL, SCOTT R</t>
  </si>
  <si>
    <t>MITCHELL</t>
  </si>
  <si>
    <t>MONDAYCALEBM</t>
  </si>
  <si>
    <t>MONDAY, CALEB M</t>
  </si>
  <si>
    <t>MONDAY</t>
  </si>
  <si>
    <t>CALEB</t>
  </si>
  <si>
    <t>MONEYMAKERALEXANDREAM</t>
  </si>
  <si>
    <t>MONEYMAKER, ALEXANDREA M</t>
  </si>
  <si>
    <t>MONEYMAKER</t>
  </si>
  <si>
    <t>ALEXANDREA</t>
  </si>
  <si>
    <t>MOORE</t>
  </si>
  <si>
    <t>MOORENATHANT</t>
  </si>
  <si>
    <t>MOORE, NATHAN T</t>
  </si>
  <si>
    <t>MORENOJUAN</t>
  </si>
  <si>
    <t xml:space="preserve">MORENO, JUAN </t>
  </si>
  <si>
    <t>MORENO</t>
  </si>
  <si>
    <t>JUAN</t>
  </si>
  <si>
    <t>MORRISRICHARDJ</t>
  </si>
  <si>
    <t>MORRIS, RICHARD J</t>
  </si>
  <si>
    <t>MORRIS</t>
  </si>
  <si>
    <t>MORROWKRISTIANR</t>
  </si>
  <si>
    <t>MORROW, KRISTIAN R</t>
  </si>
  <si>
    <t>MORROW</t>
  </si>
  <si>
    <t>KRISTIAN</t>
  </si>
  <si>
    <t>MOULEJOHNR</t>
  </si>
  <si>
    <t>MOULE, JOHN R</t>
  </si>
  <si>
    <t>MOULE</t>
  </si>
  <si>
    <t>MULKEYOVIEW</t>
  </si>
  <si>
    <t>MULKEY, OVIE W</t>
  </si>
  <si>
    <t>MULKEY</t>
  </si>
  <si>
    <t>OVIE</t>
  </si>
  <si>
    <t>MUNOZSAMUELA</t>
  </si>
  <si>
    <t>MUNOZ, SAMUEL A</t>
  </si>
  <si>
    <t>MUNOZ</t>
  </si>
  <si>
    <t>SAMUEL</t>
  </si>
  <si>
    <t>MURPHYTIMOTHYM</t>
  </si>
  <si>
    <t>MURPHY, TIMOTHY M</t>
  </si>
  <si>
    <t>MURPHY</t>
  </si>
  <si>
    <t>MURRAYKRIT</t>
  </si>
  <si>
    <t xml:space="preserve">MURRAY, KRIT </t>
  </si>
  <si>
    <t>MURRAY</t>
  </si>
  <si>
    <t>KRIT</t>
  </si>
  <si>
    <t>MYERSJOHNH</t>
  </si>
  <si>
    <t>MYERS, JOHN H</t>
  </si>
  <si>
    <t>MYERS</t>
  </si>
  <si>
    <t>NELSONMICAHJ</t>
  </si>
  <si>
    <t>NELSON, MICAH J</t>
  </si>
  <si>
    <t>NELSON</t>
  </si>
  <si>
    <t>MICAH</t>
  </si>
  <si>
    <t>NEWBOLDJASONA</t>
  </si>
  <si>
    <t>NEWBOLD, JASON A</t>
  </si>
  <si>
    <t>NEWBOLD</t>
  </si>
  <si>
    <t>NEWTONNICOLETTEA</t>
  </si>
  <si>
    <t>NEWTON, NICOLETTE A</t>
  </si>
  <si>
    <t>NEWTON</t>
  </si>
  <si>
    <t>NICOLETTE</t>
  </si>
  <si>
    <t>NGBARBARAJ</t>
  </si>
  <si>
    <t>NG, BARBARA J</t>
  </si>
  <si>
    <t>NG</t>
  </si>
  <si>
    <t>BARBARA</t>
  </si>
  <si>
    <t>NOYESCRAIGC</t>
  </si>
  <si>
    <t>NOYES, CRAIG C</t>
  </si>
  <si>
    <t>NOYES</t>
  </si>
  <si>
    <t>O'ROURKEPATRICKJ</t>
  </si>
  <si>
    <t>O'ROURKE, PATRICK J</t>
  </si>
  <si>
    <t>O'ROURKE</t>
  </si>
  <si>
    <t>OHDAMONP</t>
  </si>
  <si>
    <t>OH, DAMON P</t>
  </si>
  <si>
    <t>OH</t>
  </si>
  <si>
    <t>DAMON</t>
  </si>
  <si>
    <t>OLSENDANAM</t>
  </si>
  <si>
    <t>OLSEN, DANA M</t>
  </si>
  <si>
    <t>OLSEN</t>
  </si>
  <si>
    <t>DANA</t>
  </si>
  <si>
    <t>OLSONCHRISTOPHERC</t>
  </si>
  <si>
    <t>OLSON, CHRISTOPHER C</t>
  </si>
  <si>
    <t>OLSON</t>
  </si>
  <si>
    <t>OSBORNKEIZA</t>
  </si>
  <si>
    <t xml:space="preserve">OSBORN, KEIZA </t>
  </si>
  <si>
    <t>OSBORN</t>
  </si>
  <si>
    <t>KEIZA</t>
  </si>
  <si>
    <t>OTTMANDEREKM</t>
  </si>
  <si>
    <t>OTTMAN, DEREK M</t>
  </si>
  <si>
    <t>OTTMAN</t>
  </si>
  <si>
    <t>DEREK</t>
  </si>
  <si>
    <t>OVERSTREETJOHNJ</t>
  </si>
  <si>
    <t>OVERSTREET, JOHN J</t>
  </si>
  <si>
    <t>OVERSTREET</t>
  </si>
  <si>
    <t>OWENSMELISSAM</t>
  </si>
  <si>
    <t>OWENS, MELISSA M</t>
  </si>
  <si>
    <t>OWENS</t>
  </si>
  <si>
    <t>MELISSA</t>
  </si>
  <si>
    <t>SMSGT</t>
  </si>
  <si>
    <t>PACHECOJYLISSAA</t>
  </si>
  <si>
    <t>PACHECO, JYLISSA A</t>
  </si>
  <si>
    <t>PACHECO</t>
  </si>
  <si>
    <t>JYLISSA</t>
  </si>
  <si>
    <t>PAGEJENNAL</t>
  </si>
  <si>
    <t>PAGE, JENNA L</t>
  </si>
  <si>
    <t>PAGE</t>
  </si>
  <si>
    <t>JENNA</t>
  </si>
  <si>
    <t>PAGEJUSTINM</t>
  </si>
  <si>
    <t>PAGE, JUSTIN M</t>
  </si>
  <si>
    <t>PAPCZYNSKIASHLEYN</t>
  </si>
  <si>
    <t>PAPCZYNSKI, ASHLEY N</t>
  </si>
  <si>
    <t>PAPCZYNSKI</t>
  </si>
  <si>
    <t>ASHLEY</t>
  </si>
  <si>
    <t>PAPENMEIERMATTHEWA</t>
  </si>
  <si>
    <t>PAPENMEIER, MATTHEW A</t>
  </si>
  <si>
    <t>PAPENMEIER</t>
  </si>
  <si>
    <t>PARKSTHOMASC</t>
  </si>
  <si>
    <t>PARKS, THOMAS C</t>
  </si>
  <si>
    <t>PARKS</t>
  </si>
  <si>
    <t>PARNELLCHARLESS</t>
  </si>
  <si>
    <t>PARNELL, CHARLES S</t>
  </si>
  <si>
    <t>PARNELL</t>
  </si>
  <si>
    <t>CHARLES</t>
  </si>
  <si>
    <t>PARNELLMEGANE</t>
  </si>
  <si>
    <t>PARNELL, MEGAN E</t>
  </si>
  <si>
    <t>MEGAN</t>
  </si>
  <si>
    <t>PARRISHRICHARD</t>
  </si>
  <si>
    <t xml:space="preserve">PARRISH, RICHARD </t>
  </si>
  <si>
    <t>PARRISH</t>
  </si>
  <si>
    <t>PATTERSONMATTHEWC</t>
  </si>
  <si>
    <t>PATTERSON, MATTHEW C</t>
  </si>
  <si>
    <t>PATTERSON</t>
  </si>
  <si>
    <t>PAYNEJOHNL</t>
  </si>
  <si>
    <t>PAYNE, JOHN L</t>
  </si>
  <si>
    <t>PAYNE</t>
  </si>
  <si>
    <t>PEARCEJUSTINM</t>
  </si>
  <si>
    <t>PEARCE, JUSTIN M</t>
  </si>
  <si>
    <t>PEARCE</t>
  </si>
  <si>
    <t>PEASEKAYLAN</t>
  </si>
  <si>
    <t>PEASE, KAYLA N</t>
  </si>
  <si>
    <t>PEASE</t>
  </si>
  <si>
    <t>KAYLA</t>
  </si>
  <si>
    <t>PECINKASJOHNJ</t>
  </si>
  <si>
    <t>PECINKAS, JOHN J</t>
  </si>
  <si>
    <t>PECINKAS</t>
  </si>
  <si>
    <t>PEEDENKRISTOPHERJ</t>
  </si>
  <si>
    <t>PEEDEN, KRISTOPHER J</t>
  </si>
  <si>
    <t>PEEDEN</t>
  </si>
  <si>
    <t>KRISTOPHER</t>
  </si>
  <si>
    <t>PEIFFLEMATTHEWF</t>
  </si>
  <si>
    <t>PEIFFLE, MATTHEW F</t>
  </si>
  <si>
    <t>PEIFFLE</t>
  </si>
  <si>
    <t>PEOPLESJEREMIAHE</t>
  </si>
  <si>
    <t>PEOPLES, JEREMIAH E</t>
  </si>
  <si>
    <t>PEOPLES</t>
  </si>
  <si>
    <t>JEREMIAH</t>
  </si>
  <si>
    <t>PETERSON</t>
  </si>
  <si>
    <t>PETERSONHILLARYL</t>
  </si>
  <si>
    <t>PETERSON, HILLARY L</t>
  </si>
  <si>
    <t>HILLARY</t>
  </si>
  <si>
    <t>PHELPSCHRISTOPHERW</t>
  </si>
  <si>
    <t>PHELPS, CHRISTOPHER W</t>
  </si>
  <si>
    <t>PHELPS</t>
  </si>
  <si>
    <t>PHILLIPSKYLER</t>
  </si>
  <si>
    <t>PHILLIPS, KYLE R</t>
  </si>
  <si>
    <t>PHILLIPS</t>
  </si>
  <si>
    <t>PICKETTBRIAND</t>
  </si>
  <si>
    <t>PICKETT, BRIAN D</t>
  </si>
  <si>
    <t>PICKETT</t>
  </si>
  <si>
    <t>PINTOZZINICHOLASR</t>
  </si>
  <si>
    <t>PINTOZZI, NICHOLAS R</t>
  </si>
  <si>
    <t>PINTOZZI</t>
  </si>
  <si>
    <t>PISCIOTTADOMINICV</t>
  </si>
  <si>
    <t>PISCIOTTA, DOMINIC V</t>
  </si>
  <si>
    <t>PISCIOTTA</t>
  </si>
  <si>
    <t>V</t>
  </si>
  <si>
    <t>POGUEALIYAHM</t>
  </si>
  <si>
    <t>POGUE, ALIYAH M</t>
  </si>
  <si>
    <t>POGUE</t>
  </si>
  <si>
    <t>ALIYAH</t>
  </si>
  <si>
    <t>POPEHOWARDE</t>
  </si>
  <si>
    <t>POPE, HOWARD E</t>
  </si>
  <si>
    <t>POPE</t>
  </si>
  <si>
    <t>PYTELKYLIS</t>
  </si>
  <si>
    <t>PYTEL, KYLI S</t>
  </si>
  <si>
    <t>PYTEL</t>
  </si>
  <si>
    <t>KYLI</t>
  </si>
  <si>
    <t>QUICKROBERTJ</t>
  </si>
  <si>
    <t>QUICK, ROBERT J</t>
  </si>
  <si>
    <t>QUICK</t>
  </si>
  <si>
    <t>RAHNGEOFFREYS</t>
  </si>
  <si>
    <t>RAHN, GEOFFREY S</t>
  </si>
  <si>
    <t>RAHN</t>
  </si>
  <si>
    <t>GEOFFREY</t>
  </si>
  <si>
    <t>RANDOLPHJOSEPHM</t>
  </si>
  <si>
    <t>RANDOLPH, JOSEPH M</t>
  </si>
  <si>
    <t>RANDOLPH</t>
  </si>
  <si>
    <t>RANSOMDAVIDG</t>
  </si>
  <si>
    <t>RANSOM, DAVID G</t>
  </si>
  <si>
    <t>RANSOM</t>
  </si>
  <si>
    <t>REAPERJEREMYS</t>
  </si>
  <si>
    <t>REAPER, JEREMY S</t>
  </si>
  <si>
    <t>REAPER</t>
  </si>
  <si>
    <t>REEDCADEW</t>
  </si>
  <si>
    <t>REED, CADE W</t>
  </si>
  <si>
    <t>REED</t>
  </si>
  <si>
    <t>CADE</t>
  </si>
  <si>
    <t>REEVESROBERTP</t>
  </si>
  <si>
    <t>REEVES, ROBERT P</t>
  </si>
  <si>
    <t>REEVES</t>
  </si>
  <si>
    <t>REHBEINANDREWE</t>
  </si>
  <si>
    <t>REHBEIN, ANDREW E</t>
  </si>
  <si>
    <t>REHBEIN</t>
  </si>
  <si>
    <t>REYESJACQUELINE</t>
  </si>
  <si>
    <t xml:space="preserve">REYES, JACQUELINE </t>
  </si>
  <si>
    <t>REYES</t>
  </si>
  <si>
    <t>JACQUELINE</t>
  </si>
  <si>
    <t>RICKETTSCHANCED</t>
  </si>
  <si>
    <t>RICKETTS, CHANCE D</t>
  </si>
  <si>
    <t>RICKETTS</t>
  </si>
  <si>
    <t>CHANCE</t>
  </si>
  <si>
    <t>ROBBINSCHARLESM</t>
  </si>
  <si>
    <t>ROBBINS, CHARLES M</t>
  </si>
  <si>
    <t>ROBBINS</t>
  </si>
  <si>
    <t>ROBERTSONBRADLEYJ</t>
  </si>
  <si>
    <t>ROBERTSON, BRADLEY J</t>
  </si>
  <si>
    <t>ROBERTSON</t>
  </si>
  <si>
    <t>BRADLEY</t>
  </si>
  <si>
    <t>ROBERTSONKAYLAE</t>
  </si>
  <si>
    <t>ROBERTSON, KAYLA E</t>
  </si>
  <si>
    <t>ROBINSONALEXISS</t>
  </si>
  <si>
    <t>ROBINSON, ALEXIS S</t>
  </si>
  <si>
    <t>ROBINSON</t>
  </si>
  <si>
    <t>ALEXIS</t>
  </si>
  <si>
    <t>ROBINSONCHERYL</t>
  </si>
  <si>
    <t xml:space="preserve">ROBINSON, CHERYL </t>
  </si>
  <si>
    <t>CHERYL</t>
  </si>
  <si>
    <t>ROSANOEL</t>
  </si>
  <si>
    <t xml:space="preserve">ROSA, NOEL </t>
  </si>
  <si>
    <t>ROSA</t>
  </si>
  <si>
    <t>NOEL</t>
  </si>
  <si>
    <t>ROTESTEVENH</t>
  </si>
  <si>
    <t>ROTE, STEVEN H</t>
  </si>
  <si>
    <t>ROTE</t>
  </si>
  <si>
    <t>RUSSSARAHE</t>
  </si>
  <si>
    <t>RUSS, SARAH E</t>
  </si>
  <si>
    <t>RUSS</t>
  </si>
  <si>
    <t>RYBAKADAMJ</t>
  </si>
  <si>
    <t>RYBAK, ADAM J</t>
  </si>
  <si>
    <t>RYBAK</t>
  </si>
  <si>
    <t>RYKSJAREDA</t>
  </si>
  <si>
    <t>RYKS, JARED A</t>
  </si>
  <si>
    <t>RYKS</t>
  </si>
  <si>
    <t>SAFKENCHRISTOPHERSM</t>
  </si>
  <si>
    <t>SAFKEN, CHRISTOPHER S</t>
  </si>
  <si>
    <t>SAFKEN</t>
  </si>
  <si>
    <t>SALINASJUANA</t>
  </si>
  <si>
    <t>SALINAS, JUAN A</t>
  </si>
  <si>
    <t>SALINAS</t>
  </si>
  <si>
    <t>SCHMELTERMICHAELR</t>
  </si>
  <si>
    <t>SCHMELTER, MICHAEL R</t>
  </si>
  <si>
    <t>SCHMELTER</t>
  </si>
  <si>
    <t>SCHOPFJACOBR</t>
  </si>
  <si>
    <t>SCHOPF, JACOB R</t>
  </si>
  <si>
    <t>SCHOPF</t>
  </si>
  <si>
    <t>SCOTTMICHAELD</t>
  </si>
  <si>
    <t>SCOTT, MICHAEL D</t>
  </si>
  <si>
    <t>SCULLYDEJAS</t>
  </si>
  <si>
    <t>SCULLY, DEJA S</t>
  </si>
  <si>
    <t>SCULLY</t>
  </si>
  <si>
    <t>DEJA</t>
  </si>
  <si>
    <t>SEABOLTWILLIAML</t>
  </si>
  <si>
    <t>SEABOLT, WILLIAM L</t>
  </si>
  <si>
    <t>SEABOLT</t>
  </si>
  <si>
    <t>SELLERSIVANA</t>
  </si>
  <si>
    <t xml:space="preserve">SELLERS, IVANA </t>
  </si>
  <si>
    <t>SELLERS</t>
  </si>
  <si>
    <t>IVANA</t>
  </si>
  <si>
    <t>SERVOSSJULIAN</t>
  </si>
  <si>
    <t>SERVOSS, JULIA N</t>
  </si>
  <si>
    <t>SERVOSS</t>
  </si>
  <si>
    <t>JULIA</t>
  </si>
  <si>
    <t>SEUFERTBURNETTW</t>
  </si>
  <si>
    <t>SEUFERT, BURNETT W</t>
  </si>
  <si>
    <t>SEUFERT</t>
  </si>
  <si>
    <t>BURNETT</t>
  </si>
  <si>
    <t>SHRAUNERDAVIDM</t>
  </si>
  <si>
    <t>SHRAUNER, DAVID M</t>
  </si>
  <si>
    <t>SHRAUNER</t>
  </si>
  <si>
    <t>SISKSCOTTA</t>
  </si>
  <si>
    <t>SISK, SCOTT A</t>
  </si>
  <si>
    <t>SISK</t>
  </si>
  <si>
    <t>SLONAKERZACHARYA</t>
  </si>
  <si>
    <t>SLONAKER, ZACHARY A</t>
  </si>
  <si>
    <t>SLONAKER</t>
  </si>
  <si>
    <t>SMITHJESSEJ</t>
  </si>
  <si>
    <t>SMITH, JESSE J</t>
  </si>
  <si>
    <t>SMITH</t>
  </si>
  <si>
    <t>JESSE</t>
  </si>
  <si>
    <t>SMITHJONS</t>
  </si>
  <si>
    <t>SMITH, JON S</t>
  </si>
  <si>
    <t>JON</t>
  </si>
  <si>
    <t>SPARKSMATTHEWG</t>
  </si>
  <si>
    <t>SPARKS, MATTHEW G</t>
  </si>
  <si>
    <t>SPARKS</t>
  </si>
  <si>
    <t>SPENCEMATTHEWS</t>
  </si>
  <si>
    <t>SPENCE, MATTHEW S</t>
  </si>
  <si>
    <t>SPENCE</t>
  </si>
  <si>
    <t>SPOHNJOSEPHS</t>
  </si>
  <si>
    <t>SPOHN, JOSEPH S</t>
  </si>
  <si>
    <t>SPOHN</t>
  </si>
  <si>
    <t>STANTONMICHAELA</t>
  </si>
  <si>
    <t>STANTON, MICHAEL A</t>
  </si>
  <si>
    <t>STANTON</t>
  </si>
  <si>
    <t>STARKSJUSTINL</t>
  </si>
  <si>
    <t>STARKS, JUSTIN L</t>
  </si>
  <si>
    <t>STARKS</t>
  </si>
  <si>
    <t>STENCELJESSICAA</t>
  </si>
  <si>
    <t>STENCEL, JESSICA A</t>
  </si>
  <si>
    <t>STENCEL</t>
  </si>
  <si>
    <t>STENGERBRANDONT</t>
  </si>
  <si>
    <t>STENGER, BRANDON T</t>
  </si>
  <si>
    <t>STENGER</t>
  </si>
  <si>
    <t>STIERWALTANDREWZ</t>
  </si>
  <si>
    <t>STIERWALT, ANDREW Z</t>
  </si>
  <si>
    <t>STIERWALT</t>
  </si>
  <si>
    <t>STOUTDYLANL</t>
  </si>
  <si>
    <t>STOUT, DYLAN L</t>
  </si>
  <si>
    <t>STOUT</t>
  </si>
  <si>
    <t>DYLAN</t>
  </si>
  <si>
    <t>STRAKA-CONWAYHALSTONB</t>
  </si>
  <si>
    <t>STRAKA-CONWAY, HALSTON B</t>
  </si>
  <si>
    <t>STRAKA-CONWAY</t>
  </si>
  <si>
    <t>HALSTON</t>
  </si>
  <si>
    <t>STUDSTILLREBECCAJ</t>
  </si>
  <si>
    <t>STUDSTILL, REBECCA J</t>
  </si>
  <si>
    <t>STUDSTILL</t>
  </si>
  <si>
    <t>REBECCA</t>
  </si>
  <si>
    <t>SULLIVANRYANM</t>
  </si>
  <si>
    <t>SULLIVAN, RYAN M</t>
  </si>
  <si>
    <t>SULLIVAN</t>
  </si>
  <si>
    <t>SUMMITTPRYORB</t>
  </si>
  <si>
    <t>SUMMITT, PRYOR B</t>
  </si>
  <si>
    <t>SUMMITT</t>
  </si>
  <si>
    <t>PRYOR</t>
  </si>
  <si>
    <t>SUMRALLTYLERE</t>
  </si>
  <si>
    <t>SUMRALL, TYLER E</t>
  </si>
  <si>
    <t>SUMRALL</t>
  </si>
  <si>
    <t>1ST LT</t>
  </si>
  <si>
    <t>SZYMCZAKETHANJ</t>
  </si>
  <si>
    <t>SZYMCZAK, ETHAN J</t>
  </si>
  <si>
    <t>SZYMCZAK</t>
  </si>
  <si>
    <t>TALLIEUJULIAC</t>
  </si>
  <si>
    <t>TALLIEU, JULIA C</t>
  </si>
  <si>
    <t>TALLIEU</t>
  </si>
  <si>
    <t>TALLYJHOSEFM</t>
  </si>
  <si>
    <t>TALLY, JHOSEF M</t>
  </si>
  <si>
    <t>TALLY</t>
  </si>
  <si>
    <t>JHOSEF</t>
  </si>
  <si>
    <t>TAMIDENISEM</t>
  </si>
  <si>
    <t>TAMI, DENISE M</t>
  </si>
  <si>
    <t>TAMI</t>
  </si>
  <si>
    <t>DENISE</t>
  </si>
  <si>
    <t>TAYLORGRANTB</t>
  </si>
  <si>
    <t>TAYLOR, GRANT B</t>
  </si>
  <si>
    <t>GRANT</t>
  </si>
  <si>
    <t>TAYLORMICHAEL</t>
  </si>
  <si>
    <t xml:space="preserve">TAYLOR, MICHAEL </t>
  </si>
  <si>
    <t>THACKERBRANDONL</t>
  </si>
  <si>
    <t>THACKER, BRANDON L</t>
  </si>
  <si>
    <t>THACKER</t>
  </si>
  <si>
    <t>THAYERJOSEPHD</t>
  </si>
  <si>
    <t>THAYER, JOSEPH D</t>
  </si>
  <si>
    <t>THAYER</t>
  </si>
  <si>
    <t>THAYERREXJ</t>
  </si>
  <si>
    <t>THAYER, REX J</t>
  </si>
  <si>
    <t>REX</t>
  </si>
  <si>
    <t>THOMMENROBERTM</t>
  </si>
  <si>
    <t>THOMMEN, ROBERT M</t>
  </si>
  <si>
    <t>THOMMEN</t>
  </si>
  <si>
    <t>TOBINJOSEPHA</t>
  </si>
  <si>
    <t>TOBIN, JOSEPH A</t>
  </si>
  <si>
    <t>TOBIN</t>
  </si>
  <si>
    <t>TOVARJOSHUAM</t>
  </si>
  <si>
    <t>TOVAR, JOSHUA M</t>
  </si>
  <si>
    <t>TOVAR</t>
  </si>
  <si>
    <t>TRAINORWILLIAMC</t>
  </si>
  <si>
    <t>TRAINOR, WILLIAM C</t>
  </si>
  <si>
    <t>TRAINOR</t>
  </si>
  <si>
    <t>TRAMMELLJASMINEE</t>
  </si>
  <si>
    <t>TRAMMELL, JASMINE E</t>
  </si>
  <si>
    <t>TRAMMELL</t>
  </si>
  <si>
    <t>TRANDON</t>
  </si>
  <si>
    <t xml:space="preserve">TRAN, DON </t>
  </si>
  <si>
    <t>TRAN</t>
  </si>
  <si>
    <t>DON</t>
  </si>
  <si>
    <t>TRANJENNIFERL</t>
  </si>
  <si>
    <t>TRAN, JENNIFER L</t>
  </si>
  <si>
    <t>TRUSNIKMATTHEWA</t>
  </si>
  <si>
    <t>TRUSNIK, MATTHEW A</t>
  </si>
  <si>
    <t>TRUSNIK</t>
  </si>
  <si>
    <t>TUCKERKYMBERLEEC</t>
  </si>
  <si>
    <t>TUCKER, KYMBERLEE C</t>
  </si>
  <si>
    <t>TUCKER</t>
  </si>
  <si>
    <t>KYMBERLEE</t>
  </si>
  <si>
    <t>TUGGLEXAVIERB</t>
  </si>
  <si>
    <t>TUGGLE, XAVIER B</t>
  </si>
  <si>
    <t>TUGGLE</t>
  </si>
  <si>
    <t>XAVIER</t>
  </si>
  <si>
    <t>TUKUMOEATUPAULINEC</t>
  </si>
  <si>
    <t>TUKUMOEATU, PAULINE C</t>
  </si>
  <si>
    <t>TUKUMOEATU</t>
  </si>
  <si>
    <t>PAULINE</t>
  </si>
  <si>
    <t>TURNERCHRISTOPHERR</t>
  </si>
  <si>
    <t>TURNER, CHRISTOPHER R</t>
  </si>
  <si>
    <t>TURNER</t>
  </si>
  <si>
    <t>VANDERSCHOORJONATHANA</t>
  </si>
  <si>
    <t>VANDERSCHOOR, JONATHAN A</t>
  </si>
  <si>
    <t>VANDERSCHOOR</t>
  </si>
  <si>
    <t>VANNATTERDANIELG</t>
  </si>
  <si>
    <t>VANNATTER, DANIEL G</t>
  </si>
  <si>
    <t>VANNATTER</t>
  </si>
  <si>
    <t>DANIEL</t>
  </si>
  <si>
    <t>VARGASISAMUI</t>
  </si>
  <si>
    <t>VARGAS, ISAMU I</t>
  </si>
  <si>
    <t>VARGAS</t>
  </si>
  <si>
    <t>ISAMU</t>
  </si>
  <si>
    <t>VARRIALEDOMINICS</t>
  </si>
  <si>
    <t>VARRIALE, DOMINIC S</t>
  </si>
  <si>
    <t>VARRIALE</t>
  </si>
  <si>
    <t>VEASAWKENDALLM</t>
  </si>
  <si>
    <t>VEASAW, KENDALL M</t>
  </si>
  <si>
    <t>VEASAW</t>
  </si>
  <si>
    <t>KENDALL</t>
  </si>
  <si>
    <t>VEENSTRASTEPHENE</t>
  </si>
  <si>
    <t>VEENSTRA, STEPHEN E</t>
  </si>
  <si>
    <t>VEENSTRA</t>
  </si>
  <si>
    <t>STEPHEN</t>
  </si>
  <si>
    <t>VELAZQUEZ ALVIRAEDDIEJ</t>
  </si>
  <si>
    <t>VELAZQUEZ ALVIRA, EDDIE J</t>
  </si>
  <si>
    <t>VELAZQUEZ ALVIRA</t>
  </si>
  <si>
    <t>VELEZ-MEDINAHIPOLITO</t>
  </si>
  <si>
    <t xml:space="preserve">VELEZ-MEDINA, HIPOLITO </t>
  </si>
  <si>
    <t>VELEZ-MEDINA</t>
  </si>
  <si>
    <t>HIPOLITO</t>
  </si>
  <si>
    <t>VELEZ-ROMANJEANC</t>
  </si>
  <si>
    <t>VELEZ-ROMAN, JEAN C</t>
  </si>
  <si>
    <t>VELEZ-ROMAN</t>
  </si>
  <si>
    <t>JEAN</t>
  </si>
  <si>
    <t>VINCENTCHANCEEJ</t>
  </si>
  <si>
    <t>VINCENT, CHANCEE J</t>
  </si>
  <si>
    <t>VINCENT</t>
  </si>
  <si>
    <t>CHANCEE</t>
  </si>
  <si>
    <t>VOGTDALE</t>
  </si>
  <si>
    <t xml:space="preserve">VOGT, DALE </t>
  </si>
  <si>
    <t>VOGT</t>
  </si>
  <si>
    <t>DALE</t>
  </si>
  <si>
    <t>WADEDANIELJ</t>
  </si>
  <si>
    <t>WADE, DANIEL J</t>
  </si>
  <si>
    <t>WADE</t>
  </si>
  <si>
    <t>WALKERARICT</t>
  </si>
  <si>
    <t>WALKER, ARIC T</t>
  </si>
  <si>
    <t>WALKER</t>
  </si>
  <si>
    <t>ARIC</t>
  </si>
  <si>
    <t>WALKERCHRISTOPHERM</t>
  </si>
  <si>
    <t>WALKER, CHRISTOPHER M</t>
  </si>
  <si>
    <t>WALLSHANNAHR</t>
  </si>
  <si>
    <t>WALLS, HANNAH R</t>
  </si>
  <si>
    <t>WALLS</t>
  </si>
  <si>
    <t>WALTERBRONSONK</t>
  </si>
  <si>
    <t>WALTER, BRONSON K</t>
  </si>
  <si>
    <t>WALTER</t>
  </si>
  <si>
    <t>WARRENBRIANM</t>
  </si>
  <si>
    <t>WARREN, BRIAN M</t>
  </si>
  <si>
    <t>WARREN</t>
  </si>
  <si>
    <t>WARWELLAVERYR</t>
  </si>
  <si>
    <t>WARWELL, AVERY R</t>
  </si>
  <si>
    <t>WARWELL</t>
  </si>
  <si>
    <t>WEIRCASSIANOM</t>
  </si>
  <si>
    <t>WEIR, CASSIANO M</t>
  </si>
  <si>
    <t>WEIR</t>
  </si>
  <si>
    <t>CASSIANO</t>
  </si>
  <si>
    <t>WELLINSKIJULIAM</t>
  </si>
  <si>
    <t>WELLINSKI, JULIA M</t>
  </si>
  <si>
    <t>WELLINSKI</t>
  </si>
  <si>
    <t>WHEELERBRANDONC</t>
  </si>
  <si>
    <t>WHEELER, BRANDON C</t>
  </si>
  <si>
    <t>WHEELER</t>
  </si>
  <si>
    <t>WHITTLEWILLIAMP</t>
  </si>
  <si>
    <t>WHITTLE, WILLIAM P</t>
  </si>
  <si>
    <t>WHITTLE</t>
  </si>
  <si>
    <t>WILKERSONJAMEST</t>
  </si>
  <si>
    <t>WILKERSON, JAMES T</t>
  </si>
  <si>
    <t>WILKERSON</t>
  </si>
  <si>
    <t>WILLIAMSKEWANAS</t>
  </si>
  <si>
    <t>WILLIAMS, KEWANA S</t>
  </si>
  <si>
    <t>WILLIAMS</t>
  </si>
  <si>
    <t>KEWANA</t>
  </si>
  <si>
    <t>WILLIAMSMORGANJ</t>
  </si>
  <si>
    <t>WILLIAMS, MORGAN J</t>
  </si>
  <si>
    <t>MORGAN</t>
  </si>
  <si>
    <t>WILLIAMSRANDALLB</t>
  </si>
  <si>
    <t>WILLIAMS, RANDALL B</t>
  </si>
  <si>
    <t>RANDALL</t>
  </si>
  <si>
    <t>WILLOUGHBYSHAWND</t>
  </si>
  <si>
    <t>WILLOUGHBY, SHAWN D</t>
  </si>
  <si>
    <t>WILLOUGHBY</t>
  </si>
  <si>
    <t>SHAWN</t>
  </si>
  <si>
    <t>WINDSORADAMJ</t>
  </si>
  <si>
    <t>WINDSOR, ADAM J</t>
  </si>
  <si>
    <t>WINDSOR</t>
  </si>
  <si>
    <t>WINTERSMARCE</t>
  </si>
  <si>
    <t>WINTERS, MARC E</t>
  </si>
  <si>
    <t>WINTERS</t>
  </si>
  <si>
    <t>WITT</t>
  </si>
  <si>
    <t>WOYTTGEOFFREY</t>
  </si>
  <si>
    <t xml:space="preserve">WOYTT, GEOFFREY </t>
  </si>
  <si>
    <t>WOYTT</t>
  </si>
  <si>
    <t>WYCKOFFDOMINICD</t>
  </si>
  <si>
    <t>WYCKOFF, DOMINIC D</t>
  </si>
  <si>
    <t>WYCKOFF</t>
  </si>
  <si>
    <t>YANGWICHAI</t>
  </si>
  <si>
    <t xml:space="preserve">YANG, WICHAI </t>
  </si>
  <si>
    <t>YANG</t>
  </si>
  <si>
    <t>WICHAI</t>
  </si>
  <si>
    <t>YOUNGKATIE GRACEN</t>
  </si>
  <si>
    <t>YOUNG, KATIE GRACE N</t>
  </si>
  <si>
    <t>YOUNG</t>
  </si>
  <si>
    <t>KATIE GRACE</t>
  </si>
  <si>
    <t>YOUNGMARIOA</t>
  </si>
  <si>
    <t>YOUNG, MARIO A</t>
  </si>
  <si>
    <t>MARIO</t>
  </si>
  <si>
    <t>YUNGDEBRA</t>
  </si>
  <si>
    <t xml:space="preserve">YUNG, DEBRA </t>
  </si>
  <si>
    <t>YUNG</t>
  </si>
  <si>
    <t>DEBRA</t>
  </si>
  <si>
    <t>ZAMORAJOELA</t>
  </si>
  <si>
    <t>ZAMORA, JOEL A</t>
  </si>
  <si>
    <t>ZAMORA</t>
  </si>
  <si>
    <t>ZIEGLGANSBERGERSARAHM</t>
  </si>
  <si>
    <t>ZIEGLGANSBERGER, SARAH M</t>
  </si>
  <si>
    <t>ZIEGLGANSBERGER</t>
  </si>
  <si>
    <t>ZIEGLGANSBERGERTYLERJ</t>
  </si>
  <si>
    <t>ZIEGLGANSBERGER, TYLER J</t>
  </si>
  <si>
    <t>ZOISYEJIK</t>
  </si>
  <si>
    <t>ZOIS, YEJI K</t>
  </si>
  <si>
    <t>ZOIS</t>
  </si>
  <si>
    <t>YEJI</t>
  </si>
  <si>
    <t>Personnel (PEX)</t>
  </si>
  <si>
    <t>Current as of</t>
  </si>
  <si>
    <t>COURTERJUSTINS</t>
  </si>
  <si>
    <t>COURTER, JUSTIN S</t>
  </si>
  <si>
    <t>COURTER</t>
  </si>
  <si>
    <t>FOLEYTREVORP</t>
  </si>
  <si>
    <t>FOLEY, TREVOR P</t>
  </si>
  <si>
    <t>FOLEY</t>
  </si>
  <si>
    <t>FOTIKELLYJ</t>
  </si>
  <si>
    <t>FOTI, KELLY J</t>
  </si>
  <si>
    <t>FOTI</t>
  </si>
  <si>
    <t>HALEDENNYR</t>
  </si>
  <si>
    <t>HALE, DENNY R</t>
  </si>
  <si>
    <t>HALE</t>
  </si>
  <si>
    <t>JONESJEFFREYM</t>
  </si>
  <si>
    <t>JONES, JEFFREY M</t>
  </si>
  <si>
    <t>KEYSERSEANE</t>
  </si>
  <si>
    <t>KEYSER, SEAN E</t>
  </si>
  <si>
    <t>KEYSER</t>
  </si>
  <si>
    <t>PRICECOURTNEYE</t>
  </si>
  <si>
    <t>PRICE, COURTNEY E</t>
  </si>
  <si>
    <t>PRICE</t>
  </si>
  <si>
    <t>PRINCEBRIDGETTAD</t>
  </si>
  <si>
    <t>PRINCE, BRIDGETTA D</t>
  </si>
  <si>
    <t>PRINCE</t>
  </si>
  <si>
    <t>BRIDGETTA</t>
  </si>
  <si>
    <t>REDDICKKERRYM</t>
  </si>
  <si>
    <t>REDDICK, KERRY M</t>
  </si>
  <si>
    <t>REDDICK</t>
  </si>
  <si>
    <t>KERRY</t>
  </si>
  <si>
    <t>RIVERASNICHOLASA</t>
  </si>
  <si>
    <t>RIVERAS, NICHOLAS A</t>
  </si>
  <si>
    <t>RIVERAS</t>
  </si>
  <si>
    <t>SCHICKKYLEF</t>
  </si>
  <si>
    <t>SCHICK, KYLE F</t>
  </si>
  <si>
    <t>SCHICK</t>
  </si>
  <si>
    <t>SMITHETHANP</t>
  </si>
  <si>
    <t>SMITH, ETHAN P</t>
  </si>
  <si>
    <t>STRICKLANDGLENNA</t>
  </si>
  <si>
    <t>STRICKLAND, GLENN A</t>
  </si>
  <si>
    <t>STRICKLAND</t>
  </si>
  <si>
    <t>WHITEKYLES</t>
  </si>
  <si>
    <t>WHITE, KYLE S</t>
  </si>
  <si>
    <t>WHITE</t>
  </si>
  <si>
    <t>BANKSCHARLESC</t>
  </si>
  <si>
    <t>BANKS, CHARLES C</t>
  </si>
  <si>
    <t>BANKS</t>
  </si>
  <si>
    <t>BATTANINICHOLASC</t>
  </si>
  <si>
    <t>BATTANI, NICHOLAS C</t>
  </si>
  <si>
    <t>BATTANI</t>
  </si>
  <si>
    <t>COOPERROBERTW</t>
  </si>
  <si>
    <t>COOPER, ROBERT W</t>
  </si>
  <si>
    <t>COOPER</t>
  </si>
  <si>
    <t>CRUNKJASONT</t>
  </si>
  <si>
    <t>CRUNK, JASON T</t>
  </si>
  <si>
    <t>CRUNK</t>
  </si>
  <si>
    <t>DUHONESTHER</t>
  </si>
  <si>
    <t xml:space="preserve">DUHON, ESTHER </t>
  </si>
  <si>
    <t>DUHON</t>
  </si>
  <si>
    <t>ESTHER</t>
  </si>
  <si>
    <t>LAWASHLEIGHR</t>
  </si>
  <si>
    <t>LAW, ASHLEIGH R</t>
  </si>
  <si>
    <t>LAW</t>
  </si>
  <si>
    <t>PEDROJOHNM</t>
  </si>
  <si>
    <t>PEDRO, JOHN M</t>
  </si>
  <si>
    <t>PEDRO</t>
  </si>
  <si>
    <t>ROUSHTYLERM</t>
  </si>
  <si>
    <t>ROUSH, TYLER M</t>
  </si>
  <si>
    <t>ROUSH</t>
  </si>
  <si>
    <t>SWARTZALECE</t>
  </si>
  <si>
    <t>SWARTZ, ALEC E</t>
  </si>
  <si>
    <t>SWARTZ</t>
  </si>
  <si>
    <t>VELEZDIEGOM</t>
  </si>
  <si>
    <t>VELEZ, DIEGO M</t>
  </si>
  <si>
    <t>VELEZ</t>
  </si>
  <si>
    <t>DIEGO</t>
  </si>
  <si>
    <t>WOODTYLERS</t>
  </si>
  <si>
    <t>WOOD, TYLER S</t>
  </si>
  <si>
    <t>WOOD</t>
  </si>
  <si>
    <t>BENGSTONSUNNYR</t>
  </si>
  <si>
    <t>BENGSTON, SUNNY R</t>
  </si>
  <si>
    <t>BENGSTON</t>
  </si>
  <si>
    <t>SUNNY</t>
  </si>
  <si>
    <t>ESQUIBELJOSHUAM</t>
  </si>
  <si>
    <t>ESQUIBEL, JOSHUA M</t>
  </si>
  <si>
    <t>ESQUIBEL</t>
  </si>
  <si>
    <t>PLANASJERRY</t>
  </si>
  <si>
    <t xml:space="preserve">PLANAS, JERRY </t>
  </si>
  <si>
    <t>PLANAS</t>
  </si>
  <si>
    <t>Safety</t>
  </si>
  <si>
    <t>SAFETY</t>
  </si>
  <si>
    <t>Initial JSTO</t>
  </si>
  <si>
    <t>SST CBT</t>
  </si>
  <si>
    <t>Risk Management</t>
  </si>
  <si>
    <t>SST In Person</t>
  </si>
  <si>
    <t>INITEVAL</t>
  </si>
  <si>
    <t>Due Date</t>
  </si>
  <si>
    <t>Initial Evaluation and Work Center Orientation</t>
  </si>
  <si>
    <t>Test Due Date</t>
  </si>
  <si>
    <t>Fit Level</t>
  </si>
  <si>
    <t>Go Red Date</t>
  </si>
  <si>
    <t>Based on Fit Level</t>
  </si>
  <si>
    <t>MILCIVCTR</t>
  </si>
  <si>
    <t>MILCIV</t>
  </si>
  <si>
    <t>MIL</t>
  </si>
  <si>
    <t>Yes</t>
  </si>
  <si>
    <t>Excellent</t>
  </si>
  <si>
    <t>|Dental|</t>
  </si>
  <si>
    <t>Satisfactory</t>
  </si>
  <si>
    <t>|PHA|PHAQ|</t>
  </si>
  <si>
    <t>Pass</t>
  </si>
  <si>
    <t>No</t>
  </si>
  <si>
    <t>AAC</t>
  </si>
  <si>
    <t>|PHAQ|</t>
  </si>
  <si>
    <t>|HIV|</t>
  </si>
  <si>
    <t>EXEMPT</t>
  </si>
  <si>
    <t>ALC</t>
  </si>
  <si>
    <t>|PPD|</t>
  </si>
  <si>
    <t>|Rabies|</t>
  </si>
  <si>
    <t>|PHA|MHA|</t>
  </si>
  <si>
    <t>|PHA|</t>
  </si>
  <si>
    <t>|MHA|</t>
  </si>
  <si>
    <t>JSTO - 2018 Job Safety</t>
  </si>
  <si>
    <t>CMD</t>
  </si>
  <si>
    <t>ranking</t>
  </si>
  <si>
    <t>rankoffice</t>
  </si>
  <si>
    <t>ranksystem</t>
  </si>
  <si>
    <t>SORT</t>
  </si>
  <si>
    <t>Office Rankings By System</t>
  </si>
  <si>
    <t>|Influenza|</t>
  </si>
  <si>
    <t>|DHA3|</t>
  </si>
  <si>
    <t>BEASLEYCARLL</t>
  </si>
  <si>
    <t>BEASLEY, CARL L</t>
  </si>
  <si>
    <t>BEASLEY</t>
  </si>
  <si>
    <t>BERGBRADLEYS</t>
  </si>
  <si>
    <t>BERG, BRADLEY S</t>
  </si>
  <si>
    <t>BERG</t>
  </si>
  <si>
    <t>CORTEZJACOBE</t>
  </si>
  <si>
    <t>CORTEZ, JACOB E</t>
  </si>
  <si>
    <t>CORTEZ</t>
  </si>
  <si>
    <t>DYERWILLIAMM</t>
  </si>
  <si>
    <t>DYER, WILLIAM M</t>
  </si>
  <si>
    <t>DYER</t>
  </si>
  <si>
    <t>EADLERDERRICKP</t>
  </si>
  <si>
    <t>EADLER, DERRICK P</t>
  </si>
  <si>
    <t>EADLER</t>
  </si>
  <si>
    <t>FLOWERSCALEBE</t>
  </si>
  <si>
    <t>FLOWERS, CALEB E</t>
  </si>
  <si>
    <t>FLOWERS</t>
  </si>
  <si>
    <t>GEARYKATHRINEE</t>
  </si>
  <si>
    <t>GEARY, KATHRINE E</t>
  </si>
  <si>
    <t>GEARY</t>
  </si>
  <si>
    <t>KATHRINE</t>
  </si>
  <si>
    <t>HARTJEFFERYM</t>
  </si>
  <si>
    <t>HART, JEFFERY M</t>
  </si>
  <si>
    <t>HART</t>
  </si>
  <si>
    <t>HRYSHKOJOHNS</t>
  </si>
  <si>
    <t>HRYSHKO, JOHN S</t>
  </si>
  <si>
    <t>HRYSHKO</t>
  </si>
  <si>
    <t>INMANAARONJ</t>
  </si>
  <si>
    <t>INMAN, AARON J</t>
  </si>
  <si>
    <t>INMAN</t>
  </si>
  <si>
    <t>AARON</t>
  </si>
  <si>
    <t>JENSENJAKEM</t>
  </si>
  <si>
    <t>JENSEN, JAKE M</t>
  </si>
  <si>
    <t>KINNETTBREANNAN</t>
  </si>
  <si>
    <t>KINNETT, BREANNA N</t>
  </si>
  <si>
    <t>KINNETT</t>
  </si>
  <si>
    <t>BREANNA</t>
  </si>
  <si>
    <t>2ND LT</t>
  </si>
  <si>
    <t>|Distant Visual Acuity|</t>
  </si>
  <si>
    <t>KNUTSONADAM</t>
  </si>
  <si>
    <t xml:space="preserve">KNUTSON, ADAM </t>
  </si>
  <si>
    <t>KNUTSON</t>
  </si>
  <si>
    <t>|Influenza|Serum|</t>
  </si>
  <si>
    <t>MERRIMANJUSTINW</t>
  </si>
  <si>
    <t>MERRIMAN, JUSTIN W</t>
  </si>
  <si>
    <t>MERRIMAN</t>
  </si>
  <si>
    <t>MORENO TRINIDADJOSELUIS</t>
  </si>
  <si>
    <t>MORENO TRINIDAD, JOSE L</t>
  </si>
  <si>
    <t>MORENO TRINIDAD</t>
  </si>
  <si>
    <t>MOYADAVIDA</t>
  </si>
  <si>
    <t>MOYA, DAVID A</t>
  </si>
  <si>
    <t>MOYA</t>
  </si>
  <si>
    <t>PADDOCKBRANDONR</t>
  </si>
  <si>
    <t>PADDOCK, BRANDON R</t>
  </si>
  <si>
    <t>PADDOCK</t>
  </si>
  <si>
    <t>RODRIGUEZJUANL</t>
  </si>
  <si>
    <t>RODRIGUEZ, JUAN L</t>
  </si>
  <si>
    <t>RODRIGUEZ</t>
  </si>
  <si>
    <t>ROSENBAUMJACOBA</t>
  </si>
  <si>
    <t>ROSENBAUM, JACOB A</t>
  </si>
  <si>
    <t>ROSENBAUM</t>
  </si>
  <si>
    <t>WITTMARKD</t>
  </si>
  <si>
    <t>WITT, MARK D</t>
  </si>
  <si>
    <t>YOUNGJONATHANT</t>
  </si>
  <si>
    <t>YOUNG, JONATHAN T</t>
  </si>
  <si>
    <t>Security Training</t>
  </si>
  <si>
    <t>BARNETTJESSEJ</t>
  </si>
  <si>
    <t>BARNETT, JESSE J</t>
  </si>
  <si>
    <t>BARNETT</t>
  </si>
  <si>
    <t>|PHA|PHAQ|DHA5|</t>
  </si>
  <si>
    <t>IANNOPOLLOANTONIOR</t>
  </si>
  <si>
    <t>IANNOPOLLO, ANTONIO R</t>
  </si>
  <si>
    <t>IANNOPOLLO</t>
  </si>
  <si>
    <t>ANTONIO</t>
  </si>
  <si>
    <t>LEANDERSONT</t>
  </si>
  <si>
    <t>LE, ANDERSON T</t>
  </si>
  <si>
    <t>LE</t>
  </si>
  <si>
    <t>MONTGOMERYPAULM</t>
  </si>
  <si>
    <t>MONTGOMERY, PAUL M</t>
  </si>
  <si>
    <t>MONTGOMERY</t>
  </si>
  <si>
    <t>STALLINGSSTEVENL</t>
  </si>
  <si>
    <t>STALLINGS, STEVEN L</t>
  </si>
  <si>
    <t>STALLINGS</t>
  </si>
  <si>
    <t>WALKERBRETTD</t>
  </si>
  <si>
    <t>WALKER, BRETT D</t>
  </si>
  <si>
    <t>BRETT</t>
  </si>
  <si>
    <t>ALS</t>
  </si>
  <si>
    <t>Retraining</t>
  </si>
  <si>
    <t>recon</t>
  </si>
  <si>
    <t>MQT</t>
  </si>
  <si>
    <t>FTU</t>
  </si>
  <si>
    <t>Inbound</t>
  </si>
  <si>
    <t>deployed</t>
  </si>
  <si>
    <t>MEF</t>
  </si>
  <si>
    <t>BBY LEAVE</t>
  </si>
  <si>
    <t>Deployed</t>
  </si>
  <si>
    <t>BURGERANDREWB</t>
  </si>
  <si>
    <t>BURGER, ANDREW B</t>
  </si>
  <si>
    <t>BURGER</t>
  </si>
  <si>
    <t>CORDERO CURETARMANDOO</t>
  </si>
  <si>
    <t>CORDERO CURET, ARMANDO O</t>
  </si>
  <si>
    <t>CORDERO CURET</t>
  </si>
  <si>
    <t>ARMANDO</t>
  </si>
  <si>
    <t>|HIV|DD2795|ANAM|</t>
  </si>
  <si>
    <t>|Hep A|Varicella|</t>
  </si>
  <si>
    <t>PAPCZYNSKIJOSEPHM</t>
  </si>
  <si>
    <t>PAPCZYNSKI, JOSEPH M</t>
  </si>
  <si>
    <t>POTTERERICAW</t>
  </si>
  <si>
    <t>POTTER, ERICA W</t>
  </si>
  <si>
    <t>POTTER</t>
  </si>
  <si>
    <t>ERICA</t>
  </si>
  <si>
    <t>|Rabies|PHA|PHAQ|</t>
  </si>
  <si>
    <t>Fail</t>
  </si>
  <si>
    <t>CORDESCASSEEJ</t>
  </si>
  <si>
    <t>CORDES, CASSEE J</t>
  </si>
  <si>
    <t>CORDES</t>
  </si>
  <si>
    <t>CASSEE</t>
  </si>
  <si>
    <t>HITCHCOCKSOOMERJ</t>
  </si>
  <si>
    <t>HITCHCOCK, SOOMER J</t>
  </si>
  <si>
    <t>HITCHCOCK</t>
  </si>
  <si>
    <t>SOOMER</t>
  </si>
  <si>
    <t>KUHNSSARAHL</t>
  </si>
  <si>
    <t>KUHNS, SARAH L</t>
  </si>
  <si>
    <t>KUHNS</t>
  </si>
  <si>
    <t>LONGNICOLASJ</t>
  </si>
  <si>
    <t>LONG, NICOLAS J</t>
  </si>
  <si>
    <t>LONG</t>
  </si>
  <si>
    <t>MAXWELLTERRYJ</t>
  </si>
  <si>
    <t>MAXWELL, TERRY J</t>
  </si>
  <si>
    <t>MAXWELL</t>
  </si>
  <si>
    <t>PAGECOLTONB</t>
  </si>
  <si>
    <t>PAGE, COLTON B</t>
  </si>
  <si>
    <t>COLTON</t>
  </si>
  <si>
    <t>PATENAUDETIMOTHYI</t>
  </si>
  <si>
    <t>PATENAUDE, TIMOTHY I</t>
  </si>
  <si>
    <t>PATENAUDE</t>
  </si>
  <si>
    <t>PRESCOTTBRYCEA</t>
  </si>
  <si>
    <t>PRESCOTT, BRYCE A</t>
  </si>
  <si>
    <t>PRESCOTT</t>
  </si>
  <si>
    <t>BRYCE</t>
  </si>
  <si>
    <t>RODRIGUEZABELARDON</t>
  </si>
  <si>
    <t>RODRIGUEZ, ABELARDO N</t>
  </si>
  <si>
    <t>ABELARDO</t>
  </si>
  <si>
    <t xml:space="preserve">  </t>
  </si>
  <si>
    <t>|Dental|PHAQ|</t>
  </si>
  <si>
    <t>|Dental|PHA|PHAQ|</t>
  </si>
  <si>
    <t>BARFKNECHTHOPEM</t>
  </si>
  <si>
    <t>BARFKNECHT, HOPE M</t>
  </si>
  <si>
    <t>BARFKNECHT</t>
  </si>
  <si>
    <t>HOPE</t>
  </si>
  <si>
    <t>CHABOTSHAWNP</t>
  </si>
  <si>
    <t>CHABOT, SHAWN P</t>
  </si>
  <si>
    <t>CHABOT</t>
  </si>
  <si>
    <t>JORDANREDICP</t>
  </si>
  <si>
    <t>JORDAN, REDIC P</t>
  </si>
  <si>
    <t>REDIC</t>
  </si>
  <si>
    <t>LEATHERSWILLIAMJ</t>
  </si>
  <si>
    <t>LEATHERS, WILLIAM J</t>
  </si>
  <si>
    <t>LEATHERS</t>
  </si>
  <si>
    <t>DOH</t>
  </si>
  <si>
    <t>MARTINEZLORENZOA</t>
  </si>
  <si>
    <t>MARTINEZ, LORENZO A</t>
  </si>
  <si>
    <t>LORENZO</t>
  </si>
  <si>
    <t>MEYERJONATHANM</t>
  </si>
  <si>
    <t>MEYER, JONATHAN M</t>
  </si>
  <si>
    <t>MEYER</t>
  </si>
  <si>
    <t>SAUCEDOKORYM</t>
  </si>
  <si>
    <t>SAUCEDO, KORY M</t>
  </si>
  <si>
    <t>SAUCEDO</t>
  </si>
  <si>
    <t>KORY</t>
  </si>
  <si>
    <t>SHOUPYVETTEK</t>
  </si>
  <si>
    <t>SHOUP, YVETTE K</t>
  </si>
  <si>
    <t>SHOUP</t>
  </si>
  <si>
    <t>YVETTE</t>
  </si>
  <si>
    <t>PEX 4350s</t>
  </si>
  <si>
    <t>ANTOINE_ELRODEMILYJ</t>
  </si>
  <si>
    <t>ANTOINE_ELROD, EMILY J</t>
  </si>
  <si>
    <t>ANTOINE_ELROD</t>
  </si>
  <si>
    <t>EMILY</t>
  </si>
  <si>
    <t>BRAMSONALEXANDERS</t>
  </si>
  <si>
    <t>BRAMSON, ALEXANDER S</t>
  </si>
  <si>
    <t>BRAMSON</t>
  </si>
  <si>
    <t>ALEXANDER</t>
  </si>
  <si>
    <t>CARUANASTEPHENT</t>
  </si>
  <si>
    <t>CARUANA, STEPHEN T</t>
  </si>
  <si>
    <t>CARUANA</t>
  </si>
  <si>
    <t>|HIV|ANAM|</t>
  </si>
  <si>
    <t>GALVINARIELN</t>
  </si>
  <si>
    <t>GALVIN, ARIEL N</t>
  </si>
  <si>
    <t>GALVIN</t>
  </si>
  <si>
    <t>ARIEL</t>
  </si>
  <si>
    <t>GOTCHTRAVISA</t>
  </si>
  <si>
    <t>GOTCH, TRAVIS A</t>
  </si>
  <si>
    <t>GOTCH</t>
  </si>
  <si>
    <t>|HIV|DHA1 Appt|ANAM|</t>
  </si>
  <si>
    <t>HUNTBRANDONM</t>
  </si>
  <si>
    <t>HUNT, BRANDON M</t>
  </si>
  <si>
    <t>HUNT</t>
  </si>
  <si>
    <t>PFC</t>
  </si>
  <si>
    <t>|Dental|PHA|MHA|</t>
  </si>
  <si>
    <t>JESTERDEVONS</t>
  </si>
  <si>
    <t>JESTER, DEVON S</t>
  </si>
  <si>
    <t>JESTER</t>
  </si>
  <si>
    <t>|Hep A|Hep B|PHA|PHAQ|Distant Visual Acuity|</t>
  </si>
  <si>
    <t>LEEJOHNP</t>
  </si>
  <si>
    <t>LEE, JOHN P</t>
  </si>
  <si>
    <t>CPL</t>
  </si>
  <si>
    <t>|Dental|Blood Type|RH|G6PD|SickleCell|PHA|PHAQ|Distant Visual Acuity|</t>
  </si>
  <si>
    <t>MARTYNNICOLES</t>
  </si>
  <si>
    <t>MARTYN, NICOLE S</t>
  </si>
  <si>
    <t>MARTYN</t>
  </si>
  <si>
    <t>NICOLE</t>
  </si>
  <si>
    <t>NICKELSBREAHT</t>
  </si>
  <si>
    <t>NICKELS, BREAH T</t>
  </si>
  <si>
    <t>NICKELS</t>
  </si>
  <si>
    <t>BREAH</t>
  </si>
  <si>
    <t>BLUMBBEAUJ</t>
  </si>
  <si>
    <t>BLUMB, BEAU J</t>
  </si>
  <si>
    <t>BLUMB</t>
  </si>
  <si>
    <t>BEAU</t>
  </si>
  <si>
    <t>ROMEROBENJAMING</t>
  </si>
  <si>
    <t>ROMERO, BENJAMIN G</t>
  </si>
  <si>
    <t>ROMERO</t>
  </si>
  <si>
    <t>ROWLANDMARIAD</t>
  </si>
  <si>
    <t>ROWLAND, MARIA D</t>
  </si>
  <si>
    <t>ROWLAND</t>
  </si>
  <si>
    <t>MARIA</t>
  </si>
  <si>
    <t>SHIVELYRICHARDA</t>
  </si>
  <si>
    <t>SHIVELY, RICHARD A</t>
  </si>
  <si>
    <t>SHIVELY</t>
  </si>
  <si>
    <t>SMITHEDWARDJ</t>
  </si>
  <si>
    <t>SMITH, EDWARD J</t>
  </si>
  <si>
    <t>SPC</t>
  </si>
  <si>
    <t>WHITTAKERCHADDRICKR</t>
  </si>
  <si>
    <t>WHITTAKER, CHADDRICK R</t>
  </si>
  <si>
    <t>WHITTAKER</t>
  </si>
  <si>
    <t>CHADDRICK</t>
  </si>
  <si>
    <t>PEX4350</t>
  </si>
  <si>
    <t>Signature Required</t>
  </si>
  <si>
    <t>(1 of 2) Reviewing Officer - for 0 days</t>
  </si>
  <si>
    <t>(1 of 2) Reviewing Officer - for 8 days</t>
  </si>
  <si>
    <t>(1 of 2) Reviewing Officer - for 13 days</t>
  </si>
  <si>
    <t>(1 of 2) Reviewing Officer - for 20 days</t>
  </si>
  <si>
    <t>(1 of 2) Reviewing Officer - for 21 days</t>
  </si>
  <si>
    <t>(4 of 4) Examinee - Madisen A. Arnold, SrA - for 37 days</t>
  </si>
  <si>
    <t>(1 of 2) Reviewing Officer - for 47 days</t>
  </si>
  <si>
    <t>(4 of 4) Examinee - Bradley S. Berg, CTR - for 58 days</t>
  </si>
  <si>
    <t>BOWMANBRETTL</t>
  </si>
  <si>
    <t>BOWMAN, BRETT L</t>
  </si>
  <si>
    <t>BOWMAN</t>
  </si>
  <si>
    <t>|Hep B|Dental|PHA|MHA|Distant Visual Acuity|</t>
  </si>
  <si>
    <t>(2 of 4) Reviewing Officer - Brandon T. Stenger, Capt - for 12 days</t>
  </si>
  <si>
    <t>(4 of 4) Examinee - Michael D. Chesser, CTR - for 37 days</t>
  </si>
  <si>
    <t>(4 of 6) Reviewing Officer - Timothy M. Murphy, CIV - for 2 days</t>
  </si>
  <si>
    <t>(4 of 4) Examinee - William K. Cooke, SrA - for 2 days</t>
  </si>
  <si>
    <t>(4 of 4) Examinee - Robert W. Cooper, CTR - for 36 days</t>
  </si>
  <si>
    <t>Completed</t>
  </si>
  <si>
    <t>(1 of 2) Reviewing Officer - for 5 days</t>
  </si>
  <si>
    <t>|Anthrax|Pregnancy Test|ANAM|</t>
  </si>
  <si>
    <t>(3 of 4) Final Approving Officer - Christina D. Di Preta, CIV - for 1 days</t>
  </si>
  <si>
    <t>(4 of 4) Examinee - Esther Duhon, MSgt - for 37 days</t>
  </si>
  <si>
    <t>(4 of 4) Examinee - Chet A. Durrett, CTR - for 113 days</t>
  </si>
  <si>
    <t>(4 of 4) Examinee - Derrick P. Eadler, CTR - for 36 days</t>
  </si>
  <si>
    <t>(4 of 4) Examinee - Jonathan C. Eaves, CIV - for 27 days</t>
  </si>
  <si>
    <t>(4 of 4) Examinee - Michael A. Elmore, TSgt - for 8 days</t>
  </si>
  <si>
    <t>ESCOBARJAMESM</t>
  </si>
  <si>
    <t>ESCOBAR, JAMES M</t>
  </si>
  <si>
    <t>ESCOBAR</t>
  </si>
  <si>
    <t>(4 of 4) Examinee - Joshua M. Esquibel, CTR - for 72 days</t>
  </si>
  <si>
    <t>FINZOALAINAM</t>
  </si>
  <si>
    <t>FINZO, ALAINA M</t>
  </si>
  <si>
    <t>FINZO</t>
  </si>
  <si>
    <t>ALAINA</t>
  </si>
  <si>
    <t>(4 of 4) Examinee - Caleb E. Flowers,  - for 37 days</t>
  </si>
  <si>
    <t>(1 of 2) Reviewing Officer - for 61 days</t>
  </si>
  <si>
    <t>(4 of 4) Examinee - Travis S. Gibson, SSgt - for 2 days</t>
  </si>
  <si>
    <t>GILBERTCHRISTOPHERG</t>
  </si>
  <si>
    <t>GILBERT, CHRISTOPHER G</t>
  </si>
  <si>
    <t>(4 of 4) Examinee - Craig A. Hardy, CTR - for 86 days</t>
  </si>
  <si>
    <t>(4 of 4) Examinee - Richard J. Harrison, CTR - for 37 days</t>
  </si>
  <si>
    <t>(1 of 2) Reviewing Officer - for 39 days</t>
  </si>
  <si>
    <t>(4 of 4) Examinee - Patrick D. Hasty, MSgt - for 2 days</t>
  </si>
  <si>
    <t>(1 of 4) Flight Examiner - Timothy M. Murphy, CIV - for 1 days</t>
  </si>
  <si>
    <t>(4 of 4) Examinee - Christian B. Hobbs, CTR - for 246 days</t>
  </si>
  <si>
    <t>(1 of 4) Flight Examiner - Megan E. Parnell, SSgt - for 13 days</t>
  </si>
  <si>
    <t>|Rabies|Dental|</t>
  </si>
  <si>
    <t>HYDENCHRISTOFFERW</t>
  </si>
  <si>
    <t>HYDEN, CHRISTOFFER W</t>
  </si>
  <si>
    <t>HYDEN</t>
  </si>
  <si>
    <t>CHRISTOFFER</t>
  </si>
  <si>
    <t>JOBEMEGANA</t>
  </si>
  <si>
    <t>JOBE, MEGAN A</t>
  </si>
  <si>
    <t>JOBE</t>
  </si>
  <si>
    <t>(4 of 4) Examinee - Marcus A. Kenny, CTR - for 113 days</t>
  </si>
  <si>
    <t>(4 of 4) Examinee - Sean E. Keyser, CTR - for 69 days</t>
  </si>
  <si>
    <t>(4 of 4) Examinee - Ashleigh R. Law, CTR - for 77 days</t>
  </si>
  <si>
    <t>|Td|</t>
  </si>
  <si>
    <t>(4 of 4) Examinee - Kelci M. Malloy, SrA - for 8 days</t>
  </si>
  <si>
    <t>|HIV|PHA|PHAQ|</t>
  </si>
  <si>
    <t>MARTINEZOSCAR</t>
  </si>
  <si>
    <t xml:space="preserve">MARTINEZ, OSCAR </t>
  </si>
  <si>
    <t>OSCAR</t>
  </si>
  <si>
    <t>|Td|PHAQ|</t>
  </si>
  <si>
    <t>(1 of 4) Flight Examiner - Kendall M. Veasaw, Capt - for 13 days</t>
  </si>
  <si>
    <t>MERCADOETIENNEN</t>
  </si>
  <si>
    <t>MERCADO, ETIENNE N</t>
  </si>
  <si>
    <t>MERCADO</t>
  </si>
  <si>
    <t>ETIENNE</t>
  </si>
  <si>
    <t>(1 of 2) Reviewing Officer - for 11 days</t>
  </si>
  <si>
    <t>MILLERTIMOTHYR</t>
  </si>
  <si>
    <t>MILLER, TIMOTHY R</t>
  </si>
  <si>
    <t>MILLER</t>
  </si>
  <si>
    <t>MBASEMM</t>
  </si>
  <si>
    <t>M, BASEM M</t>
  </si>
  <si>
    <t>BASEM</t>
  </si>
  <si>
    <t>MOSLEYWILLIAMZ</t>
  </si>
  <si>
    <t>MOSLEY, WILLIAM Z</t>
  </si>
  <si>
    <t>MOSLEY</t>
  </si>
  <si>
    <t>(4 of 4) Examinee - John R. Moule, A1C - for 113 days</t>
  </si>
  <si>
    <t>(4 of 4) Examinee - Samuel A. Munoz, SrA - for 27 days</t>
  </si>
  <si>
    <t>(2 of 4) Reviewing Officer - Joshua M. Carter, 1LT - for 29 days</t>
  </si>
  <si>
    <t>(1 of 2) Reviewing Officer - for 4 days</t>
  </si>
  <si>
    <t>|Hep B|Dental|PHA|PHAQ|</t>
  </si>
  <si>
    <t>(4 of 4) Examinee - Joseph M. Papczynski, CTR - for 8 days</t>
  </si>
  <si>
    <t>(1 of 2) Reviewing Officer - for 6 days</t>
  </si>
  <si>
    <t>PETZDARIANR</t>
  </si>
  <si>
    <t>PETZ, DARIAN R</t>
  </si>
  <si>
    <t>PETZ</t>
  </si>
  <si>
    <t>DARIAN</t>
  </si>
  <si>
    <t>(4 of 4) Examinee - Nicholas R. Pintozzi, A1C - for 36 days</t>
  </si>
  <si>
    <t>(4 of 4) Examinee - Howard E. Pope, CTR - for 113 days</t>
  </si>
  <si>
    <t>(2 of 4) Reviewing Officer - William P. Whittle, CIV - for 9 days</t>
  </si>
  <si>
    <t>PULVERALJAYM</t>
  </si>
  <si>
    <t>PULVER, ALJAY M</t>
  </si>
  <si>
    <t>PULVER</t>
  </si>
  <si>
    <t>ALJAY</t>
  </si>
  <si>
    <t>RAESJEREMYD</t>
  </si>
  <si>
    <t>RAES, JEREMY D</t>
  </si>
  <si>
    <t>RAES</t>
  </si>
  <si>
    <t>(4 of 4) Examinee - Jacqueline Reyes, CTR - for 106 days</t>
  </si>
  <si>
    <t>(4 of 4) Examinee - Cheryl Robinson, CTR - for 69 days</t>
  </si>
  <si>
    <t>(3 of 4) Final Approving Officer - Christina D. Di Preta, CIV - for 0 days</t>
  </si>
  <si>
    <t>(4 of 4) Examinee - Jacob A. Rosenbaum, CTR - for 65 days</t>
  </si>
  <si>
    <t>(4 of 4) Examinee - Christopher SM Safken, CTR - for 113 days</t>
  </si>
  <si>
    <t>(4 of 4) Examinee - Jacob R. Schopf, SSgt - for 2 days</t>
  </si>
  <si>
    <t>(1 of 2) Reviewing Officer - for 33 days</t>
  </si>
  <si>
    <t>(4 of 4) Examinee - Glenn A. Strickland, CTR - for 85 days</t>
  </si>
  <si>
    <t>(1 of 2) Reviewing Officer - for 7 days</t>
  </si>
  <si>
    <t>(1 of 2) Reviewing Officer - for 32 days</t>
  </si>
  <si>
    <t>TERRYWILLIAMM</t>
  </si>
  <si>
    <t>TERRY, WILLIAM M</t>
  </si>
  <si>
    <t>|Influenza|PHAQ|</t>
  </si>
  <si>
    <t>|Dental|DHA3|</t>
  </si>
  <si>
    <t>(4 of 4) Examinee - Don Tran, SSgt - for 2 days</t>
  </si>
  <si>
    <t>|Dental|PHA|</t>
  </si>
  <si>
    <t>(3 of 4) Final Approving Officer - Taylor O. Herron, Lt Col - for 27 days</t>
  </si>
  <si>
    <t>(1 of 2) Reviewing Officer - for 54 days</t>
  </si>
  <si>
    <t>(4 of 4) Examinee - Chancee J. Vincent, CTR - for 113 days</t>
  </si>
  <si>
    <t>(1 of 2) Reviewing Officer - for 18 days</t>
  </si>
  <si>
    <t>|Serum|</t>
  </si>
  <si>
    <t>(4 of 4) Examinee - Jonathan T. Young, SSgt - for 65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</si>
</sst>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dd/yyyy"/>
    <numFmt numFmtId="165" formatCode="0.0"/>
    <numFmt numFmtId="166" formatCode="0.0&quot;%&quot;"/>
  </numFmts>
  <fonts count="17" x14ac:knownFonts="1">
    <font>
      <sz val="11"/>
      <color theme="1"/>
      <name val="Calibri"/>
      <family val="2"/>
      <scheme val="minor"/>
    </font>
    <font>
      <b/>
      <sz val="11"/>
      <color theme="1"/>
      <name val="Calibri"/>
      <family val="2"/>
      <scheme val="minor"/>
    </font>
    <font>
      <b/>
      <sz val="12"/>
      <color theme="1"/>
      <name val="Calibri"/>
      <family val="2"/>
      <scheme val="minor"/>
    </font>
    <font>
      <b/>
      <sz val="8"/>
      <color theme="1"/>
      <name val="Calibri"/>
      <family val="2"/>
      <scheme val="minor"/>
    </font>
    <font>
      <b/>
      <sz val="11"/>
      <color theme="0"/>
      <name val="Calibri"/>
      <family val="2"/>
      <scheme val="minor"/>
    </font>
    <font>
      <b/>
      <sz val="11"/>
      <name val="Calibri"/>
      <family val="2"/>
      <scheme val="minor"/>
    </font>
    <font>
      <b/>
      <sz val="10"/>
      <color theme="1"/>
      <name val="Calibri"/>
      <family val="2"/>
      <scheme val="minor"/>
    </font>
    <font>
      <sz val="10"/>
      <color theme="1"/>
      <name val="Calibri"/>
      <family val="2"/>
      <scheme val="minor"/>
    </font>
    <font>
      <sz val="11"/>
      <color theme="0"/>
      <name val="Calibri"/>
      <family val="2"/>
      <scheme val="minor"/>
    </font>
    <font>
      <b/>
      <sz val="10"/>
      <name val="Calibri"/>
      <family val="2"/>
      <scheme val="minor"/>
    </font>
    <font>
      <b/>
      <sz val="12"/>
      <color theme="0"/>
      <name val="Calibri"/>
      <family val="2"/>
      <scheme val="minor"/>
    </font>
    <font>
      <u/>
      <sz val="11"/>
      <color theme="10"/>
      <name val="Calibri"/>
      <family val="2"/>
      <scheme val="minor"/>
    </font>
    <font>
      <b/>
      <sz val="18"/>
      <color theme="0"/>
      <name val="Calibri"/>
      <family val="2"/>
      <scheme val="minor"/>
    </font>
    <font>
      <b/>
      <sz val="9"/>
      <color theme="0"/>
      <name val="Calibri"/>
      <family val="2"/>
      <scheme val="minor"/>
    </font>
    <font>
      <b/>
      <u/>
      <sz val="11"/>
      <color theme="10"/>
      <name val="Calibri"/>
      <family val="2"/>
      <scheme val="minor"/>
    </font>
    <font>
      <b/>
      <sz val="9"/>
      <color indexed="81"/>
      <name val="Tahoma"/>
      <family val="2"/>
    </font>
    <font>
      <sz val="11"/>
      <color theme="1"/>
      <name val="Calibri"/>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rgb="FF30327F"/>
        <bgColor indexed="64"/>
      </patternFill>
    </fill>
    <fill>
      <patternFill patternType="solid">
        <fgColor rgb="FFE5FFE5"/>
        <bgColor indexed="64"/>
      </patternFill>
    </fill>
    <fill>
      <patternFill patternType="solid">
        <fgColor rgb="FFFFE5E5"/>
        <bgColor indexed="64"/>
      </patternFill>
    </fill>
    <fill>
      <patternFill patternType="solid">
        <fgColor rgb="FFE5E5E5"/>
        <bgColor indexed="64"/>
      </patternFill>
    </fill>
    <fill>
      <patternFill patternType="solid">
        <fgColor rgb="FFFFFFE5"/>
        <bgColor indexed="64"/>
      </patternFill>
    </fill>
    <fill>
      <patternFill patternType="solid">
        <fgColor rgb="FF2F327F"/>
        <bgColor indexed="64"/>
      </patternFill>
    </fill>
    <fill>
      <patternFill patternType="solid">
        <fgColor rgb="FFCCECFF"/>
        <bgColor indexed="64"/>
      </patternFill>
    </fill>
    <fill>
      <patternFill patternType="solid">
        <fgColor rgb="FFDDEBF7"/>
        <bgColor indexed="64"/>
      </patternFill>
    </fill>
  </fills>
  <borders count="16">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indexed="64"/>
      </left>
      <right style="thin">
        <color indexed="64"/>
      </right>
      <top style="thin">
        <color indexed="64"/>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style="thin">
        <color theme="0" tint="-0.34998626667073579"/>
      </top>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s>
  <cellStyleXfs count="3">
    <xf numFmtId="0" fontId="0" fillId="0" borderId="0"/>
    <xf numFmtId="0" fontId="11" fillId="0" borderId="0" applyNumberFormat="0" applyFill="0" applyBorder="0" applyAlignment="0" applyProtection="0"/>
    <xf numFmtId="9" fontId="16" fillId="0" borderId="0" applyFont="0" applyFill="0" applyBorder="0" applyAlignment="0" applyProtection="0"/>
  </cellStyleXfs>
  <cellXfs count="220">
    <xf numFmtId="0" fontId="0" fillId="0" borderId="0" xfId="0"/>
    <xf numFmtId="14" fontId="0" fillId="0" borderId="0" xfId="0" applyNumberFormat="1"/>
    <xf numFmtId="0" fontId="0" fillId="0" borderId="0" xfId="0" applyAlignment="1">
      <alignment horizontal="center" vertical="center"/>
    </xf>
    <xf numFmtId="0" fontId="0" fillId="0" borderId="0" xfId="0" applyAlignment="1">
      <alignment horizontal="left" vertical="center"/>
    </xf>
    <xf numFmtId="0" fontId="3" fillId="0" borderId="0" xfId="0" applyFont="1" applyFill="1" applyAlignment="1">
      <alignment horizontal="center" vertical="top"/>
    </xf>
    <xf numFmtId="0" fontId="0" fillId="0" borderId="0" xfId="0" applyAlignment="1">
      <alignment vertical="center"/>
    </xf>
    <xf numFmtId="0" fontId="1" fillId="2" borderId="2" xfId="0" applyFont="1" applyFill="1" applyBorder="1" applyAlignment="1">
      <alignment vertical="center"/>
    </xf>
    <xf numFmtId="0" fontId="1" fillId="0" borderId="0" xfId="0" applyFont="1" applyAlignment="1">
      <alignment vertical="center"/>
    </xf>
    <xf numFmtId="0" fontId="1" fillId="0" borderId="0" xfId="0" applyFont="1" applyAlignment="1">
      <alignment horizontal="left" vertical="center"/>
    </xf>
    <xf numFmtId="0" fontId="1" fillId="0" borderId="1" xfId="0" applyFont="1" applyBorder="1" applyAlignment="1" applyProtection="1">
      <alignment vertical="center" wrapText="1"/>
      <protection locked="0"/>
    </xf>
    <xf numFmtId="0" fontId="1" fillId="0" borderId="0" xfId="0" applyFont="1" applyAlignment="1">
      <alignment horizontal="right" vertical="center"/>
    </xf>
    <xf numFmtId="0" fontId="2" fillId="0" borderId="0" xfId="0" applyFont="1" applyAlignment="1">
      <alignment vertical="center"/>
    </xf>
    <xf numFmtId="0" fontId="1" fillId="0" borderId="1" xfId="0" applyFont="1" applyFill="1" applyBorder="1" applyAlignment="1" applyProtection="1">
      <alignment horizontal="left" vertical="center" wrapText="1"/>
      <protection locked="0"/>
    </xf>
    <xf numFmtId="0" fontId="0" fillId="0" borderId="0" xfId="0" applyFont="1"/>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1" fillId="2" borderId="12" xfId="0" applyFont="1" applyFill="1" applyBorder="1" applyAlignment="1">
      <alignment vertical="center"/>
    </xf>
    <xf numFmtId="0" fontId="0" fillId="0" borderId="11" xfId="0" applyBorder="1" applyAlignment="1">
      <alignment horizontal="left" vertical="center"/>
    </xf>
    <xf numFmtId="0" fontId="1" fillId="0" borderId="0" xfId="0" applyFont="1"/>
    <xf numFmtId="0" fontId="10" fillId="3" borderId="2" xfId="0" applyFont="1" applyFill="1" applyBorder="1" applyAlignment="1">
      <alignment vertical="center"/>
    </xf>
    <xf numFmtId="0" fontId="6" fillId="0" borderId="1" xfId="0" applyFont="1" applyFill="1" applyBorder="1" applyAlignment="1">
      <alignment horizontal="center" vertical="center"/>
    </xf>
    <xf numFmtId="0" fontId="8" fillId="0" borderId="0" xfId="0" applyFont="1"/>
    <xf numFmtId="0" fontId="8" fillId="0" borderId="0" xfId="0" applyFont="1" applyAlignment="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6" fillId="0" borderId="9" xfId="0" applyFont="1" applyBorder="1" applyAlignment="1">
      <alignment horizontal="left" wrapText="1"/>
    </xf>
    <xf numFmtId="0" fontId="6" fillId="4" borderId="1" xfId="0" applyFont="1" applyFill="1" applyBorder="1" applyAlignment="1">
      <alignment horizontal="center" vertical="center"/>
    </xf>
    <xf numFmtId="0" fontId="6" fillId="7" borderId="1" xfId="0" applyFont="1" applyFill="1" applyBorder="1" applyAlignment="1">
      <alignment horizontal="center" vertical="center" wrapText="1"/>
    </xf>
    <xf numFmtId="0" fontId="6" fillId="5" borderId="1" xfId="0" applyFont="1" applyFill="1" applyBorder="1" applyAlignment="1">
      <alignment horizontal="center" vertical="center"/>
    </xf>
    <xf numFmtId="0" fontId="9" fillId="6" borderId="1" xfId="0" applyFont="1" applyFill="1" applyBorder="1" applyAlignment="1">
      <alignment horizontal="center" vertical="center"/>
    </xf>
    <xf numFmtId="0" fontId="1" fillId="0" borderId="1" xfId="0" applyFont="1" applyBorder="1" applyAlignment="1" applyProtection="1">
      <alignment horizontal="left" vertical="center" wrapText="1"/>
      <protection locked="0"/>
    </xf>
    <xf numFmtId="0" fontId="1" fillId="3" borderId="0" xfId="0" applyFont="1" applyFill="1" applyAlignment="1">
      <alignment horizontal="left"/>
    </xf>
    <xf numFmtId="0" fontId="4" fillId="3" borderId="0" xfId="0" applyFont="1" applyFill="1" applyAlignment="1">
      <alignment horizontal="left" vertical="center"/>
    </xf>
    <xf numFmtId="0" fontId="1" fillId="0" borderId="13" xfId="0" applyFont="1" applyBorder="1" applyAlignment="1">
      <alignment horizontal="left" vertical="center" wrapText="1"/>
    </xf>
    <xf numFmtId="0" fontId="4" fillId="3" borderId="7" xfId="0" applyFont="1" applyFill="1" applyBorder="1" applyAlignment="1">
      <alignment horizontal="left" vertical="center"/>
    </xf>
    <xf numFmtId="0" fontId="4" fillId="3" borderId="8" xfId="0" applyFont="1" applyFill="1" applyBorder="1" applyAlignment="1">
      <alignment horizontal="left" vertical="center"/>
    </xf>
    <xf numFmtId="0" fontId="1" fillId="2" borderId="3" xfId="0" applyFont="1" applyFill="1" applyBorder="1" applyAlignment="1">
      <alignment horizontal="left" vertical="center"/>
    </xf>
    <xf numFmtId="0" fontId="1" fillId="4"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1" fillId="5" borderId="1" xfId="0" applyFont="1" applyFill="1" applyBorder="1" applyAlignment="1">
      <alignment horizontal="left" vertical="center" wrapText="1"/>
    </xf>
    <xf numFmtId="0" fontId="1" fillId="6" borderId="1" xfId="0" applyFont="1" applyFill="1" applyBorder="1" applyAlignment="1">
      <alignment horizontal="left" vertical="center" wrapText="1"/>
    </xf>
    <xf numFmtId="0" fontId="1" fillId="0" borderId="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1" fillId="0" borderId="0" xfId="0" applyFont="1" applyAlignment="1">
      <alignment horizontal="left"/>
    </xf>
    <xf numFmtId="0" fontId="4" fillId="3" borderId="3" xfId="0" applyFont="1" applyFill="1" applyBorder="1" applyAlignment="1">
      <alignment horizontal="left" vertical="center"/>
    </xf>
    <xf numFmtId="0" fontId="4" fillId="3" borderId="4" xfId="0" applyFont="1" applyFill="1" applyBorder="1" applyAlignment="1">
      <alignment horizontal="left" vertical="center"/>
    </xf>
    <xf numFmtId="14" fontId="1" fillId="2" borderId="4" xfId="0" applyNumberFormat="1" applyFont="1" applyFill="1" applyBorder="1" applyAlignment="1">
      <alignment horizontal="right" vertical="center"/>
    </xf>
    <xf numFmtId="0" fontId="1" fillId="2" borderId="4" xfId="0" applyFont="1" applyFill="1" applyBorder="1" applyAlignment="1">
      <alignment horizontal="right" vertical="center"/>
    </xf>
    <xf numFmtId="0" fontId="7" fillId="0" borderId="0" xfId="0" applyFont="1" applyBorder="1" applyAlignment="1">
      <alignment vertical="center"/>
    </xf>
    <xf numFmtId="0" fontId="6" fillId="0" borderId="0" xfId="0" applyFont="1" applyBorder="1"/>
    <xf numFmtId="0" fontId="6" fillId="0" borderId="0" xfId="0" applyFont="1" applyBorder="1" applyAlignment="1">
      <alignment wrapText="1"/>
    </xf>
    <xf numFmtId="0" fontId="7" fillId="0" borderId="0" xfId="0" applyFont="1" applyBorder="1"/>
    <xf numFmtId="0" fontId="12" fillId="3" borderId="0" xfId="0" applyFont="1" applyFill="1" applyAlignment="1">
      <alignment horizontal="left" vertical="center"/>
    </xf>
    <xf numFmtId="0" fontId="5" fillId="2" borderId="2" xfId="0" applyFont="1" applyFill="1" applyBorder="1" applyAlignment="1">
      <alignment vertical="center"/>
    </xf>
    <xf numFmtId="0" fontId="1" fillId="2" borderId="8" xfId="0" applyFont="1" applyFill="1" applyBorder="1" applyAlignment="1">
      <alignment horizontal="right" vertical="center"/>
    </xf>
    <xf numFmtId="0" fontId="5" fillId="2" borderId="4" xfId="0" applyFont="1" applyFill="1" applyBorder="1" applyAlignment="1">
      <alignment horizontal="right" vertical="center"/>
    </xf>
    <xf numFmtId="0" fontId="1" fillId="0" borderId="0" xfId="0" applyFont="1" applyBorder="1"/>
    <xf numFmtId="0" fontId="1" fillId="0" borderId="0" xfId="0" applyFont="1" applyBorder="1" applyAlignment="1">
      <alignment vertical="center"/>
    </xf>
    <xf numFmtId="0" fontId="1" fillId="0" borderId="0" xfId="0" applyFont="1" applyBorder="1" applyAlignment="1">
      <alignment horizontal="left"/>
    </xf>
    <xf numFmtId="0" fontId="1" fillId="0" borderId="0" xfId="0" applyFont="1" applyBorder="1" applyAlignment="1">
      <alignment horizontal="left" vertical="center"/>
    </xf>
    <xf numFmtId="0" fontId="1" fillId="0" borderId="0" xfId="0" applyFont="1" applyFill="1" applyBorder="1" applyAlignment="1">
      <alignment horizontal="left" vertical="center"/>
    </xf>
    <xf numFmtId="0" fontId="1" fillId="9" borderId="2" xfId="0" applyFont="1" applyFill="1" applyBorder="1" applyAlignment="1">
      <alignment vertical="center"/>
    </xf>
    <xf numFmtId="0" fontId="1" fillId="9" borderId="3" xfId="0" applyFont="1" applyFill="1" applyBorder="1" applyAlignment="1">
      <alignment horizontal="left" vertical="center"/>
    </xf>
    <xf numFmtId="0" fontId="1" fillId="9" borderId="4" xfId="0" applyFont="1" applyFill="1" applyBorder="1" applyAlignment="1">
      <alignment horizontal="left" vertical="center"/>
    </xf>
    <xf numFmtId="0" fontId="0" fillId="0" borderId="0" xfId="0" applyBorder="1" applyAlignment="1">
      <alignment vertical="center"/>
    </xf>
    <xf numFmtId="0" fontId="0" fillId="0" borderId="0" xfId="0" applyBorder="1" applyAlignment="1">
      <alignment horizontal="left" vertical="center"/>
    </xf>
    <xf numFmtId="0" fontId="1" fillId="0" borderId="0" xfId="0" applyFont="1" applyAlignment="1">
      <alignment horizontal="center" vertical="center"/>
    </xf>
    <xf numFmtId="0" fontId="1" fillId="2" borderId="7" xfId="0" applyFont="1" applyFill="1" applyBorder="1" applyAlignment="1">
      <alignment vertical="center"/>
    </xf>
    <xf numFmtId="0" fontId="1" fillId="2" borderId="7" xfId="0" applyFont="1" applyFill="1" applyBorder="1" applyAlignment="1">
      <alignment horizontal="center" vertical="center"/>
    </xf>
    <xf numFmtId="0" fontId="1" fillId="0" borderId="1" xfId="0" applyFont="1" applyBorder="1" applyAlignment="1" applyProtection="1">
      <alignment horizontal="center" vertical="center" wrapText="1"/>
      <protection locked="0"/>
    </xf>
    <xf numFmtId="14" fontId="1" fillId="0" borderId="1" xfId="0" applyNumberFormat="1" applyFont="1" applyBorder="1" applyAlignment="1" applyProtection="1">
      <alignment horizontal="center" vertical="center" wrapText="1"/>
      <protection locked="0"/>
    </xf>
    <xf numFmtId="0" fontId="1" fillId="0" borderId="0" xfId="0" applyFont="1" applyBorder="1" applyAlignment="1">
      <alignment horizontal="center"/>
    </xf>
    <xf numFmtId="0" fontId="1" fillId="2" borderId="3" xfId="0" applyFont="1" applyFill="1" applyBorder="1" applyAlignment="1">
      <alignment vertical="center"/>
    </xf>
    <xf numFmtId="0" fontId="1" fillId="2" borderId="3" xfId="0" applyFont="1" applyFill="1" applyBorder="1" applyAlignment="1">
      <alignment horizontal="center" vertical="center"/>
    </xf>
    <xf numFmtId="0" fontId="1" fillId="0" borderId="1" xfId="0" applyFont="1" applyFill="1" applyBorder="1" applyAlignment="1" applyProtection="1">
      <alignment horizontal="center" vertical="center" wrapText="1"/>
      <protection locked="0"/>
    </xf>
    <xf numFmtId="0" fontId="5" fillId="2" borderId="3" xfId="0" applyFont="1" applyFill="1" applyBorder="1" applyAlignment="1">
      <alignment vertical="center"/>
    </xf>
    <xf numFmtId="0" fontId="5" fillId="2" borderId="3" xfId="0" applyFont="1" applyFill="1" applyBorder="1" applyAlignment="1">
      <alignment horizontal="center" vertical="center"/>
    </xf>
    <xf numFmtId="0" fontId="1" fillId="0" borderId="0" xfId="0" applyFont="1" applyAlignment="1">
      <alignment horizontal="center"/>
    </xf>
    <xf numFmtId="0" fontId="7" fillId="8" borderId="0" xfId="0" applyFont="1" applyFill="1" applyBorder="1" applyAlignment="1">
      <alignment vertical="center"/>
    </xf>
    <xf numFmtId="0" fontId="6" fillId="0" borderId="9" xfId="0" applyFont="1" applyBorder="1"/>
    <xf numFmtId="0" fontId="1" fillId="0" borderId="1" xfId="0" applyFont="1" applyFill="1" applyBorder="1" applyAlignment="1" applyProtection="1">
      <alignment horizontal="left" vertical="center" wrapText="1"/>
      <protection locked="0"/>
    </xf>
    <xf numFmtId="0" fontId="1" fillId="0" borderId="1" xfId="0" applyFont="1" applyFill="1" applyBorder="1" applyAlignment="1" applyProtection="1">
      <alignment horizontal="left" vertical="center" wrapText="1"/>
      <protection locked="0"/>
    </xf>
    <xf numFmtId="164" fontId="0" fillId="0" borderId="0" xfId="0" applyNumberFormat="1"/>
    <xf numFmtId="0" fontId="6" fillId="0" borderId="9" xfId="0" applyFont="1" applyBorder="1" applyAlignment="1">
      <alignment horizontal="left"/>
    </xf>
    <xf numFmtId="0" fontId="7" fillId="0" borderId="9" xfId="0" applyFont="1" applyBorder="1" applyAlignment="1">
      <alignment horizontal="left"/>
    </xf>
    <xf numFmtId="14" fontId="7" fillId="0" borderId="9" xfId="0" applyNumberFormat="1" applyFont="1" applyBorder="1" applyAlignment="1">
      <alignment horizontal="left"/>
    </xf>
    <xf numFmtId="0" fontId="1" fillId="0" borderId="1" xfId="0" applyFont="1" applyFill="1" applyBorder="1" applyAlignment="1" applyProtection="1">
      <alignment horizontal="left" vertical="center" wrapText="1"/>
      <protection locked="0"/>
    </xf>
    <xf numFmtId="0" fontId="0" fillId="0" borderId="5" xfId="0" applyBorder="1"/>
    <xf numFmtId="0" fontId="1" fillId="0" borderId="3" xfId="0" applyFont="1" applyBorder="1" applyAlignment="1">
      <alignment horizontal="center"/>
    </xf>
    <xf numFmtId="0" fontId="1" fillId="0" borderId="3" xfId="0" applyFont="1" applyBorder="1"/>
    <xf numFmtId="0" fontId="1" fillId="0" borderId="1" xfId="0" applyFont="1" applyFill="1" applyBorder="1" applyAlignment="1" applyProtection="1">
      <alignment horizontal="left" vertical="center" wrapText="1"/>
      <protection locked="0"/>
    </xf>
    <xf numFmtId="0" fontId="1" fillId="0" borderId="14" xfId="0" applyFont="1" applyBorder="1" applyAlignment="1">
      <alignment horizontal="left" vertical="center" wrapText="1"/>
    </xf>
    <xf numFmtId="0" fontId="0" fillId="0" borderId="0" xfId="0" applyFont="1" applyAlignment="1">
      <alignment vertical="center" wrapText="1"/>
    </xf>
    <xf numFmtId="0" fontId="8" fillId="0" borderId="0" xfId="0" applyFont="1" applyAlignment="1">
      <alignment vertical="center" wrapText="1"/>
    </xf>
    <xf numFmtId="2" fontId="4" fillId="0" borderId="0" xfId="0" applyNumberFormat="1" applyFont="1" applyFill="1" applyAlignment="1">
      <alignment horizontal="right" vertical="center"/>
    </xf>
    <xf numFmtId="2" fontId="0" fillId="0" borderId="0" xfId="0" applyNumberFormat="1"/>
    <xf numFmtId="2" fontId="0" fillId="0" borderId="0" xfId="0" applyNumberFormat="1" applyFont="1" applyFill="1" applyBorder="1" applyAlignment="1">
      <alignment horizontal="left" vertical="top" wrapText="1"/>
    </xf>
    <xf numFmtId="2" fontId="0" fillId="0" borderId="0" xfId="0" applyNumberFormat="1" applyFont="1" applyAlignment="1">
      <alignment vertical="center" wrapText="1"/>
    </xf>
    <xf numFmtId="2" fontId="0" fillId="0" borderId="0" xfId="0" applyNumberFormat="1" applyFont="1" applyFill="1" applyBorder="1" applyAlignment="1">
      <alignment horizontal="left" vertical="top"/>
    </xf>
    <xf numFmtId="2" fontId="0" fillId="0" borderId="0" xfId="0" applyNumberFormat="1" applyFont="1" applyAlignment="1">
      <alignment vertical="center"/>
    </xf>
    <xf numFmtId="2" fontId="1" fillId="0" borderId="0" xfId="0" applyNumberFormat="1" applyFont="1" applyFill="1" applyBorder="1" applyAlignment="1">
      <alignment horizontal="left" vertical="center" wrapText="1"/>
    </xf>
    <xf numFmtId="2" fontId="0" fillId="0" borderId="0" xfId="0" applyNumberFormat="1" applyAlignment="1">
      <alignment horizontal="center" vertical="center"/>
    </xf>
    <xf numFmtId="2" fontId="6" fillId="4" borderId="1" xfId="0" applyNumberFormat="1" applyFont="1" applyFill="1" applyBorder="1" applyAlignment="1">
      <alignment horizontal="center" vertical="center"/>
    </xf>
    <xf numFmtId="2" fontId="6" fillId="7" borderId="4" xfId="0" applyNumberFormat="1" applyFont="1" applyFill="1" applyBorder="1" applyAlignment="1">
      <alignment horizontal="center" vertical="center" wrapText="1"/>
    </xf>
    <xf numFmtId="2" fontId="6" fillId="5" borderId="1" xfId="0" applyNumberFormat="1" applyFont="1" applyFill="1" applyBorder="1" applyAlignment="1">
      <alignment horizontal="center" vertical="center"/>
    </xf>
    <xf numFmtId="2" fontId="9" fillId="6" borderId="1" xfId="0" applyNumberFormat="1" applyFont="1" applyFill="1" applyBorder="1" applyAlignment="1">
      <alignment horizontal="center" vertical="center"/>
    </xf>
    <xf numFmtId="2" fontId="1" fillId="0" borderId="0" xfId="0" applyNumberFormat="1" applyFont="1" applyFill="1" applyAlignment="1">
      <alignment horizontal="left"/>
    </xf>
    <xf numFmtId="2" fontId="1" fillId="0" borderId="0" xfId="0" applyNumberFormat="1" applyFont="1" applyFill="1" applyBorder="1" applyAlignment="1">
      <alignment horizontal="right" vertical="center"/>
    </xf>
    <xf numFmtId="2" fontId="0" fillId="0" borderId="0" xfId="0" applyNumberFormat="1" applyAlignment="1">
      <alignment horizontal="left" vertical="center"/>
    </xf>
    <xf numFmtId="2" fontId="4" fillId="0" borderId="0" xfId="0" applyNumberFormat="1" applyFont="1" applyFill="1" applyBorder="1" applyAlignment="1">
      <alignment horizontal="left" vertical="center"/>
    </xf>
    <xf numFmtId="2" fontId="0" fillId="0" borderId="0" xfId="0" applyNumberFormat="1" applyAlignment="1">
      <alignment vertical="center"/>
    </xf>
    <xf numFmtId="2" fontId="1" fillId="0" borderId="0" xfId="0" applyNumberFormat="1" applyFont="1" applyFill="1" applyAlignment="1">
      <alignment horizontal="left" vertical="center"/>
    </xf>
    <xf numFmtId="0" fontId="1" fillId="0" borderId="1" xfId="0" applyFont="1" applyFill="1" applyBorder="1" applyAlignment="1" applyProtection="1">
      <alignment horizontal="left" vertical="center" wrapText="1"/>
      <protection locked="0"/>
    </xf>
    <xf numFmtId="0" fontId="1" fillId="0" borderId="4" xfId="0" applyFont="1" applyBorder="1" applyAlignment="1">
      <alignment vertical="center"/>
    </xf>
    <xf numFmtId="0" fontId="1" fillId="0" borderId="0" xfId="0" applyFont="1" applyAlignment="1">
      <alignment horizontal="center"/>
    </xf>
    <xf numFmtId="0" fontId="1" fillId="10" borderId="2" xfId="0" applyFont="1" applyFill="1" applyBorder="1" applyAlignment="1">
      <alignment vertical="center"/>
    </xf>
    <xf numFmtId="0" fontId="1" fillId="0" borderId="4" xfId="0" applyFont="1" applyBorder="1" applyAlignment="1">
      <alignment vertical="center"/>
    </xf>
    <xf numFmtId="0" fontId="12" fillId="3" borderId="0" xfId="0" applyFont="1" applyFill="1" applyAlignment="1">
      <alignment horizontal="left" vertical="center"/>
    </xf>
    <xf numFmtId="0" fontId="1" fillId="0" borderId="3" xfId="0" applyFont="1" applyBorder="1" applyAlignment="1">
      <alignment vertical="center"/>
    </xf>
    <xf numFmtId="0" fontId="1" fillId="0" borderId="1" xfId="0" applyFont="1" applyBorder="1" applyAlignment="1">
      <alignment horizontal="center" vertical="center"/>
    </xf>
    <xf numFmtId="0" fontId="1" fillId="0" borderId="14" xfId="0" applyFont="1" applyBorder="1" applyAlignment="1">
      <alignment vertical="center"/>
    </xf>
    <xf numFmtId="0" fontId="1" fillId="0" borderId="13" xfId="0" applyFont="1" applyBorder="1" applyAlignment="1">
      <alignment vertical="center"/>
    </xf>
    <xf numFmtId="0" fontId="1" fillId="10" borderId="3" xfId="0" applyFont="1" applyFill="1" applyBorder="1" applyAlignment="1">
      <alignment vertical="center"/>
    </xf>
    <xf numFmtId="0" fontId="1" fillId="0" borderId="0" xfId="0" applyFont="1" applyBorder="1" applyAlignment="1">
      <alignment horizontal="center" vertical="center"/>
    </xf>
    <xf numFmtId="0" fontId="1" fillId="10" borderId="2" xfId="0" applyFont="1" applyFill="1" applyBorder="1" applyAlignment="1">
      <alignment horizontal="left" vertical="center"/>
    </xf>
    <xf numFmtId="0" fontId="1" fillId="9" borderId="2" xfId="0" applyFont="1" applyFill="1" applyBorder="1" applyAlignment="1">
      <alignment horizontal="left" vertical="center"/>
    </xf>
    <xf numFmtId="165" fontId="4" fillId="3" borderId="0" xfId="2" applyNumberFormat="1" applyFont="1" applyFill="1" applyAlignment="1">
      <alignment vertical="center"/>
    </xf>
    <xf numFmtId="166" fontId="1" fillId="3" borderId="0" xfId="2" applyNumberFormat="1" applyFont="1" applyFill="1" applyAlignment="1">
      <alignment horizontal="center" vertical="center"/>
    </xf>
    <xf numFmtId="166" fontId="4" fillId="3" borderId="0" xfId="2" applyNumberFormat="1" applyFont="1" applyFill="1" applyAlignment="1">
      <alignment vertical="center" wrapText="1"/>
    </xf>
    <xf numFmtId="166" fontId="1" fillId="0" borderId="0" xfId="2" applyNumberFormat="1" applyFont="1" applyAlignment="1">
      <alignment horizontal="center" vertical="center"/>
    </xf>
    <xf numFmtId="166" fontId="1" fillId="10" borderId="3" xfId="2" applyNumberFormat="1" applyFont="1" applyFill="1" applyBorder="1" applyAlignment="1">
      <alignment horizontal="center" vertical="center"/>
    </xf>
    <xf numFmtId="166" fontId="1" fillId="4" borderId="1" xfId="2" applyNumberFormat="1" applyFont="1" applyFill="1" applyBorder="1" applyAlignment="1">
      <alignment horizontal="center" vertical="center"/>
    </xf>
    <xf numFmtId="166" fontId="1" fillId="7" borderId="1" xfId="2" applyNumberFormat="1" applyFont="1" applyFill="1" applyBorder="1" applyAlignment="1">
      <alignment horizontal="center" vertical="center"/>
    </xf>
    <xf numFmtId="166" fontId="1" fillId="5" borderId="1" xfId="2" applyNumberFormat="1" applyFont="1" applyFill="1" applyBorder="1" applyAlignment="1">
      <alignment horizontal="center" vertical="center"/>
    </xf>
    <xf numFmtId="166" fontId="1" fillId="6" borderId="1" xfId="2" applyNumberFormat="1" applyFont="1" applyFill="1" applyBorder="1" applyAlignment="1">
      <alignment horizontal="center" vertical="center"/>
    </xf>
    <xf numFmtId="166" fontId="1" fillId="0" borderId="0" xfId="2" applyNumberFormat="1" applyFont="1" applyFill="1" applyBorder="1" applyAlignment="1">
      <alignment horizontal="center" vertical="center"/>
    </xf>
    <xf numFmtId="166" fontId="1" fillId="9" borderId="3" xfId="2" applyNumberFormat="1" applyFont="1" applyFill="1" applyBorder="1" applyAlignment="1">
      <alignment horizontal="center" vertical="center"/>
    </xf>
    <xf numFmtId="0" fontId="1" fillId="0" borderId="0" xfId="0" applyFont="1" applyAlignment="1">
      <alignment horizontal="center"/>
    </xf>
    <xf numFmtId="166" fontId="1" fillId="6" borderId="2" xfId="2" applyNumberFormat="1" applyFont="1" applyFill="1" applyBorder="1" applyAlignment="1">
      <alignment horizontal="center" vertical="center"/>
    </xf>
    <xf numFmtId="0" fontId="1" fillId="10" borderId="7" xfId="0" applyFont="1" applyFill="1" applyBorder="1" applyAlignment="1">
      <alignment vertical="center"/>
    </xf>
    <xf numFmtId="0" fontId="1" fillId="9" borderId="7" xfId="0" applyFont="1" applyFill="1" applyBorder="1" applyAlignment="1">
      <alignment vertical="center"/>
    </xf>
    <xf numFmtId="0" fontId="1" fillId="0" borderId="1" xfId="0" applyFont="1" applyBorder="1" applyAlignment="1">
      <alignment vertical="center"/>
    </xf>
    <xf numFmtId="0" fontId="4" fillId="0" borderId="0" xfId="0" applyFont="1"/>
    <xf numFmtId="0" fontId="4" fillId="0" borderId="0" xfId="0" applyFont="1" applyAlignment="1">
      <alignment vertical="center"/>
    </xf>
    <xf numFmtId="0" fontId="6" fillId="7" borderId="4" xfId="0" applyFont="1" applyFill="1" applyBorder="1" applyAlignment="1">
      <alignment horizontal="center" vertical="center" wrapText="1"/>
    </xf>
    <xf numFmtId="0" fontId="0" fillId="0" borderId="0" xfId="0" applyFont="1" applyFill="1"/>
    <xf numFmtId="0" fontId="8" fillId="0" borderId="0" xfId="0" applyFont="1" applyFill="1"/>
    <xf numFmtId="0" fontId="1" fillId="0" borderId="0" xfId="0" applyFont="1" applyFill="1" applyAlignment="1">
      <alignment horizontal="center"/>
    </xf>
    <xf numFmtId="0" fontId="6" fillId="0" borderId="7" xfId="0" applyFont="1" applyFill="1" applyBorder="1" applyAlignment="1">
      <alignment horizontal="center" vertical="center" wrapText="1"/>
    </xf>
    <xf numFmtId="0" fontId="6" fillId="0" borderId="7" xfId="0" applyFont="1" applyFill="1" applyBorder="1" applyAlignment="1">
      <alignment horizontal="center" vertical="center"/>
    </xf>
    <xf numFmtId="0" fontId="9" fillId="0" borderId="7" xfId="0" applyFont="1" applyFill="1" applyBorder="1" applyAlignment="1">
      <alignment horizontal="center" vertical="center"/>
    </xf>
    <xf numFmtId="2" fontId="6" fillId="0" borderId="7" xfId="0" applyNumberFormat="1" applyFont="1" applyFill="1" applyBorder="1" applyAlignment="1">
      <alignment horizontal="center" vertical="center"/>
    </xf>
    <xf numFmtId="2" fontId="6" fillId="0" borderId="7" xfId="0" applyNumberFormat="1" applyFont="1" applyFill="1" applyBorder="1" applyAlignment="1">
      <alignment horizontal="center" vertical="center" wrapText="1"/>
    </xf>
    <xf numFmtId="2" fontId="9" fillId="0" borderId="7" xfId="0" applyNumberFormat="1" applyFont="1" applyFill="1" applyBorder="1" applyAlignment="1">
      <alignment horizontal="center" vertical="center"/>
    </xf>
    <xf numFmtId="0" fontId="1" fillId="0" borderId="1" xfId="0" applyFont="1" applyBorder="1" applyAlignment="1">
      <alignment horizontal="left" vertical="center"/>
    </xf>
    <xf numFmtId="0" fontId="6" fillId="0" borderId="0" xfId="0" applyFont="1" applyFill="1" applyBorder="1" applyAlignment="1">
      <alignment horizontal="left" vertical="center"/>
    </xf>
    <xf numFmtId="0" fontId="1" fillId="10" borderId="3" xfId="0" applyFont="1" applyFill="1" applyBorder="1" applyAlignment="1">
      <alignment horizontal="left" vertical="center"/>
    </xf>
    <xf numFmtId="0" fontId="4" fillId="0" borderId="0" xfId="0" applyFont="1" applyBorder="1" applyAlignment="1">
      <alignment horizontal="left" vertical="center"/>
    </xf>
    <xf numFmtId="0" fontId="1" fillId="10" borderId="7" xfId="0" applyFont="1" applyFill="1" applyBorder="1" applyAlignment="1">
      <alignment horizontal="left" vertical="center"/>
    </xf>
    <xf numFmtId="0" fontId="1" fillId="9" borderId="7" xfId="0" applyFont="1" applyFill="1" applyBorder="1" applyAlignment="1">
      <alignment horizontal="left" vertical="center"/>
    </xf>
    <xf numFmtId="0" fontId="1" fillId="0" borderId="15" xfId="0" applyFont="1" applyBorder="1" applyAlignment="1">
      <alignment vertical="center"/>
    </xf>
    <xf numFmtId="0" fontId="1" fillId="0" borderId="15" xfId="0" applyFont="1" applyBorder="1" applyAlignment="1">
      <alignment horizontal="center" vertical="center"/>
    </xf>
    <xf numFmtId="0" fontId="1" fillId="0" borderId="15" xfId="0" applyFont="1" applyBorder="1" applyAlignment="1">
      <alignment horizontal="left" vertical="center"/>
    </xf>
    <xf numFmtId="166" fontId="1" fillId="4" borderId="15" xfId="2" applyNumberFormat="1" applyFont="1" applyFill="1" applyBorder="1" applyAlignment="1">
      <alignment horizontal="center" vertical="center"/>
    </xf>
    <xf numFmtId="166" fontId="1" fillId="7" borderId="15" xfId="2" applyNumberFormat="1" applyFont="1" applyFill="1" applyBorder="1" applyAlignment="1">
      <alignment horizontal="center" vertical="center"/>
    </xf>
    <xf numFmtId="166" fontId="1" fillId="5" borderId="15" xfId="2" applyNumberFormat="1" applyFont="1" applyFill="1" applyBorder="1" applyAlignment="1">
      <alignment horizontal="center" vertical="center"/>
    </xf>
    <xf numFmtId="166" fontId="1" fillId="6" borderId="15" xfId="2" applyNumberFormat="1" applyFont="1" applyFill="1" applyBorder="1" applyAlignment="1">
      <alignment horizontal="center" vertical="center"/>
    </xf>
    <xf numFmtId="0" fontId="1" fillId="0" borderId="1" xfId="0" applyFont="1" applyFill="1" applyBorder="1" applyAlignment="1" applyProtection="1">
      <alignment horizontal="left" vertical="center" wrapText="1"/>
      <protection locked="0"/>
    </xf>
    <xf numFmtId="0" fontId="1" fillId="0" borderId="1" xfId="0" applyFont="1" applyBorder="1" applyAlignment="1" applyProtection="1">
      <alignment horizontal="left" vertical="center" wrapText="1"/>
      <protection locked="0"/>
    </xf>
    <xf numFmtId="0" fontId="12" fillId="3" borderId="0" xfId="0" applyFont="1" applyFill="1" applyAlignment="1">
      <alignment horizontal="left" vertical="center"/>
    </xf>
    <xf numFmtId="0" fontId="1" fillId="0" borderId="0" xfId="0" applyFont="1" applyAlignment="1">
      <alignment horizontal="center"/>
    </xf>
    <xf numFmtId="0" fontId="12" fillId="3" borderId="0" xfId="0" applyFont="1" applyFill="1" applyAlignment="1">
      <alignment horizontal="left" vertical="center"/>
    </xf>
    <xf numFmtId="0" fontId="1" fillId="0" borderId="4" xfId="0" applyFont="1" applyBorder="1" applyAlignment="1">
      <alignment vertical="center"/>
    </xf>
    <xf numFmtId="0" fontId="1" fillId="0" borderId="0" xfId="0" applyFont="1" applyAlignment="1">
      <alignment horizontal="center"/>
    </xf>
    <xf numFmtId="0" fontId="1" fillId="0" borderId="1" xfId="0" applyFont="1" applyFill="1" applyBorder="1" applyAlignment="1" applyProtection="1">
      <alignment horizontal="left" vertical="center" wrapText="1"/>
      <protection locked="0"/>
    </xf>
    <xf numFmtId="0" fontId="1" fillId="0" borderId="4" xfId="0" applyFont="1" applyBorder="1" applyAlignment="1">
      <alignment vertical="center"/>
    </xf>
    <xf numFmtId="0" fontId="10" fillId="8" borderId="0" xfId="0" applyFont="1" applyFill="1" applyBorder="1" applyAlignment="1">
      <alignment horizontal="left" vertical="center" wrapText="1"/>
    </xf>
    <xf numFmtId="0" fontId="13" fillId="8" borderId="0" xfId="0" applyFont="1" applyFill="1" applyBorder="1" applyAlignment="1">
      <alignment horizontal="right" vertical="center" wrapText="1"/>
    </xf>
    <xf numFmtId="0" fontId="4" fillId="3" borderId="0" xfId="0" applyFont="1" applyFill="1" applyAlignment="1">
      <alignment horizontal="right" vertical="center" wrapText="1"/>
    </xf>
    <xf numFmtId="0" fontId="4" fillId="3" borderId="0" xfId="0" applyFont="1" applyFill="1" applyAlignment="1">
      <alignment horizontal="right" vertical="center"/>
    </xf>
    <xf numFmtId="0" fontId="1" fillId="0" borderId="11" xfId="0" applyFont="1" applyBorder="1" applyAlignment="1">
      <alignment horizontal="left" vertical="top"/>
    </xf>
    <xf numFmtId="0" fontId="1" fillId="0" borderId="6" xfId="0" applyFont="1" applyBorder="1" applyAlignment="1">
      <alignment horizontal="left" vertical="top"/>
    </xf>
    <xf numFmtId="0" fontId="0" fillId="0" borderId="12" xfId="0" applyFont="1" applyBorder="1" applyAlignment="1">
      <alignment horizontal="left" vertical="top" wrapText="1"/>
    </xf>
    <xf numFmtId="0" fontId="0" fillId="0" borderId="7"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xf>
    <xf numFmtId="0" fontId="0" fillId="0" borderId="0" xfId="0" applyFont="1" applyBorder="1" applyAlignment="1">
      <alignment horizontal="left" vertical="top"/>
    </xf>
    <xf numFmtId="0" fontId="0" fillId="0" borderId="10" xfId="0" applyFont="1" applyBorder="1" applyAlignment="1">
      <alignment horizontal="left" vertical="top"/>
    </xf>
    <xf numFmtId="0" fontId="1" fillId="0" borderId="2" xfId="0" applyFont="1" applyBorder="1" applyAlignment="1">
      <alignment vertical="center"/>
    </xf>
    <xf numFmtId="0" fontId="1" fillId="0" borderId="4" xfId="0" applyFont="1" applyBorder="1" applyAlignment="1">
      <alignment vertical="center"/>
    </xf>
    <xf numFmtId="0" fontId="1" fillId="0" borderId="1" xfId="0" applyFont="1" applyFill="1" applyBorder="1" applyAlignment="1">
      <alignment horizontal="center" vertical="center" wrapText="1"/>
    </xf>
    <xf numFmtId="0" fontId="14" fillId="0" borderId="2" xfId="1" applyFont="1" applyFill="1" applyBorder="1" applyAlignment="1" applyProtection="1">
      <alignment horizontal="left" vertical="center" wrapText="1"/>
      <protection locked="0"/>
    </xf>
    <xf numFmtId="0" fontId="14" fillId="0" borderId="4" xfId="1" applyFont="1" applyFill="1" applyBorder="1" applyAlignment="1" applyProtection="1">
      <alignment horizontal="left" vertical="center" wrapText="1"/>
      <protection locked="0"/>
    </xf>
    <xf numFmtId="0" fontId="14" fillId="0" borderId="1" xfId="1" applyFont="1" applyFill="1" applyBorder="1" applyAlignment="1" applyProtection="1">
      <alignment horizontal="left" vertical="center" wrapText="1"/>
      <protection locked="0"/>
    </xf>
    <xf numFmtId="0" fontId="14" fillId="0" borderId="2" xfId="1" applyFont="1" applyBorder="1" applyAlignment="1">
      <alignment vertical="center"/>
    </xf>
    <xf numFmtId="0" fontId="14" fillId="0" borderId="4" xfId="1" applyFont="1" applyBorder="1" applyAlignment="1">
      <alignment vertical="center"/>
    </xf>
    <xf numFmtId="0" fontId="12" fillId="3" borderId="0" xfId="0" applyFont="1" applyFill="1" applyAlignment="1">
      <alignment horizontal="left" vertical="center"/>
    </xf>
    <xf numFmtId="0" fontId="2" fillId="0" borderId="0" xfId="0" applyFont="1" applyAlignment="1">
      <alignment horizontal="left" vertical="top"/>
    </xf>
    <xf numFmtId="0" fontId="1" fillId="0" borderId="2"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6" fillId="0" borderId="10" xfId="0" applyFont="1" applyBorder="1" applyAlignment="1">
      <alignment horizontal="center"/>
    </xf>
    <xf numFmtId="0" fontId="14" fillId="0" borderId="2" xfId="1" applyFont="1" applyBorder="1" applyAlignment="1" applyProtection="1">
      <alignment horizontal="left" vertical="center" wrapText="1"/>
      <protection locked="0"/>
    </xf>
    <xf numFmtId="0" fontId="14" fillId="0" borderId="4" xfId="1" applyFont="1" applyBorder="1" applyAlignment="1" applyProtection="1">
      <alignment horizontal="left" vertical="center" wrapText="1"/>
      <protection locked="0"/>
    </xf>
    <xf numFmtId="0" fontId="1" fillId="0" borderId="1" xfId="0" applyFont="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0" fontId="14" fillId="0" borderId="1" xfId="1" applyFont="1" applyBorder="1" applyAlignment="1">
      <alignment vertical="center"/>
    </xf>
    <xf numFmtId="0" fontId="1" fillId="0" borderId="1" xfId="0" applyFont="1" applyFill="1" applyBorder="1" applyAlignment="1" applyProtection="1">
      <alignment horizontal="left" vertical="center" wrapText="1"/>
      <protection locked="0"/>
    </xf>
    <xf numFmtId="0" fontId="14" fillId="0" borderId="1" xfId="1" applyFont="1" applyBorder="1" applyAlignment="1">
      <alignment vertical="center" wrapText="1"/>
    </xf>
    <xf numFmtId="165" fontId="4" fillId="3" borderId="13" xfId="2" applyNumberFormat="1" applyFont="1" applyFill="1" applyBorder="1" applyAlignment="1">
      <alignment horizontal="right" vertical="center" wrapText="1"/>
    </xf>
    <xf numFmtId="165" fontId="4" fillId="3" borderId="13" xfId="2" applyNumberFormat="1" applyFont="1" applyFill="1" applyBorder="1" applyAlignment="1">
      <alignment horizontal="right" vertical="center"/>
    </xf>
    <xf numFmtId="0" fontId="0" fillId="0" borderId="6" xfId="0" applyFont="1" applyBorder="1" applyAlignment="1">
      <alignment horizontal="left" vertical="top"/>
    </xf>
    <xf numFmtId="0" fontId="0" fillId="0" borderId="13" xfId="0" applyFont="1" applyBorder="1" applyAlignment="1">
      <alignment horizontal="left" vertical="top"/>
    </xf>
    <xf numFmtId="0" fontId="0" fillId="0" borderId="14" xfId="0" applyFont="1" applyBorder="1" applyAlignment="1">
      <alignment horizontal="left" vertical="top"/>
    </xf>
    <xf numFmtId="0" fontId="1" fillId="9" borderId="3" xfId="0" applyFont="1" applyFill="1" applyBorder="1" applyAlignment="1">
      <alignment horizontal="right" vertical="center"/>
    </xf>
    <xf numFmtId="0" fontId="1" fillId="9" borderId="4" xfId="0" applyFont="1" applyFill="1" applyBorder="1" applyAlignment="1">
      <alignment horizontal="right" vertical="center"/>
    </xf>
    <xf numFmtId="0" fontId="1" fillId="10" borderId="3" xfId="0" applyFont="1" applyFill="1" applyBorder="1" applyAlignment="1">
      <alignment horizontal="right" vertical="center"/>
    </xf>
    <xf numFmtId="0" fontId="1" fillId="10" borderId="4" xfId="0" applyFont="1" applyFill="1" applyBorder="1" applyAlignment="1">
      <alignment horizontal="right" vertical="center"/>
    </xf>
    <xf numFmtId="0" fontId="1" fillId="0" borderId="0" xfId="0" applyFont="1" applyAlignment="1">
      <alignment horizontal="center"/>
    </xf>
  </cellXfs>
  <cellStyles count="3">
    <cellStyle name="Hyperlink" xfId="1" builtinId="8"/>
    <cellStyle name="Normal" xfId="0" builtinId="0"/>
    <cellStyle name="Percent" xfId="2" builtinId="5"/>
  </cellStyles>
  <dxfs count="235">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FFE5"/>
        </patternFill>
      </fill>
    </dxf>
    <dxf>
      <fill>
        <patternFill>
          <bgColor rgb="FFFFE5E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patternType="none">
          <bgColor indexed="65"/>
        </patternFill>
      </fill>
    </dxf>
    <dxf>
      <fill>
        <patternFill>
          <bgColor rgb="FFE5E5E5"/>
        </patternFill>
      </fill>
    </dxf>
    <dxf>
      <fill>
        <patternFill>
          <bgColor rgb="FFFFE5E5"/>
        </patternFill>
      </fill>
    </dxf>
    <dxf>
      <fill>
        <patternFill patternType="none">
          <bgColor indexed="6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bgColor rgb="FFFFE5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patternType="none">
          <bgColor indexed="6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
      <fill>
        <patternFill>
          <bgColor rgb="FFE5FFE5"/>
        </patternFill>
      </fill>
    </dxf>
    <dxf>
      <fill>
        <patternFill>
          <bgColor rgb="FFFFE5E5"/>
        </patternFill>
      </fill>
    </dxf>
    <dxf>
      <fill>
        <patternFill>
          <bgColor rgb="FFFFFFE5"/>
        </patternFill>
      </fill>
    </dxf>
    <dxf>
      <fill>
        <patternFill patternType="none">
          <bgColor indexed="65"/>
        </patternFill>
      </fill>
    </dxf>
    <dxf>
      <fill>
        <patternFill>
          <bgColor rgb="FFE5E5E5"/>
        </patternFill>
      </fill>
    </dxf>
  </dxfs>
  <tableStyles count="0" defaultTableStyle="TableStyleMedium2" defaultPivotStyle="PivotStyleLight16"/>
  <colors>
    <mruColors>
      <color rgb="FF30327F"/>
      <color rgb="FFCCECFF"/>
      <color rgb="FFE5E5E5"/>
      <color rgb="FFFFE5E5"/>
      <color rgb="FFFFFFE5"/>
      <color rgb="FFE5FFE5"/>
      <color rgb="FFDDEBF7"/>
      <color rgb="FFFFD9D9"/>
      <color rgb="FFFF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imr.afms.mil/imr/MyIMR.aspx" TargetMode="External"/><Relationship Id="rId13" Type="http://schemas.openxmlformats.org/officeDocument/2006/relationships/hyperlink" Target="https://imr.afms.mil/imr/MyIMR.aspx" TargetMode="External"/><Relationship Id="rId18" Type="http://schemas.openxmlformats.org/officeDocument/2006/relationships/hyperlink" Target="../../../SAFETY/JSTO/JSTO%2011%20SOIS%20CAO%2017Jul18.docx" TargetMode="External"/><Relationship Id="rId3" Type="http://schemas.openxmlformats.org/officeDocument/2006/relationships/hyperlink" Target="https://dtsproweb.defensetravel.osd.mil/dts-app/pubsite/all/view/" TargetMode="External"/><Relationship Id="rId21" Type="http://schemas.openxmlformats.org/officeDocument/2006/relationships/printerSettings" Target="../printerSettings/printerSettings4.bin"/><Relationship Id="rId7" Type="http://schemas.openxmlformats.org/officeDocument/2006/relationships/hyperlink" Target="https://imr.afms.mil/imr/MyIMR.aspx" TargetMode="External"/><Relationship Id="rId12" Type="http://schemas.openxmlformats.org/officeDocument/2006/relationships/hyperlink" Target="https://imr.afms.mil/imr/MyIMR.aspx" TargetMode="External"/><Relationship Id="rId17" Type="http://schemas.openxmlformats.org/officeDocument/2006/relationships/hyperlink" Target="../../../SAFETY/JSTO/JSTO%2011%20SOIS%20CAO%2017Jul18.docx" TargetMode="External"/><Relationship Id="rId2" Type="http://schemas.openxmlformats.org/officeDocument/2006/relationships/hyperlink" Target="https://afpaas.af.mil/cas/login?service=https%3A%2F%2Fafpaas.af.mil%2F" TargetMode="External"/><Relationship Id="rId16" Type="http://schemas.openxmlformats.org/officeDocument/2006/relationships/hyperlink" Target="https://golearn.adls.af.mil/login.aspx" TargetMode="External"/><Relationship Id="rId20" Type="http://schemas.openxmlformats.org/officeDocument/2006/relationships/hyperlink" Target="https://pex.hurlburt.af.mil/" TargetMode="External"/><Relationship Id="rId1" Type="http://schemas.openxmlformats.org/officeDocument/2006/relationships/hyperlink" Target="https://golearn.adls.af.mil/login.aspx" TargetMode="External"/><Relationship Id="rId6" Type="http://schemas.openxmlformats.org/officeDocument/2006/relationships/hyperlink" Target="https://imr.afms.mil/imr/MyIMR.aspx" TargetMode="External"/><Relationship Id="rId11" Type="http://schemas.openxmlformats.org/officeDocument/2006/relationships/hyperlink" Target="https://imr.afms.mil/imr/MyIMR.aspx" TargetMode="External"/><Relationship Id="rId5" Type="http://schemas.openxmlformats.org/officeDocument/2006/relationships/hyperlink" Target="https://www.my.af.mil/afpc2affms/affms/ui/dashboard.jsp" TargetMode="External"/><Relationship Id="rId15" Type="http://schemas.openxmlformats.org/officeDocument/2006/relationships/hyperlink" Target="https://golearn.adls.af.mil/login.aspx" TargetMode="External"/><Relationship Id="rId23" Type="http://schemas.openxmlformats.org/officeDocument/2006/relationships/comments" Target="../comments1.xml"/><Relationship Id="rId10" Type="http://schemas.openxmlformats.org/officeDocument/2006/relationships/hyperlink" Target="https://imr.afms.mil/imr/MyIMR.aspx" TargetMode="External"/><Relationship Id="rId19" Type="http://schemas.openxmlformats.org/officeDocument/2006/relationships/hyperlink" Target="https://org2.eis.af.mil/sites/13600/Lists/Supervisor%20Safety%20Training%20Registry/AllItems.aspx?PageView=Shared&amp;InitialTabId=Ribbon.WebPartPage&amp;VisibilityContext=WSSWebPartPage" TargetMode="External"/><Relationship Id="rId4" Type="http://schemas.openxmlformats.org/officeDocument/2006/relationships/hyperlink" Target="https://amcalerts.amc.af.mil/sps/get.asp?99=GS&amp;00=2409935&amp;01=138112320&amp;02=530&amp;03=&amp;04=&amp;05=530&amp;06=&amp;07=&amp;08=&amp;09=ff2&amp;10=&amp;11=" TargetMode="External"/><Relationship Id="rId9" Type="http://schemas.openxmlformats.org/officeDocument/2006/relationships/hyperlink" Target="https://imr.afms.mil/imr/MyIMR.aspx" TargetMode="External"/><Relationship Id="rId14" Type="http://schemas.openxmlformats.org/officeDocument/2006/relationships/hyperlink" Target="https://golearn.adls.af.mil/login.aspx" TargetMode="External"/><Relationship Id="rId2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imr.afms.mil/imr/MyIMR.aspx" TargetMode="External"/><Relationship Id="rId13" Type="http://schemas.openxmlformats.org/officeDocument/2006/relationships/hyperlink" Target="https://imr.afms.mil/imr/MyIMR.aspx" TargetMode="External"/><Relationship Id="rId18" Type="http://schemas.openxmlformats.org/officeDocument/2006/relationships/hyperlink" Target="../../../SAFETY/JSTO/JSTO%2011%20SOIS%20CAO%2017Jul18.docx" TargetMode="External"/><Relationship Id="rId3" Type="http://schemas.openxmlformats.org/officeDocument/2006/relationships/hyperlink" Target="https://dtsproweb.defensetravel.osd.mil/dts-app/pubsite/all/view/" TargetMode="External"/><Relationship Id="rId21" Type="http://schemas.openxmlformats.org/officeDocument/2006/relationships/vmlDrawing" Target="../drawings/vmlDrawing2.vml"/><Relationship Id="rId7" Type="http://schemas.openxmlformats.org/officeDocument/2006/relationships/hyperlink" Target="https://imr.afms.mil/imr/MyIMR.aspx" TargetMode="External"/><Relationship Id="rId12" Type="http://schemas.openxmlformats.org/officeDocument/2006/relationships/hyperlink" Target="https://imr.afms.mil/imr/MyIMR.aspx" TargetMode="External"/><Relationship Id="rId17" Type="http://schemas.openxmlformats.org/officeDocument/2006/relationships/hyperlink" Target="../../../SAFETY/JSTO/JSTO%2011%20SOIS%20CAO%2017Jul18.docx" TargetMode="External"/><Relationship Id="rId2" Type="http://schemas.openxmlformats.org/officeDocument/2006/relationships/hyperlink" Target="https://afpaas.af.mil/cas/login?service=https%3A%2F%2Fafpaas.af.mil%2F" TargetMode="External"/><Relationship Id="rId16" Type="http://schemas.openxmlformats.org/officeDocument/2006/relationships/hyperlink" Target="https://golearn.adls.af.mil/login.aspx" TargetMode="External"/><Relationship Id="rId20" Type="http://schemas.openxmlformats.org/officeDocument/2006/relationships/printerSettings" Target="../printerSettings/printerSettings8.bin"/><Relationship Id="rId1" Type="http://schemas.openxmlformats.org/officeDocument/2006/relationships/hyperlink" Target="https://golearn.adls.af.mil/login.aspx" TargetMode="External"/><Relationship Id="rId6" Type="http://schemas.openxmlformats.org/officeDocument/2006/relationships/hyperlink" Target="https://imr.afms.mil/imr/MyIMR.aspx" TargetMode="External"/><Relationship Id="rId11" Type="http://schemas.openxmlformats.org/officeDocument/2006/relationships/hyperlink" Target="https://imr.afms.mil/imr/MyIMR.aspx" TargetMode="External"/><Relationship Id="rId5" Type="http://schemas.openxmlformats.org/officeDocument/2006/relationships/hyperlink" Target="https://www.my.af.mil/afpc2affms/affms/ui/dashboard.jsp" TargetMode="External"/><Relationship Id="rId15" Type="http://schemas.openxmlformats.org/officeDocument/2006/relationships/hyperlink" Target="https://golearn.adls.af.mil/login.aspx" TargetMode="External"/><Relationship Id="rId10" Type="http://schemas.openxmlformats.org/officeDocument/2006/relationships/hyperlink" Target="https://imr.afms.mil/imr/MyIMR.aspx" TargetMode="External"/><Relationship Id="rId19" Type="http://schemas.openxmlformats.org/officeDocument/2006/relationships/hyperlink" Target="https://org2.eis.af.mil/sites/13600/Lists/Supervisor%20Safety%20Training%20Registry/AllItems.aspx?PageView=Shared&amp;InitialTabId=Ribbon.WebPartPage&amp;VisibilityContext=WSSWebPartPage" TargetMode="External"/><Relationship Id="rId4" Type="http://schemas.openxmlformats.org/officeDocument/2006/relationships/hyperlink" Target="https://amcalerts.amc.af.mil/sps/get.asp?99=GS&amp;00=2409935&amp;01=138112320&amp;02=530&amp;03=&amp;04=&amp;05=530&amp;06=&amp;07=&amp;08=&amp;09=ff2&amp;10=&amp;11=" TargetMode="External"/><Relationship Id="rId9" Type="http://schemas.openxmlformats.org/officeDocument/2006/relationships/hyperlink" Target="https://imr.afms.mil/imr/MyIMR.aspx" TargetMode="External"/><Relationship Id="rId14" Type="http://schemas.openxmlformats.org/officeDocument/2006/relationships/hyperlink" Target="https://golearn.adls.af.mil/login.aspx" TargetMode="External"/><Relationship Id="rId22"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26"/>
  <sheetViews>
    <sheetView showGridLines="0" showRowColHeaders="0" tabSelected="1" topLeftCell="B1" workbookViewId="0"/>
  </sheetViews>
  <sheetFormatPr defaultRowHeight="15" x14ac:dyDescent="0.25"/>
  <cols>
    <col min="1" max="1" width="0" hidden="1" customWidth="1"/>
    <col min="22" max="22" width="9.7109375" bestFit="1" customWidth="1"/>
  </cols>
  <sheetData>
    <row r="1" spans="1:22" x14ac:dyDescent="0.25">
      <c r="A1" t="s">
        <v>39</v>
      </c>
    </row>
    <row r="9" spans="1:22" x14ac:dyDescent="0.25">
      <c r="R9" s="1"/>
      <c r="S9" s="1"/>
      <c r="V9" s="1"/>
    </row>
    <row r="10" spans="1:22" x14ac:dyDescent="0.25">
      <c r="S10" s="1"/>
    </row>
    <row r="12" spans="1:22" x14ac:dyDescent="0.25">
      <c r="P12" s="19"/>
    </row>
    <row r="13" spans="1:22" x14ac:dyDescent="0.25">
      <c r="Q13" s="19"/>
    </row>
    <row r="17" spans="16:23" x14ac:dyDescent="0.25">
      <c r="P17" s="19"/>
    </row>
    <row r="26" spans="16:23" x14ac:dyDescent="0.25">
      <c r="W26" t="s">
        <v>1822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511"/>
  <sheetViews>
    <sheetView workbookViewId="0">
      <pane xSplit="8" ySplit="5" topLeftCell="I6" activePane="bottomRight" state="frozen"/>
      <selection pane="topRight" activeCell="I1" sqref="I1"/>
      <selection pane="bottomLeft" activeCell="A6" sqref="A6"/>
      <selection pane="bottomRight" activeCell="G1" sqref="G1:H1"/>
    </sheetView>
  </sheetViews>
  <sheetFormatPr defaultColWidth="15.7109375" defaultRowHeight="12.75" x14ac:dyDescent="0.2"/>
  <cols>
    <col min="1" max="2" width="0" style="52" hidden="1" customWidth="1"/>
    <col min="3" max="4" width="15.7109375" style="52"/>
    <col min="5" max="8" width="10.7109375" style="52" customWidth="1"/>
    <col min="9" max="16384" width="15.7109375" style="52"/>
  </cols>
  <sheetData>
    <row r="1" spans="1:49" s="49" customFormat="1" ht="39.950000000000003" customHeight="1" x14ac:dyDescent="0.25">
      <c r="A1" s="79"/>
      <c r="B1" s="79"/>
      <c r="C1" s="177"/>
      <c r="D1" s="177"/>
      <c r="E1" s="177"/>
      <c r="F1" s="177"/>
      <c r="G1" s="178"/>
      <c r="H1" s="178"/>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row>
    <row r="2" spans="1:49" s="50" customFormat="1" x14ac:dyDescent="0.2">
      <c r="A2" s="80" t="s">
        <v>0</v>
      </c>
      <c r="B2" s="80" t="s">
        <v>0</v>
      </c>
      <c r="C2" s="80" t="s">
        <v>0</v>
      </c>
      <c r="D2" s="80" t="s">
        <v>0</v>
      </c>
      <c r="E2" s="80" t="s">
        <v>0</v>
      </c>
      <c r="F2" s="80" t="s">
        <v>0</v>
      </c>
      <c r="G2" s="80" t="s">
        <v>0</v>
      </c>
      <c r="H2" s="80" t="s">
        <v>0</v>
      </c>
      <c r="I2" s="80" t="s">
        <v>20</v>
      </c>
      <c r="J2" s="80" t="s">
        <v>26</v>
      </c>
      <c r="K2" s="80" t="s">
        <v>26</v>
      </c>
      <c r="L2" s="80" t="s">
        <v>26</v>
      </c>
      <c r="M2" s="80" t="s">
        <v>26</v>
      </c>
      <c r="N2" s="80" t="s">
        <v>26</v>
      </c>
      <c r="O2" s="80" t="s">
        <v>26</v>
      </c>
      <c r="P2" s="80" t="s">
        <v>26</v>
      </c>
      <c r="Q2" s="80" t="s">
        <v>26</v>
      </c>
      <c r="R2" s="80" t="s">
        <v>64</v>
      </c>
      <c r="S2" s="80" t="s">
        <v>55</v>
      </c>
      <c r="T2" s="80" t="s">
        <v>55</v>
      </c>
      <c r="U2" s="80" t="s">
        <v>74</v>
      </c>
      <c r="V2" s="80" t="s">
        <v>74</v>
      </c>
      <c r="W2" s="80" t="s">
        <v>74</v>
      </c>
      <c r="X2" s="80" t="s">
        <v>78</v>
      </c>
      <c r="Y2" s="80" t="s">
        <v>78</v>
      </c>
      <c r="Z2" s="80" t="s">
        <v>78</v>
      </c>
      <c r="AA2" s="80" t="s">
        <v>78</v>
      </c>
      <c r="AB2" s="80" t="s">
        <v>78</v>
      </c>
      <c r="AC2" s="80" t="s">
        <v>78</v>
      </c>
      <c r="AD2" s="80" t="s">
        <v>78</v>
      </c>
      <c r="AE2" s="80" t="s">
        <v>78</v>
      </c>
      <c r="AF2" s="80" t="s">
        <v>78</v>
      </c>
      <c r="AG2" s="80" t="s">
        <v>91</v>
      </c>
      <c r="AH2" s="80" t="s">
        <v>1916</v>
      </c>
      <c r="AI2" s="80" t="s">
        <v>1637</v>
      </c>
      <c r="AJ2" s="80" t="s">
        <v>1637</v>
      </c>
      <c r="AK2" s="80" t="s">
        <v>1637</v>
      </c>
      <c r="AL2" s="80" t="s">
        <v>1637</v>
      </c>
      <c r="AM2" s="80" t="s">
        <v>1637</v>
      </c>
      <c r="AN2" s="80" t="s">
        <v>42</v>
      </c>
      <c r="AO2" s="80" t="s">
        <v>42</v>
      </c>
      <c r="AP2" s="80" t="s">
        <v>42</v>
      </c>
      <c r="AQ2" s="80" t="s">
        <v>42</v>
      </c>
      <c r="AR2" s="80" t="s">
        <v>42</v>
      </c>
      <c r="AS2" s="80" t="s">
        <v>42</v>
      </c>
      <c r="AT2" s="80" t="s">
        <v>42</v>
      </c>
      <c r="AU2" s="80" t="s">
        <v>42</v>
      </c>
      <c r="AV2" s="80" t="s">
        <v>42</v>
      </c>
      <c r="AW2" s="80" t="s">
        <v>42</v>
      </c>
    </row>
    <row r="3" spans="1:49" s="51" customFormat="1" ht="39.950000000000003" customHeight="1" x14ac:dyDescent="0.2">
      <c r="A3" s="26" t="s">
        <v>1</v>
      </c>
      <c r="B3" s="26" t="s">
        <v>2</v>
      </c>
      <c r="C3" s="26" t="s">
        <v>33</v>
      </c>
      <c r="D3" s="26" t="s">
        <v>34</v>
      </c>
      <c r="E3" s="26" t="s">
        <v>3</v>
      </c>
      <c r="F3" s="26" t="s">
        <v>35</v>
      </c>
      <c r="G3" s="26" t="s">
        <v>36</v>
      </c>
      <c r="H3" s="26" t="s">
        <v>37</v>
      </c>
      <c r="I3" s="26" t="s">
        <v>25</v>
      </c>
      <c r="J3" s="26" t="s">
        <v>21</v>
      </c>
      <c r="K3" s="26" t="s">
        <v>22</v>
      </c>
      <c r="L3" s="26" t="s">
        <v>27</v>
      </c>
      <c r="M3" s="26" t="s">
        <v>23</v>
      </c>
      <c r="N3" s="26" t="s">
        <v>24</v>
      </c>
      <c r="O3" s="26" t="s">
        <v>28</v>
      </c>
      <c r="P3" s="26" t="s">
        <v>40</v>
      </c>
      <c r="Q3" s="26" t="s">
        <v>41</v>
      </c>
      <c r="R3" s="26" t="s">
        <v>66</v>
      </c>
      <c r="S3" s="26" t="s">
        <v>56</v>
      </c>
      <c r="T3" s="26" t="s">
        <v>57</v>
      </c>
      <c r="U3" s="26" t="s">
        <v>77</v>
      </c>
      <c r="V3" s="26" t="s">
        <v>1645</v>
      </c>
      <c r="W3" s="26" t="s">
        <v>1646</v>
      </c>
      <c r="X3" s="26" t="s">
        <v>81</v>
      </c>
      <c r="Y3" s="26" t="s">
        <v>82</v>
      </c>
      <c r="Z3" s="26" t="s">
        <v>83</v>
      </c>
      <c r="AA3" s="26" t="s">
        <v>88</v>
      </c>
      <c r="AB3" s="26" t="s">
        <v>87</v>
      </c>
      <c r="AC3" s="26" t="s">
        <v>84</v>
      </c>
      <c r="AD3" s="26" t="s">
        <v>79</v>
      </c>
      <c r="AE3" s="26" t="s">
        <v>85</v>
      </c>
      <c r="AF3" s="26" t="s">
        <v>1647</v>
      </c>
      <c r="AG3" s="26" t="s">
        <v>90</v>
      </c>
      <c r="AH3" s="26" t="s">
        <v>1917</v>
      </c>
      <c r="AI3" s="26" t="s">
        <v>1638</v>
      </c>
      <c r="AJ3" s="26" t="s">
        <v>1669</v>
      </c>
      <c r="AK3" s="26" t="s">
        <v>1640</v>
      </c>
      <c r="AL3" s="26" t="s">
        <v>1639</v>
      </c>
      <c r="AM3" s="26" t="s">
        <v>1641</v>
      </c>
      <c r="AN3" s="26" t="s">
        <v>43</v>
      </c>
      <c r="AO3" s="26" t="s">
        <v>44</v>
      </c>
      <c r="AP3" s="26" t="s">
        <v>45</v>
      </c>
      <c r="AQ3" s="26" t="s">
        <v>46</v>
      </c>
      <c r="AR3" s="26" t="s">
        <v>51</v>
      </c>
      <c r="AS3" s="26" t="s">
        <v>52</v>
      </c>
      <c r="AT3" s="26" t="s">
        <v>47</v>
      </c>
      <c r="AU3" s="26" t="s">
        <v>48</v>
      </c>
      <c r="AV3" s="26" t="s">
        <v>49</v>
      </c>
      <c r="AW3" s="26" t="s">
        <v>50</v>
      </c>
    </row>
    <row r="4" spans="1:49" s="50" customFormat="1" hidden="1" x14ac:dyDescent="0.2">
      <c r="A4" s="84"/>
      <c r="B4" s="84"/>
      <c r="C4" s="84"/>
      <c r="D4" s="84"/>
      <c r="E4" s="84"/>
      <c r="F4" s="84"/>
      <c r="G4" s="84"/>
      <c r="H4" s="84"/>
      <c r="I4" s="84">
        <v>3</v>
      </c>
      <c r="J4" s="84">
        <v>12</v>
      </c>
      <c r="K4" s="84">
        <v>12</v>
      </c>
      <c r="L4" s="84" t="s">
        <v>99</v>
      </c>
      <c r="M4" s="84">
        <v>36</v>
      </c>
      <c r="N4" s="84">
        <v>24</v>
      </c>
      <c r="O4" s="84">
        <v>36</v>
      </c>
      <c r="P4" s="84" t="s">
        <v>99</v>
      </c>
      <c r="Q4" s="84">
        <v>12</v>
      </c>
      <c r="R4" s="84"/>
      <c r="S4" s="84"/>
      <c r="T4" s="84"/>
      <c r="U4" s="84" t="s">
        <v>1648</v>
      </c>
      <c r="V4" s="84"/>
      <c r="W4" s="84"/>
      <c r="X4" s="84"/>
      <c r="Y4" s="84"/>
      <c r="Z4" s="84"/>
      <c r="AA4" s="84"/>
      <c r="AB4" s="84"/>
      <c r="AC4" s="84"/>
      <c r="AD4" s="84"/>
      <c r="AE4" s="84"/>
      <c r="AF4" s="84"/>
      <c r="AG4" s="84">
        <v>12</v>
      </c>
      <c r="AH4" s="84"/>
      <c r="AI4" s="84" t="s">
        <v>99</v>
      </c>
      <c r="AJ4" s="84" t="s">
        <v>99</v>
      </c>
      <c r="AK4" s="84" t="s">
        <v>99</v>
      </c>
      <c r="AL4" s="84" t="s">
        <v>99</v>
      </c>
      <c r="AM4" s="84" t="s">
        <v>99</v>
      </c>
      <c r="AN4" s="84">
        <v>12</v>
      </c>
      <c r="AO4" s="84">
        <v>12</v>
      </c>
      <c r="AP4" s="84" t="s">
        <v>99</v>
      </c>
      <c r="AQ4" s="84" t="s">
        <v>99</v>
      </c>
      <c r="AR4" s="84">
        <v>12</v>
      </c>
      <c r="AS4" s="84">
        <v>12</v>
      </c>
      <c r="AT4" s="84">
        <v>24</v>
      </c>
      <c r="AU4" s="84">
        <v>12</v>
      </c>
      <c r="AV4" s="84">
        <v>12</v>
      </c>
      <c r="AW4" s="84">
        <v>12</v>
      </c>
    </row>
    <row r="5" spans="1:49" s="50" customFormat="1" hidden="1" x14ac:dyDescent="0.2">
      <c r="A5" s="84"/>
      <c r="B5" s="84"/>
      <c r="C5" s="84"/>
      <c r="D5" s="84"/>
      <c r="E5" s="84"/>
      <c r="F5" s="84"/>
      <c r="G5" s="84"/>
      <c r="H5" s="84"/>
      <c r="I5" s="84"/>
      <c r="J5" s="84" t="s">
        <v>1649</v>
      </c>
      <c r="K5" s="84" t="s">
        <v>1649</v>
      </c>
      <c r="L5" s="84" t="s">
        <v>1650</v>
      </c>
      <c r="M5" s="84" t="s">
        <v>1650</v>
      </c>
      <c r="N5" s="84" t="s">
        <v>100</v>
      </c>
      <c r="O5" s="84" t="s">
        <v>1650</v>
      </c>
      <c r="P5" s="84" t="s">
        <v>1650</v>
      </c>
      <c r="Q5" s="84" t="s">
        <v>1649</v>
      </c>
      <c r="R5" s="84" t="s">
        <v>1649</v>
      </c>
      <c r="S5" s="84"/>
      <c r="T5" s="84"/>
      <c r="U5" s="84" t="s">
        <v>1651</v>
      </c>
      <c r="V5" s="84" t="s">
        <v>1651</v>
      </c>
      <c r="W5" s="84" t="s">
        <v>1651</v>
      </c>
      <c r="X5" s="84" t="s">
        <v>1651</v>
      </c>
      <c r="Y5" s="84" t="s">
        <v>1651</v>
      </c>
      <c r="Z5" s="84" t="s">
        <v>1651</v>
      </c>
      <c r="AA5" s="84" t="s">
        <v>1651</v>
      </c>
      <c r="AB5" s="84" t="s">
        <v>1651</v>
      </c>
      <c r="AC5" s="84" t="s">
        <v>1651</v>
      </c>
      <c r="AD5" s="84" t="s">
        <v>1651</v>
      </c>
      <c r="AE5" s="84" t="s">
        <v>1651</v>
      </c>
      <c r="AF5" s="84" t="s">
        <v>1651</v>
      </c>
      <c r="AG5" s="84"/>
      <c r="AH5" s="84" t="s">
        <v>1649</v>
      </c>
      <c r="AI5" s="84" t="s">
        <v>1651</v>
      </c>
      <c r="AJ5" s="84" t="s">
        <v>1651</v>
      </c>
      <c r="AK5" s="84" t="s">
        <v>1650</v>
      </c>
      <c r="AL5" s="84" t="s">
        <v>1651</v>
      </c>
      <c r="AM5" s="84" t="s">
        <v>1651</v>
      </c>
      <c r="AN5" s="84" t="s">
        <v>1649</v>
      </c>
      <c r="AO5" s="84" t="s">
        <v>1649</v>
      </c>
      <c r="AP5" s="84" t="s">
        <v>1649</v>
      </c>
      <c r="AQ5" s="84" t="s">
        <v>1649</v>
      </c>
      <c r="AR5" s="84" t="s">
        <v>1649</v>
      </c>
      <c r="AS5" s="84" t="s">
        <v>1649</v>
      </c>
      <c r="AT5" s="84" t="s">
        <v>1649</v>
      </c>
      <c r="AU5" s="84" t="s">
        <v>1650</v>
      </c>
      <c r="AV5" s="84" t="s">
        <v>1649</v>
      </c>
      <c r="AW5" s="84" t="s">
        <v>1649</v>
      </c>
    </row>
    <row r="6" spans="1:49" x14ac:dyDescent="0.2">
      <c r="A6" s="85" t="s">
        <v>101</v>
      </c>
      <c r="B6" s="85" t="s">
        <v>102</v>
      </c>
      <c r="C6" s="85" t="s">
        <v>103</v>
      </c>
      <c r="D6" s="85" t="s">
        <v>104</v>
      </c>
      <c r="E6" s="85" t="s">
        <v>105</v>
      </c>
      <c r="F6" s="85" t="s">
        <v>106</v>
      </c>
      <c r="G6" s="85" t="s">
        <v>4</v>
      </c>
      <c r="H6" s="85" t="s">
        <v>13</v>
      </c>
      <c r="I6" s="85" t="s">
        <v>107</v>
      </c>
      <c r="J6" s="85" t="s">
        <v>59</v>
      </c>
      <c r="K6" s="85" t="s">
        <v>59</v>
      </c>
      <c r="L6" s="85" t="s">
        <v>107</v>
      </c>
      <c r="M6" s="85" t="s">
        <v>107</v>
      </c>
      <c r="N6" s="85" t="s">
        <v>107</v>
      </c>
      <c r="O6" s="85" t="s">
        <v>107</v>
      </c>
      <c r="P6" s="85" t="s">
        <v>107</v>
      </c>
      <c r="Q6" s="85" t="s">
        <v>59</v>
      </c>
      <c r="R6" s="85" t="s">
        <v>107</v>
      </c>
      <c r="S6" s="85" t="s">
        <v>107</v>
      </c>
      <c r="T6" s="85" t="s">
        <v>107</v>
      </c>
      <c r="U6" s="85" t="s">
        <v>107</v>
      </c>
      <c r="V6" s="85" t="s">
        <v>107</v>
      </c>
      <c r="W6" s="85" t="s">
        <v>107</v>
      </c>
      <c r="X6" s="85" t="s">
        <v>107</v>
      </c>
      <c r="Y6" s="85" t="s">
        <v>107</v>
      </c>
      <c r="Z6" s="85" t="s">
        <v>107</v>
      </c>
      <c r="AA6" s="85" t="s">
        <v>107</v>
      </c>
      <c r="AB6" s="85" t="s">
        <v>107</v>
      </c>
      <c r="AC6" s="85" t="s">
        <v>107</v>
      </c>
      <c r="AD6" s="85" t="s">
        <v>107</v>
      </c>
      <c r="AE6" s="85" t="s">
        <v>107</v>
      </c>
      <c r="AF6" s="85" t="s">
        <v>107</v>
      </c>
      <c r="AG6" s="86">
        <v>43167</v>
      </c>
      <c r="AH6" s="85" t="s">
        <v>107</v>
      </c>
      <c r="AI6" s="85" t="s">
        <v>107</v>
      </c>
      <c r="AJ6" s="85" t="s">
        <v>107</v>
      </c>
      <c r="AK6" s="85" t="s">
        <v>107</v>
      </c>
      <c r="AL6" s="85" t="s">
        <v>107</v>
      </c>
      <c r="AM6" s="85" t="s">
        <v>107</v>
      </c>
      <c r="AN6" s="86">
        <v>43467</v>
      </c>
      <c r="AO6" s="86">
        <v>43467</v>
      </c>
      <c r="AP6" s="86">
        <v>43467</v>
      </c>
      <c r="AQ6" s="86">
        <v>43467</v>
      </c>
      <c r="AR6" s="86">
        <v>43467</v>
      </c>
      <c r="AS6" s="86">
        <v>43467</v>
      </c>
      <c r="AT6" s="86">
        <v>43467</v>
      </c>
      <c r="AU6" s="85" t="s">
        <v>107</v>
      </c>
      <c r="AV6" s="86">
        <v>43467</v>
      </c>
      <c r="AW6" s="86">
        <v>43467</v>
      </c>
    </row>
    <row r="7" spans="1:49" x14ac:dyDescent="0.2">
      <c r="A7" s="85" t="s">
        <v>108</v>
      </c>
      <c r="B7" s="85" t="s">
        <v>109</v>
      </c>
      <c r="C7" s="85" t="s">
        <v>110</v>
      </c>
      <c r="D7" s="85" t="s">
        <v>111</v>
      </c>
      <c r="E7" s="85" t="s">
        <v>112</v>
      </c>
      <c r="F7" s="85" t="s">
        <v>113</v>
      </c>
      <c r="G7" s="85" t="s">
        <v>4</v>
      </c>
      <c r="H7" s="85" t="s">
        <v>6</v>
      </c>
      <c r="I7" s="86">
        <v>43425</v>
      </c>
      <c r="J7" s="86">
        <v>43209</v>
      </c>
      <c r="K7" s="86">
        <v>43209</v>
      </c>
      <c r="L7" s="85" t="s">
        <v>99</v>
      </c>
      <c r="M7" s="86">
        <v>43425</v>
      </c>
      <c r="N7" s="85" t="s">
        <v>107</v>
      </c>
      <c r="O7" s="86">
        <v>43209</v>
      </c>
      <c r="P7" s="86">
        <v>43377</v>
      </c>
      <c r="Q7" s="86">
        <v>43574</v>
      </c>
      <c r="R7" s="85" t="s">
        <v>1652</v>
      </c>
      <c r="S7" s="86">
        <v>44256</v>
      </c>
      <c r="T7" s="85" t="s">
        <v>1652</v>
      </c>
      <c r="U7" s="86">
        <v>43298</v>
      </c>
      <c r="V7" s="86">
        <v>43677</v>
      </c>
      <c r="W7" s="85" t="s">
        <v>1653</v>
      </c>
      <c r="X7" s="85" t="s">
        <v>114</v>
      </c>
      <c r="Y7" s="85">
        <v>1</v>
      </c>
      <c r="Z7" s="85" t="s">
        <v>211</v>
      </c>
      <c r="AA7" s="85"/>
      <c r="AB7" s="85" t="s">
        <v>114</v>
      </c>
      <c r="AC7" s="85" t="s">
        <v>114</v>
      </c>
      <c r="AD7" s="85" t="s">
        <v>211</v>
      </c>
      <c r="AE7" s="85" t="s">
        <v>1661</v>
      </c>
      <c r="AF7" s="86">
        <v>43530</v>
      </c>
      <c r="AG7" s="86">
        <v>43315</v>
      </c>
      <c r="AH7" s="85" t="s">
        <v>107</v>
      </c>
      <c r="AI7" s="86">
        <v>43178</v>
      </c>
      <c r="AJ7" s="86">
        <v>43178</v>
      </c>
      <c r="AK7" s="86">
        <v>43209</v>
      </c>
      <c r="AL7" s="85" t="s">
        <v>107</v>
      </c>
      <c r="AM7" s="85" t="s">
        <v>107</v>
      </c>
      <c r="AN7" s="85"/>
      <c r="AO7" s="86">
        <v>43209</v>
      </c>
      <c r="AP7" s="86">
        <v>43055</v>
      </c>
      <c r="AQ7" s="86">
        <v>42207</v>
      </c>
      <c r="AR7" s="86">
        <v>43012</v>
      </c>
      <c r="AS7" s="86">
        <v>42925</v>
      </c>
      <c r="AT7" s="86">
        <v>42948</v>
      </c>
      <c r="AU7" s="86">
        <v>43012</v>
      </c>
      <c r="AV7" s="86">
        <v>43012</v>
      </c>
      <c r="AW7" s="86">
        <v>43012</v>
      </c>
    </row>
    <row r="8" spans="1:49" x14ac:dyDescent="0.2">
      <c r="A8" s="85" t="s">
        <v>115</v>
      </c>
      <c r="B8" s="85" t="s">
        <v>116</v>
      </c>
      <c r="C8" s="85" t="s">
        <v>117</v>
      </c>
      <c r="D8" s="85" t="s">
        <v>118</v>
      </c>
      <c r="E8" s="85" t="s">
        <v>119</v>
      </c>
      <c r="F8" s="85" t="s">
        <v>106</v>
      </c>
      <c r="G8" s="85" t="s">
        <v>4</v>
      </c>
      <c r="H8" s="85" t="s">
        <v>8</v>
      </c>
      <c r="I8" s="85" t="s">
        <v>107</v>
      </c>
      <c r="J8" s="86">
        <v>43167</v>
      </c>
      <c r="K8" s="86">
        <v>43167</v>
      </c>
      <c r="L8" s="85" t="s">
        <v>107</v>
      </c>
      <c r="M8" s="85" t="s">
        <v>107</v>
      </c>
      <c r="N8" s="85" t="s">
        <v>107</v>
      </c>
      <c r="O8" s="85" t="s">
        <v>107</v>
      </c>
      <c r="P8" s="85" t="s">
        <v>107</v>
      </c>
      <c r="Q8" s="86">
        <v>43532</v>
      </c>
      <c r="R8" s="85" t="s">
        <v>107</v>
      </c>
      <c r="S8" s="85" t="s">
        <v>107</v>
      </c>
      <c r="T8" s="85" t="s">
        <v>107</v>
      </c>
      <c r="U8" s="85" t="s">
        <v>107</v>
      </c>
      <c r="V8" s="85" t="s">
        <v>107</v>
      </c>
      <c r="W8" s="85" t="s">
        <v>107</v>
      </c>
      <c r="X8" s="85" t="s">
        <v>107</v>
      </c>
      <c r="Y8" s="85" t="s">
        <v>107</v>
      </c>
      <c r="Z8" s="85" t="s">
        <v>107</v>
      </c>
      <c r="AA8" s="85" t="s">
        <v>107</v>
      </c>
      <c r="AB8" s="85" t="s">
        <v>107</v>
      </c>
      <c r="AC8" s="85" t="s">
        <v>107</v>
      </c>
      <c r="AD8" s="85" t="s">
        <v>107</v>
      </c>
      <c r="AE8" s="85" t="s">
        <v>107</v>
      </c>
      <c r="AF8" s="85" t="s">
        <v>107</v>
      </c>
      <c r="AG8" s="86">
        <v>43167</v>
      </c>
      <c r="AH8" s="85" t="s">
        <v>107</v>
      </c>
      <c r="AI8" s="85" t="s">
        <v>107</v>
      </c>
      <c r="AJ8" s="85" t="s">
        <v>107</v>
      </c>
      <c r="AK8" s="85" t="s">
        <v>107</v>
      </c>
      <c r="AL8" s="85" t="s">
        <v>107</v>
      </c>
      <c r="AM8" s="85" t="s">
        <v>107</v>
      </c>
      <c r="AN8" s="86">
        <v>43502</v>
      </c>
      <c r="AO8" s="86">
        <v>43209</v>
      </c>
      <c r="AP8" s="86">
        <v>43502</v>
      </c>
      <c r="AQ8" s="86">
        <v>42713</v>
      </c>
      <c r="AR8" s="86">
        <v>43502</v>
      </c>
      <c r="AS8" s="86">
        <v>43502</v>
      </c>
      <c r="AT8" s="86">
        <v>43502</v>
      </c>
      <c r="AU8" s="85" t="s">
        <v>107</v>
      </c>
      <c r="AV8" s="86">
        <v>43502</v>
      </c>
      <c r="AW8" s="86">
        <v>43502</v>
      </c>
    </row>
    <row r="9" spans="1:49" x14ac:dyDescent="0.2">
      <c r="A9" s="85" t="s">
        <v>123</v>
      </c>
      <c r="B9" s="85" t="s">
        <v>124</v>
      </c>
      <c r="C9" s="85" t="s">
        <v>120</v>
      </c>
      <c r="D9" s="85" t="s">
        <v>125</v>
      </c>
      <c r="E9" s="85" t="s">
        <v>126</v>
      </c>
      <c r="F9" s="85" t="s">
        <v>127</v>
      </c>
      <c r="G9" s="85" t="s">
        <v>4</v>
      </c>
      <c r="H9" s="85" t="s">
        <v>7</v>
      </c>
      <c r="I9" s="86">
        <v>43464</v>
      </c>
      <c r="J9" s="86">
        <v>43167</v>
      </c>
      <c r="K9" s="86">
        <v>43164</v>
      </c>
      <c r="L9" s="85" t="s">
        <v>99</v>
      </c>
      <c r="M9" s="86">
        <v>43378</v>
      </c>
      <c r="N9" s="85" t="s">
        <v>107</v>
      </c>
      <c r="O9" s="86">
        <v>43164</v>
      </c>
      <c r="P9" s="86">
        <v>43243</v>
      </c>
      <c r="Q9" s="86">
        <v>43532</v>
      </c>
      <c r="R9" s="85" t="s">
        <v>1652</v>
      </c>
      <c r="S9" s="86">
        <v>44105</v>
      </c>
      <c r="T9" s="85" t="s">
        <v>1652</v>
      </c>
      <c r="U9" s="86">
        <v>43363</v>
      </c>
      <c r="V9" s="86">
        <v>43555</v>
      </c>
      <c r="W9" s="85" t="s">
        <v>1655</v>
      </c>
      <c r="X9" s="85" t="s">
        <v>114</v>
      </c>
      <c r="Y9" s="85">
        <v>1</v>
      </c>
      <c r="Z9" s="85" t="s">
        <v>114</v>
      </c>
      <c r="AA9" s="85"/>
      <c r="AB9" s="85" t="s">
        <v>114</v>
      </c>
      <c r="AC9" s="85" t="s">
        <v>114</v>
      </c>
      <c r="AD9" s="85" t="s">
        <v>114</v>
      </c>
      <c r="AE9" s="85"/>
      <c r="AF9" s="85"/>
      <c r="AG9" s="86">
        <v>43420</v>
      </c>
      <c r="AH9" s="85" t="s">
        <v>107</v>
      </c>
      <c r="AI9" s="85"/>
      <c r="AJ9" s="85"/>
      <c r="AK9" s="86">
        <v>43164</v>
      </c>
      <c r="AL9" s="85" t="s">
        <v>107</v>
      </c>
      <c r="AM9" s="85" t="s">
        <v>107</v>
      </c>
      <c r="AN9" s="86">
        <v>43398</v>
      </c>
      <c r="AO9" s="86">
        <v>43207</v>
      </c>
      <c r="AP9" s="86">
        <v>43047</v>
      </c>
      <c r="AQ9" s="86">
        <v>43118</v>
      </c>
      <c r="AR9" s="86">
        <v>43118</v>
      </c>
      <c r="AS9" s="86">
        <v>43118</v>
      </c>
      <c r="AT9" s="86">
        <v>43118</v>
      </c>
      <c r="AU9" s="86">
        <v>43118</v>
      </c>
      <c r="AV9" s="86">
        <v>43118</v>
      </c>
      <c r="AW9" s="86">
        <v>43118</v>
      </c>
    </row>
    <row r="10" spans="1:49" x14ac:dyDescent="0.2">
      <c r="A10" s="85" t="s">
        <v>128</v>
      </c>
      <c r="B10" s="85" t="s">
        <v>129</v>
      </c>
      <c r="C10" s="85" t="s">
        <v>130</v>
      </c>
      <c r="D10" s="85" t="s">
        <v>131</v>
      </c>
      <c r="E10" s="85" t="s">
        <v>105</v>
      </c>
      <c r="F10" s="85" t="s">
        <v>122</v>
      </c>
      <c r="G10" s="85" t="s">
        <v>4</v>
      </c>
      <c r="H10" s="85" t="s">
        <v>8</v>
      </c>
      <c r="I10" s="86">
        <v>43348</v>
      </c>
      <c r="J10" s="86">
        <v>43507</v>
      </c>
      <c r="K10" s="86">
        <v>43167</v>
      </c>
      <c r="L10" s="85" t="s">
        <v>99</v>
      </c>
      <c r="M10" s="86">
        <v>43499</v>
      </c>
      <c r="N10" s="85" t="s">
        <v>107</v>
      </c>
      <c r="O10" s="86">
        <v>43167</v>
      </c>
      <c r="P10" s="86">
        <v>43172</v>
      </c>
      <c r="Q10" s="86">
        <v>43532</v>
      </c>
      <c r="R10" s="85" t="s">
        <v>1652</v>
      </c>
      <c r="S10" s="86">
        <v>43862</v>
      </c>
      <c r="T10" s="85" t="s">
        <v>1652</v>
      </c>
      <c r="U10" s="86">
        <v>43446</v>
      </c>
      <c r="V10" s="86">
        <v>43646</v>
      </c>
      <c r="W10" s="85" t="s">
        <v>1655</v>
      </c>
      <c r="X10" s="85" t="s">
        <v>114</v>
      </c>
      <c r="Y10" s="85">
        <v>1</v>
      </c>
      <c r="Z10" s="85" t="s">
        <v>114</v>
      </c>
      <c r="AA10" s="85"/>
      <c r="AB10" s="85" t="s">
        <v>114</v>
      </c>
      <c r="AC10" s="85" t="s">
        <v>114</v>
      </c>
      <c r="AD10" s="85" t="s">
        <v>114</v>
      </c>
      <c r="AE10" s="85"/>
      <c r="AF10" s="85"/>
      <c r="AG10" s="86">
        <v>43507</v>
      </c>
      <c r="AH10" s="85" t="s">
        <v>107</v>
      </c>
      <c r="AI10" s="86">
        <v>42820</v>
      </c>
      <c r="AJ10" s="86">
        <v>43176</v>
      </c>
      <c r="AK10" s="86">
        <v>43167</v>
      </c>
      <c r="AL10" s="85" t="s">
        <v>107</v>
      </c>
      <c r="AM10" s="85" t="s">
        <v>107</v>
      </c>
      <c r="AN10" s="86">
        <v>43507</v>
      </c>
      <c r="AO10" s="86">
        <v>43215</v>
      </c>
      <c r="AP10" s="86">
        <v>43507</v>
      </c>
      <c r="AQ10" s="86">
        <v>43200</v>
      </c>
      <c r="AR10" s="86">
        <v>43507</v>
      </c>
      <c r="AS10" s="86">
        <v>43507</v>
      </c>
      <c r="AT10" s="86">
        <v>43507</v>
      </c>
      <c r="AU10" s="86">
        <v>43507</v>
      </c>
      <c r="AV10" s="86">
        <v>43507</v>
      </c>
      <c r="AW10" s="86">
        <v>43507</v>
      </c>
    </row>
    <row r="11" spans="1:49" x14ac:dyDescent="0.2">
      <c r="A11" s="85" t="s">
        <v>132</v>
      </c>
      <c r="B11" s="85" t="s">
        <v>133</v>
      </c>
      <c r="C11" s="85" t="s">
        <v>134</v>
      </c>
      <c r="D11" s="85" t="s">
        <v>135</v>
      </c>
      <c r="E11" s="85" t="s">
        <v>105</v>
      </c>
      <c r="F11" s="85" t="s">
        <v>136</v>
      </c>
      <c r="G11" s="85" t="s">
        <v>4</v>
      </c>
      <c r="H11" s="85" t="s">
        <v>1670</v>
      </c>
      <c r="I11" s="86">
        <v>43474</v>
      </c>
      <c r="J11" s="86">
        <v>43424</v>
      </c>
      <c r="K11" s="86">
        <v>42997</v>
      </c>
      <c r="L11" s="85" t="s">
        <v>99</v>
      </c>
      <c r="M11" s="86">
        <v>43474</v>
      </c>
      <c r="N11" s="85" t="s">
        <v>107</v>
      </c>
      <c r="O11" s="86">
        <v>42747</v>
      </c>
      <c r="P11" s="86">
        <v>43369</v>
      </c>
      <c r="Q11" s="86">
        <v>43161</v>
      </c>
      <c r="R11" s="85" t="s">
        <v>1652</v>
      </c>
      <c r="S11" s="86">
        <v>43497</v>
      </c>
      <c r="T11" s="85" t="s">
        <v>1652</v>
      </c>
      <c r="U11" s="86">
        <v>43397</v>
      </c>
      <c r="V11" s="86">
        <v>43769</v>
      </c>
      <c r="W11" s="85" t="s">
        <v>1653</v>
      </c>
      <c r="X11" s="85" t="s">
        <v>114</v>
      </c>
      <c r="Y11" s="85">
        <v>1</v>
      </c>
      <c r="Z11" s="85" t="s">
        <v>114</v>
      </c>
      <c r="AA11" s="85"/>
      <c r="AB11" s="85" t="s">
        <v>114</v>
      </c>
      <c r="AC11" s="85" t="s">
        <v>114</v>
      </c>
      <c r="AD11" s="85" t="s">
        <v>114</v>
      </c>
      <c r="AE11" s="85"/>
      <c r="AF11" s="85"/>
      <c r="AG11" s="86">
        <v>43437</v>
      </c>
      <c r="AH11" s="85" t="s">
        <v>107</v>
      </c>
      <c r="AI11" s="86">
        <v>43377</v>
      </c>
      <c r="AJ11" s="86">
        <v>43377</v>
      </c>
      <c r="AK11" s="86">
        <v>42029</v>
      </c>
      <c r="AL11" s="85" t="s">
        <v>107</v>
      </c>
      <c r="AM11" s="85" t="s">
        <v>107</v>
      </c>
      <c r="AN11" s="86">
        <v>43474</v>
      </c>
      <c r="AO11" s="86">
        <v>43287</v>
      </c>
      <c r="AP11" s="86">
        <v>43474</v>
      </c>
      <c r="AQ11" s="86">
        <v>42818</v>
      </c>
      <c r="AR11" s="86">
        <v>43474</v>
      </c>
      <c r="AS11" s="86">
        <v>43474</v>
      </c>
      <c r="AT11" s="86">
        <v>43474</v>
      </c>
      <c r="AU11" s="86">
        <v>43474</v>
      </c>
      <c r="AV11" s="86">
        <v>43474</v>
      </c>
      <c r="AW11" s="86">
        <v>43474</v>
      </c>
    </row>
    <row r="12" spans="1:49" x14ac:dyDescent="0.2">
      <c r="A12" s="85" t="s">
        <v>1854</v>
      </c>
      <c r="B12" s="85" t="s">
        <v>1855</v>
      </c>
      <c r="C12" s="85" t="s">
        <v>1856</v>
      </c>
      <c r="D12" s="85" t="s">
        <v>1857</v>
      </c>
      <c r="E12" s="85" t="s">
        <v>126</v>
      </c>
      <c r="F12" s="85" t="s">
        <v>106</v>
      </c>
      <c r="G12" s="85" t="s">
        <v>4</v>
      </c>
      <c r="H12" s="85" t="s">
        <v>8</v>
      </c>
      <c r="I12" s="85" t="s">
        <v>107</v>
      </c>
      <c r="J12" s="85" t="s">
        <v>59</v>
      </c>
      <c r="K12" s="85" t="s">
        <v>59</v>
      </c>
      <c r="L12" s="85" t="s">
        <v>107</v>
      </c>
      <c r="M12" s="85" t="s">
        <v>107</v>
      </c>
      <c r="N12" s="85" t="s">
        <v>107</v>
      </c>
      <c r="O12" s="85" t="s">
        <v>107</v>
      </c>
      <c r="P12" s="85" t="s">
        <v>107</v>
      </c>
      <c r="Q12" s="85" t="s">
        <v>59</v>
      </c>
      <c r="R12" s="85" t="s">
        <v>107</v>
      </c>
      <c r="S12" s="85" t="s">
        <v>107</v>
      </c>
      <c r="T12" s="85" t="s">
        <v>107</v>
      </c>
      <c r="U12" s="85" t="s">
        <v>107</v>
      </c>
      <c r="V12" s="85" t="s">
        <v>107</v>
      </c>
      <c r="W12" s="85" t="s">
        <v>107</v>
      </c>
      <c r="X12" s="85" t="s">
        <v>107</v>
      </c>
      <c r="Y12" s="85" t="s">
        <v>107</v>
      </c>
      <c r="Z12" s="85" t="s">
        <v>107</v>
      </c>
      <c r="AA12" s="85" t="s">
        <v>107</v>
      </c>
      <c r="AB12" s="85" t="s">
        <v>107</v>
      </c>
      <c r="AC12" s="85" t="s">
        <v>107</v>
      </c>
      <c r="AD12" s="85" t="s">
        <v>107</v>
      </c>
      <c r="AE12" s="85" t="s">
        <v>107</v>
      </c>
      <c r="AF12" s="85" t="s">
        <v>107</v>
      </c>
      <c r="AG12" s="85" t="s">
        <v>59</v>
      </c>
      <c r="AH12" s="85" t="s">
        <v>107</v>
      </c>
      <c r="AI12" s="85" t="s">
        <v>107</v>
      </c>
      <c r="AJ12" s="85" t="s">
        <v>107</v>
      </c>
      <c r="AK12" s="85" t="s">
        <v>107</v>
      </c>
      <c r="AL12" s="85" t="s">
        <v>107</v>
      </c>
      <c r="AM12" s="85" t="s">
        <v>107</v>
      </c>
      <c r="AN12" s="85" t="s">
        <v>59</v>
      </c>
      <c r="AO12" s="85" t="s">
        <v>59</v>
      </c>
      <c r="AP12" s="85" t="s">
        <v>59</v>
      </c>
      <c r="AQ12" s="85" t="s">
        <v>59</v>
      </c>
      <c r="AR12" s="85" t="s">
        <v>59</v>
      </c>
      <c r="AS12" s="85" t="s">
        <v>59</v>
      </c>
      <c r="AT12" s="85" t="s">
        <v>59</v>
      </c>
      <c r="AU12" s="85" t="s">
        <v>107</v>
      </c>
      <c r="AV12" s="85" t="s">
        <v>59</v>
      </c>
      <c r="AW12" s="85" t="s">
        <v>59</v>
      </c>
    </row>
    <row r="13" spans="1:49" x14ac:dyDescent="0.2">
      <c r="A13" s="85" t="s">
        <v>137</v>
      </c>
      <c r="B13" s="85" t="s">
        <v>138</v>
      </c>
      <c r="C13" s="85" t="s">
        <v>139</v>
      </c>
      <c r="D13" s="85" t="s">
        <v>140</v>
      </c>
      <c r="E13" s="85" t="s">
        <v>141</v>
      </c>
      <c r="F13" s="85" t="s">
        <v>106</v>
      </c>
      <c r="G13" s="85" t="s">
        <v>4</v>
      </c>
      <c r="H13" s="85" t="s">
        <v>8</v>
      </c>
      <c r="I13" s="85" t="s">
        <v>107</v>
      </c>
      <c r="J13" s="85" t="s">
        <v>59</v>
      </c>
      <c r="K13" s="85" t="s">
        <v>59</v>
      </c>
      <c r="L13" s="85" t="s">
        <v>107</v>
      </c>
      <c r="M13" s="85" t="s">
        <v>107</v>
      </c>
      <c r="N13" s="85" t="s">
        <v>107</v>
      </c>
      <c r="O13" s="85" t="s">
        <v>107</v>
      </c>
      <c r="P13" s="85" t="s">
        <v>107</v>
      </c>
      <c r="Q13" s="85" t="s">
        <v>59</v>
      </c>
      <c r="R13" s="85" t="s">
        <v>107</v>
      </c>
      <c r="S13" s="85" t="s">
        <v>107</v>
      </c>
      <c r="T13" s="85" t="s">
        <v>107</v>
      </c>
      <c r="U13" s="85" t="s">
        <v>107</v>
      </c>
      <c r="V13" s="85" t="s">
        <v>107</v>
      </c>
      <c r="W13" s="85" t="s">
        <v>107</v>
      </c>
      <c r="X13" s="85" t="s">
        <v>107</v>
      </c>
      <c r="Y13" s="85" t="s">
        <v>107</v>
      </c>
      <c r="Z13" s="85" t="s">
        <v>107</v>
      </c>
      <c r="AA13" s="85" t="s">
        <v>107</v>
      </c>
      <c r="AB13" s="85" t="s">
        <v>107</v>
      </c>
      <c r="AC13" s="85" t="s">
        <v>107</v>
      </c>
      <c r="AD13" s="85" t="s">
        <v>107</v>
      </c>
      <c r="AE13" s="85" t="s">
        <v>107</v>
      </c>
      <c r="AF13" s="85" t="s">
        <v>107</v>
      </c>
      <c r="AG13" s="86">
        <v>43242</v>
      </c>
      <c r="AH13" s="85" t="s">
        <v>107</v>
      </c>
      <c r="AI13" s="85" t="s">
        <v>107</v>
      </c>
      <c r="AJ13" s="85" t="s">
        <v>107</v>
      </c>
      <c r="AK13" s="85" t="s">
        <v>107</v>
      </c>
      <c r="AL13" s="85" t="s">
        <v>107</v>
      </c>
      <c r="AM13" s="85" t="s">
        <v>107</v>
      </c>
      <c r="AN13" s="85"/>
      <c r="AO13" s="86">
        <v>43209</v>
      </c>
      <c r="AP13" s="86">
        <v>43158</v>
      </c>
      <c r="AQ13" s="86">
        <v>43126</v>
      </c>
      <c r="AR13" s="85"/>
      <c r="AS13" s="85"/>
      <c r="AT13" s="85"/>
      <c r="AU13" s="85" t="s">
        <v>107</v>
      </c>
      <c r="AV13" s="85"/>
      <c r="AW13" s="85"/>
    </row>
    <row r="14" spans="1:49" x14ac:dyDescent="0.2">
      <c r="A14" s="85" t="s">
        <v>145</v>
      </c>
      <c r="B14" s="85" t="s">
        <v>146</v>
      </c>
      <c r="C14" s="85" t="s">
        <v>147</v>
      </c>
      <c r="D14" s="85" t="s">
        <v>148</v>
      </c>
      <c r="E14" s="85" t="s">
        <v>149</v>
      </c>
      <c r="F14" s="85" t="s">
        <v>113</v>
      </c>
      <c r="G14" s="85" t="s">
        <v>4</v>
      </c>
      <c r="H14" s="85" t="s">
        <v>18</v>
      </c>
      <c r="I14" s="86">
        <v>43368</v>
      </c>
      <c r="J14" s="86">
        <v>43461</v>
      </c>
      <c r="K14" s="86">
        <v>43482</v>
      </c>
      <c r="L14" s="85" t="s">
        <v>99</v>
      </c>
      <c r="M14" s="86">
        <v>43119</v>
      </c>
      <c r="N14" s="85" t="s">
        <v>107</v>
      </c>
      <c r="O14" s="86">
        <v>42467</v>
      </c>
      <c r="P14" s="86">
        <v>43172</v>
      </c>
      <c r="Q14" s="86">
        <v>43215</v>
      </c>
      <c r="R14" s="85" t="s">
        <v>1652</v>
      </c>
      <c r="S14" s="86">
        <v>44317</v>
      </c>
      <c r="T14" s="85" t="s">
        <v>1652</v>
      </c>
      <c r="U14" s="86">
        <v>43447</v>
      </c>
      <c r="V14" s="86">
        <v>43830</v>
      </c>
      <c r="W14" s="85" t="s">
        <v>1653</v>
      </c>
      <c r="X14" s="85" t="s">
        <v>114</v>
      </c>
      <c r="Y14" s="85">
        <v>1</v>
      </c>
      <c r="Z14" s="85" t="s">
        <v>114</v>
      </c>
      <c r="AA14" s="85"/>
      <c r="AB14" s="85" t="s">
        <v>114</v>
      </c>
      <c r="AC14" s="85" t="s">
        <v>114</v>
      </c>
      <c r="AD14" s="85" t="s">
        <v>114</v>
      </c>
      <c r="AE14" s="85"/>
      <c r="AF14" s="85"/>
      <c r="AG14" s="86">
        <v>43490</v>
      </c>
      <c r="AH14" s="85" t="s">
        <v>1923</v>
      </c>
      <c r="AI14" s="86">
        <v>42466</v>
      </c>
      <c r="AJ14" s="86">
        <v>43172</v>
      </c>
      <c r="AK14" s="86">
        <v>42467</v>
      </c>
      <c r="AL14" s="85" t="s">
        <v>107</v>
      </c>
      <c r="AM14" s="85" t="s">
        <v>107</v>
      </c>
      <c r="AN14" s="86">
        <v>43376</v>
      </c>
      <c r="AO14" s="86">
        <v>43325</v>
      </c>
      <c r="AP14" s="86">
        <v>43046</v>
      </c>
      <c r="AQ14" s="86">
        <v>42485</v>
      </c>
      <c r="AR14" s="86">
        <v>43325</v>
      </c>
      <c r="AS14" s="86">
        <v>43325</v>
      </c>
      <c r="AT14" s="86">
        <v>43325</v>
      </c>
      <c r="AU14" s="86">
        <v>43325</v>
      </c>
      <c r="AV14" s="86">
        <v>43325</v>
      </c>
      <c r="AW14" s="86">
        <v>43325</v>
      </c>
    </row>
    <row r="15" spans="1:49" x14ac:dyDescent="0.2">
      <c r="A15" s="85" t="s">
        <v>150</v>
      </c>
      <c r="B15" s="85" t="s">
        <v>151</v>
      </c>
      <c r="C15" s="85" t="s">
        <v>152</v>
      </c>
      <c r="D15" s="85" t="s">
        <v>153</v>
      </c>
      <c r="E15" s="85" t="s">
        <v>143</v>
      </c>
      <c r="F15" s="85" t="s">
        <v>122</v>
      </c>
      <c r="G15" s="85" t="s">
        <v>4</v>
      </c>
      <c r="H15" s="85" t="s">
        <v>5</v>
      </c>
      <c r="I15" s="86">
        <v>43501</v>
      </c>
      <c r="J15" s="86">
        <v>43487</v>
      </c>
      <c r="K15" s="86">
        <v>43497</v>
      </c>
      <c r="L15" s="85" t="s">
        <v>99</v>
      </c>
      <c r="M15" s="86">
        <v>43132</v>
      </c>
      <c r="N15" s="85" t="s">
        <v>107</v>
      </c>
      <c r="O15" s="86">
        <v>43254</v>
      </c>
      <c r="P15" s="86">
        <v>43213</v>
      </c>
      <c r="Q15" s="86">
        <v>43619</v>
      </c>
      <c r="R15" s="85" t="s">
        <v>1652</v>
      </c>
      <c r="S15" s="86">
        <v>43983</v>
      </c>
      <c r="T15" s="85" t="s">
        <v>1652</v>
      </c>
      <c r="U15" s="86">
        <v>43440</v>
      </c>
      <c r="V15" s="86">
        <v>43646</v>
      </c>
      <c r="W15" s="85" t="s">
        <v>1655</v>
      </c>
      <c r="X15" s="85" t="s">
        <v>114</v>
      </c>
      <c r="Y15" s="85">
        <v>1</v>
      </c>
      <c r="Z15" s="85" t="s">
        <v>114</v>
      </c>
      <c r="AA15" s="85"/>
      <c r="AB15" s="85" t="s">
        <v>114</v>
      </c>
      <c r="AC15" s="85" t="s">
        <v>114</v>
      </c>
      <c r="AD15" s="85" t="s">
        <v>114</v>
      </c>
      <c r="AE15" s="85"/>
      <c r="AF15" s="85"/>
      <c r="AG15" s="86">
        <v>43479</v>
      </c>
      <c r="AH15" s="85" t="s">
        <v>107</v>
      </c>
      <c r="AI15" s="86">
        <v>43136</v>
      </c>
      <c r="AJ15" s="86">
        <v>43136</v>
      </c>
      <c r="AK15" s="86">
        <v>43131</v>
      </c>
      <c r="AL15" s="85" t="s">
        <v>107</v>
      </c>
      <c r="AM15" s="85" t="s">
        <v>107</v>
      </c>
      <c r="AN15" s="86">
        <v>43479</v>
      </c>
      <c r="AO15" s="86">
        <v>43207</v>
      </c>
      <c r="AP15" s="86">
        <v>43479</v>
      </c>
      <c r="AQ15" s="86">
        <v>43118</v>
      </c>
      <c r="AR15" s="86">
        <v>43479</v>
      </c>
      <c r="AS15" s="86">
        <v>43479</v>
      </c>
      <c r="AT15" s="86">
        <v>43479</v>
      </c>
      <c r="AU15" s="86">
        <v>43479</v>
      </c>
      <c r="AV15" s="86">
        <v>43479</v>
      </c>
      <c r="AW15" s="86">
        <v>43479</v>
      </c>
    </row>
    <row r="16" spans="1:49" x14ac:dyDescent="0.2">
      <c r="A16" s="85" t="s">
        <v>154</v>
      </c>
      <c r="B16" s="85" t="s">
        <v>155</v>
      </c>
      <c r="C16" s="85" t="s">
        <v>156</v>
      </c>
      <c r="D16" s="85" t="s">
        <v>157</v>
      </c>
      <c r="E16" s="85" t="s">
        <v>158</v>
      </c>
      <c r="F16" s="85" t="s">
        <v>144</v>
      </c>
      <c r="G16" s="85" t="s">
        <v>4</v>
      </c>
      <c r="H16" s="85" t="s">
        <v>8</v>
      </c>
      <c r="I16" s="86">
        <v>43461</v>
      </c>
      <c r="J16" s="86">
        <v>43208</v>
      </c>
      <c r="K16" s="86">
        <v>43313</v>
      </c>
      <c r="L16" s="85" t="s">
        <v>99</v>
      </c>
      <c r="M16" s="86">
        <v>43371</v>
      </c>
      <c r="N16" s="85" t="s">
        <v>107</v>
      </c>
      <c r="O16" s="86">
        <v>43313</v>
      </c>
      <c r="P16" s="86">
        <v>43325</v>
      </c>
      <c r="Q16" s="86">
        <v>43677</v>
      </c>
      <c r="R16" s="85" t="s">
        <v>1652</v>
      </c>
      <c r="S16" s="86">
        <v>44378</v>
      </c>
      <c r="T16" s="85" t="s">
        <v>1652</v>
      </c>
      <c r="U16" s="86">
        <v>43465</v>
      </c>
      <c r="V16" s="86">
        <v>43646</v>
      </c>
      <c r="W16" s="85" t="s">
        <v>1655</v>
      </c>
      <c r="X16" s="85" t="s">
        <v>114</v>
      </c>
      <c r="Y16" s="85">
        <v>4</v>
      </c>
      <c r="Z16" s="85" t="s">
        <v>114</v>
      </c>
      <c r="AA16" s="85"/>
      <c r="AB16" s="85" t="s">
        <v>114</v>
      </c>
      <c r="AC16" s="85" t="s">
        <v>114</v>
      </c>
      <c r="AD16" s="85" t="s">
        <v>119</v>
      </c>
      <c r="AE16" s="85" t="s">
        <v>1654</v>
      </c>
      <c r="AF16" s="85"/>
      <c r="AG16" s="86">
        <v>43479</v>
      </c>
      <c r="AH16" s="85" t="s">
        <v>107</v>
      </c>
      <c r="AI16" s="86">
        <v>43220</v>
      </c>
      <c r="AJ16" s="86">
        <v>43377</v>
      </c>
      <c r="AK16" s="86">
        <v>41600</v>
      </c>
      <c r="AL16" s="86">
        <v>40927</v>
      </c>
      <c r="AM16" s="86">
        <v>40927</v>
      </c>
      <c r="AN16" s="86">
        <v>43390</v>
      </c>
      <c r="AO16" s="86">
        <v>43223</v>
      </c>
      <c r="AP16" s="86">
        <v>43223</v>
      </c>
      <c r="AQ16" s="86">
        <v>43223</v>
      </c>
      <c r="AR16" s="86">
        <v>43223</v>
      </c>
      <c r="AS16" s="86">
        <v>43223</v>
      </c>
      <c r="AT16" s="86">
        <v>43223</v>
      </c>
      <c r="AU16" s="86">
        <v>43223</v>
      </c>
      <c r="AV16" s="86">
        <v>43223</v>
      </c>
      <c r="AW16" s="86">
        <v>43223</v>
      </c>
    </row>
    <row r="17" spans="1:49" x14ac:dyDescent="0.2">
      <c r="A17" s="85" t="s">
        <v>159</v>
      </c>
      <c r="B17" s="85" t="s">
        <v>160</v>
      </c>
      <c r="C17" s="85" t="s">
        <v>161</v>
      </c>
      <c r="D17" s="85" t="s">
        <v>162</v>
      </c>
      <c r="E17" s="85" t="s">
        <v>163</v>
      </c>
      <c r="F17" s="85" t="s">
        <v>106</v>
      </c>
      <c r="G17" s="85" t="s">
        <v>4</v>
      </c>
      <c r="H17" s="85" t="s">
        <v>8</v>
      </c>
      <c r="I17" s="85" t="s">
        <v>107</v>
      </c>
      <c r="J17" s="86">
        <v>43312</v>
      </c>
      <c r="K17" s="86">
        <v>43497</v>
      </c>
      <c r="L17" s="85" t="s">
        <v>107</v>
      </c>
      <c r="M17" s="85" t="s">
        <v>107</v>
      </c>
      <c r="N17" s="85" t="s">
        <v>107</v>
      </c>
      <c r="O17" s="85" t="s">
        <v>107</v>
      </c>
      <c r="P17" s="85" t="s">
        <v>107</v>
      </c>
      <c r="Q17" s="86">
        <v>43697</v>
      </c>
      <c r="R17" s="85" t="s">
        <v>107</v>
      </c>
      <c r="S17" s="85" t="s">
        <v>107</v>
      </c>
      <c r="T17" s="85" t="s">
        <v>107</v>
      </c>
      <c r="U17" s="85" t="s">
        <v>107</v>
      </c>
      <c r="V17" s="85" t="s">
        <v>107</v>
      </c>
      <c r="W17" s="85" t="s">
        <v>107</v>
      </c>
      <c r="X17" s="85" t="s">
        <v>107</v>
      </c>
      <c r="Y17" s="85" t="s">
        <v>107</v>
      </c>
      <c r="Z17" s="85" t="s">
        <v>107</v>
      </c>
      <c r="AA17" s="85" t="s">
        <v>107</v>
      </c>
      <c r="AB17" s="85" t="s">
        <v>107</v>
      </c>
      <c r="AC17" s="85" t="s">
        <v>107</v>
      </c>
      <c r="AD17" s="85" t="s">
        <v>107</v>
      </c>
      <c r="AE17" s="85" t="s">
        <v>107</v>
      </c>
      <c r="AF17" s="85" t="s">
        <v>107</v>
      </c>
      <c r="AG17" s="86">
        <v>43375</v>
      </c>
      <c r="AH17" s="85" t="s">
        <v>107</v>
      </c>
      <c r="AI17" s="85" t="s">
        <v>107</v>
      </c>
      <c r="AJ17" s="85" t="s">
        <v>107</v>
      </c>
      <c r="AK17" s="85" t="s">
        <v>107</v>
      </c>
      <c r="AL17" s="85" t="s">
        <v>107</v>
      </c>
      <c r="AM17" s="85" t="s">
        <v>107</v>
      </c>
      <c r="AN17" s="86">
        <v>43405</v>
      </c>
      <c r="AO17" s="86">
        <v>43209</v>
      </c>
      <c r="AP17" s="86">
        <v>43046</v>
      </c>
      <c r="AQ17" s="86">
        <v>41640</v>
      </c>
      <c r="AR17" s="86">
        <v>43172</v>
      </c>
      <c r="AS17" s="86">
        <v>42989</v>
      </c>
      <c r="AT17" s="86">
        <v>43073</v>
      </c>
      <c r="AU17" s="85" t="s">
        <v>107</v>
      </c>
      <c r="AV17" s="86">
        <v>43172</v>
      </c>
      <c r="AW17" s="86">
        <v>43172</v>
      </c>
    </row>
    <row r="18" spans="1:49" x14ac:dyDescent="0.2">
      <c r="A18" s="85" t="s">
        <v>164</v>
      </c>
      <c r="B18" s="85" t="s">
        <v>165</v>
      </c>
      <c r="C18" s="85" t="s">
        <v>166</v>
      </c>
      <c r="D18" s="85" t="s">
        <v>167</v>
      </c>
      <c r="E18" s="85" t="s">
        <v>126</v>
      </c>
      <c r="F18" s="85" t="s">
        <v>122</v>
      </c>
      <c r="G18" s="85" t="s">
        <v>4</v>
      </c>
      <c r="H18" s="85" t="s">
        <v>10</v>
      </c>
      <c r="I18" s="86">
        <v>43493</v>
      </c>
      <c r="J18" s="86">
        <v>43297</v>
      </c>
      <c r="K18" s="86">
        <v>42979</v>
      </c>
      <c r="L18" s="85" t="s">
        <v>99</v>
      </c>
      <c r="M18" s="86">
        <v>42979</v>
      </c>
      <c r="N18" s="85" t="s">
        <v>107</v>
      </c>
      <c r="O18" s="86">
        <v>42979</v>
      </c>
      <c r="P18" s="86">
        <v>43243</v>
      </c>
      <c r="Q18" s="86">
        <v>43392</v>
      </c>
      <c r="R18" s="85" t="s">
        <v>1652</v>
      </c>
      <c r="S18" s="86">
        <v>43497</v>
      </c>
      <c r="T18" s="85" t="s">
        <v>1652</v>
      </c>
      <c r="U18" s="86">
        <v>43368</v>
      </c>
      <c r="V18" s="86">
        <v>43555</v>
      </c>
      <c r="W18" s="85" t="s">
        <v>1657</v>
      </c>
      <c r="X18" s="85" t="s">
        <v>114</v>
      </c>
      <c r="Y18" s="85">
        <v>1</v>
      </c>
      <c r="Z18" s="85" t="s">
        <v>114</v>
      </c>
      <c r="AA18" s="85"/>
      <c r="AB18" s="85" t="s">
        <v>114</v>
      </c>
      <c r="AC18" s="85" t="s">
        <v>114</v>
      </c>
      <c r="AD18" s="85" t="s">
        <v>114</v>
      </c>
      <c r="AE18" s="85"/>
      <c r="AF18" s="85"/>
      <c r="AG18" s="86">
        <v>43344</v>
      </c>
      <c r="AH18" s="85" t="s">
        <v>107</v>
      </c>
      <c r="AI18" s="86">
        <v>42270</v>
      </c>
      <c r="AJ18" s="86">
        <v>43178</v>
      </c>
      <c r="AK18" s="86">
        <v>42343</v>
      </c>
      <c r="AL18" s="85" t="s">
        <v>107</v>
      </c>
      <c r="AM18" s="85" t="s">
        <v>107</v>
      </c>
      <c r="AN18" s="86">
        <v>43398</v>
      </c>
      <c r="AO18" s="86">
        <v>43237</v>
      </c>
      <c r="AP18" s="86">
        <v>43046</v>
      </c>
      <c r="AQ18" s="86">
        <v>42485</v>
      </c>
      <c r="AR18" s="86">
        <v>43237</v>
      </c>
      <c r="AS18" s="86">
        <v>42962</v>
      </c>
      <c r="AT18" s="86">
        <v>43237</v>
      </c>
      <c r="AU18" s="86">
        <v>43237</v>
      </c>
      <c r="AV18" s="86">
        <v>43237</v>
      </c>
      <c r="AW18" s="86">
        <v>43237</v>
      </c>
    </row>
    <row r="19" spans="1:49" x14ac:dyDescent="0.2">
      <c r="A19" s="85" t="s">
        <v>168</v>
      </c>
      <c r="B19" s="85" t="s">
        <v>169</v>
      </c>
      <c r="C19" s="85" t="s">
        <v>170</v>
      </c>
      <c r="D19" s="85" t="s">
        <v>171</v>
      </c>
      <c r="E19" s="85" t="s">
        <v>119</v>
      </c>
      <c r="F19" s="85" t="s">
        <v>172</v>
      </c>
      <c r="G19" s="85" t="s">
        <v>4</v>
      </c>
      <c r="H19" s="85" t="s">
        <v>12</v>
      </c>
      <c r="I19" s="86">
        <v>43367</v>
      </c>
      <c r="J19" s="86">
        <v>43320</v>
      </c>
      <c r="K19" s="86">
        <v>43270</v>
      </c>
      <c r="L19" s="85" t="s">
        <v>99</v>
      </c>
      <c r="M19" s="86">
        <v>43509</v>
      </c>
      <c r="N19" s="85" t="s">
        <v>107</v>
      </c>
      <c r="O19" s="86">
        <v>42968</v>
      </c>
      <c r="P19" s="86">
        <v>43144</v>
      </c>
      <c r="Q19" s="86">
        <v>43638</v>
      </c>
      <c r="R19" s="85" t="s">
        <v>1658</v>
      </c>
      <c r="S19" s="86">
        <v>43617</v>
      </c>
      <c r="T19" s="85" t="s">
        <v>1652</v>
      </c>
      <c r="U19" s="85" t="s">
        <v>59</v>
      </c>
      <c r="V19" s="85" t="s">
        <v>59</v>
      </c>
      <c r="W19" s="85" t="s">
        <v>59</v>
      </c>
      <c r="X19" s="85" t="s">
        <v>114</v>
      </c>
      <c r="Y19" s="85">
        <v>1</v>
      </c>
      <c r="Z19" s="85" t="s">
        <v>211</v>
      </c>
      <c r="AA19" s="85"/>
      <c r="AB19" s="85" t="s">
        <v>114</v>
      </c>
      <c r="AC19" s="85" t="s">
        <v>114</v>
      </c>
      <c r="AD19" s="85" t="s">
        <v>211</v>
      </c>
      <c r="AE19" s="85" t="s">
        <v>1782</v>
      </c>
      <c r="AF19" s="86">
        <v>43573</v>
      </c>
      <c r="AG19" s="86">
        <v>43159</v>
      </c>
      <c r="AH19" s="85" t="s">
        <v>107</v>
      </c>
      <c r="AI19" s="86">
        <v>43141</v>
      </c>
      <c r="AJ19" s="86">
        <v>43396</v>
      </c>
      <c r="AK19" s="85"/>
      <c r="AL19" s="86">
        <v>42627</v>
      </c>
      <c r="AM19" s="86">
        <v>42627</v>
      </c>
      <c r="AN19" s="86">
        <v>43376</v>
      </c>
      <c r="AO19" s="86">
        <v>43213</v>
      </c>
      <c r="AP19" s="86">
        <v>43104</v>
      </c>
      <c r="AQ19" s="86">
        <v>43083</v>
      </c>
      <c r="AR19" s="86">
        <v>43083</v>
      </c>
      <c r="AS19" s="86">
        <v>43109</v>
      </c>
      <c r="AT19" s="86">
        <v>43083</v>
      </c>
      <c r="AU19" s="86">
        <v>43083</v>
      </c>
      <c r="AV19" s="86">
        <v>43083</v>
      </c>
      <c r="AW19" s="86">
        <v>43083</v>
      </c>
    </row>
    <row r="20" spans="1:49" x14ac:dyDescent="0.2">
      <c r="A20" s="85" t="s">
        <v>173</v>
      </c>
      <c r="B20" s="85" t="s">
        <v>174</v>
      </c>
      <c r="C20" s="85" t="s">
        <v>175</v>
      </c>
      <c r="D20" s="85" t="s">
        <v>176</v>
      </c>
      <c r="E20" s="85" t="s">
        <v>149</v>
      </c>
      <c r="F20" s="85" t="s">
        <v>113</v>
      </c>
      <c r="G20" s="85" t="s">
        <v>4</v>
      </c>
      <c r="H20" s="85" t="s">
        <v>5</v>
      </c>
      <c r="I20" s="86">
        <v>43486</v>
      </c>
      <c r="J20" s="86">
        <v>43505</v>
      </c>
      <c r="K20" s="86">
        <v>43505</v>
      </c>
      <c r="L20" s="85" t="s">
        <v>99</v>
      </c>
      <c r="M20" s="86">
        <v>43171</v>
      </c>
      <c r="N20" s="85" t="s">
        <v>107</v>
      </c>
      <c r="O20" s="86">
        <v>43167</v>
      </c>
      <c r="P20" s="86">
        <v>43263</v>
      </c>
      <c r="Q20" s="86">
        <v>43532</v>
      </c>
      <c r="R20" s="85" t="s">
        <v>1652</v>
      </c>
      <c r="S20" s="86">
        <v>43891</v>
      </c>
      <c r="T20" s="85" t="s">
        <v>1652</v>
      </c>
      <c r="U20" s="86">
        <v>43450</v>
      </c>
      <c r="V20" s="86">
        <v>43646</v>
      </c>
      <c r="W20" s="85" t="s">
        <v>1657</v>
      </c>
      <c r="X20" s="85" t="s">
        <v>114</v>
      </c>
      <c r="Y20" s="85">
        <v>1</v>
      </c>
      <c r="Z20" s="85" t="s">
        <v>114</v>
      </c>
      <c r="AA20" s="85"/>
      <c r="AB20" s="85" t="s">
        <v>114</v>
      </c>
      <c r="AC20" s="85" t="s">
        <v>114</v>
      </c>
      <c r="AD20" s="85" t="s">
        <v>211</v>
      </c>
      <c r="AE20" s="85" t="s">
        <v>1654</v>
      </c>
      <c r="AF20" s="86">
        <v>43525</v>
      </c>
      <c r="AG20" s="86">
        <v>43171</v>
      </c>
      <c r="AH20" s="85" t="s">
        <v>107</v>
      </c>
      <c r="AI20" s="85"/>
      <c r="AJ20" s="85"/>
      <c r="AK20" s="86">
        <v>43167</v>
      </c>
      <c r="AL20" s="85" t="s">
        <v>107</v>
      </c>
      <c r="AM20" s="85" t="s">
        <v>107</v>
      </c>
      <c r="AN20" s="86">
        <v>43467</v>
      </c>
      <c r="AO20" s="86">
        <v>43467</v>
      </c>
      <c r="AP20" s="86">
        <v>43467</v>
      </c>
      <c r="AQ20" s="86">
        <v>43467</v>
      </c>
      <c r="AR20" s="86">
        <v>43467</v>
      </c>
      <c r="AS20" s="86">
        <v>43467</v>
      </c>
      <c r="AT20" s="86">
        <v>43467</v>
      </c>
      <c r="AU20" s="86">
        <v>43467</v>
      </c>
      <c r="AV20" s="86">
        <v>43467</v>
      </c>
      <c r="AW20" s="86">
        <v>43467</v>
      </c>
    </row>
    <row r="21" spans="1:49" x14ac:dyDescent="0.2">
      <c r="A21" s="85" t="s">
        <v>177</v>
      </c>
      <c r="B21" s="85" t="s">
        <v>178</v>
      </c>
      <c r="C21" s="85" t="s">
        <v>179</v>
      </c>
      <c r="D21" s="85" t="s">
        <v>180</v>
      </c>
      <c r="E21" s="85" t="s">
        <v>158</v>
      </c>
      <c r="F21" s="85" t="s">
        <v>144</v>
      </c>
      <c r="G21" s="85" t="s">
        <v>4</v>
      </c>
      <c r="H21" s="85" t="s">
        <v>12</v>
      </c>
      <c r="I21" s="86">
        <v>43368</v>
      </c>
      <c r="J21" s="86">
        <v>43472</v>
      </c>
      <c r="K21" s="86">
        <v>43221</v>
      </c>
      <c r="L21" s="85" t="s">
        <v>99</v>
      </c>
      <c r="M21" s="86">
        <v>42626</v>
      </c>
      <c r="N21" s="85" t="s">
        <v>107</v>
      </c>
      <c r="O21" s="86">
        <v>42765</v>
      </c>
      <c r="P21" s="86">
        <v>43213</v>
      </c>
      <c r="Q21" s="86">
        <v>43586</v>
      </c>
      <c r="R21" s="85" t="s">
        <v>1652</v>
      </c>
      <c r="S21" s="86">
        <v>45231</v>
      </c>
      <c r="T21" s="85" t="s">
        <v>1652</v>
      </c>
      <c r="U21" s="86">
        <v>43272</v>
      </c>
      <c r="V21" s="86">
        <v>43646</v>
      </c>
      <c r="W21" s="85" t="s">
        <v>1653</v>
      </c>
      <c r="X21" s="85" t="s">
        <v>114</v>
      </c>
      <c r="Y21" s="85">
        <v>1</v>
      </c>
      <c r="Z21" s="85" t="s">
        <v>114</v>
      </c>
      <c r="AA21" s="85"/>
      <c r="AB21" s="85" t="s">
        <v>114</v>
      </c>
      <c r="AC21" s="85" t="s">
        <v>114</v>
      </c>
      <c r="AD21" s="85" t="s">
        <v>114</v>
      </c>
      <c r="AE21" s="85"/>
      <c r="AF21" s="85"/>
      <c r="AG21" s="86">
        <v>43178</v>
      </c>
      <c r="AH21" s="85" t="s">
        <v>107</v>
      </c>
      <c r="AI21" s="86">
        <v>42095</v>
      </c>
      <c r="AJ21" s="86">
        <v>43225</v>
      </c>
      <c r="AK21" s="86">
        <v>43221</v>
      </c>
      <c r="AL21" s="85" t="s">
        <v>107</v>
      </c>
      <c r="AM21" s="85" t="s">
        <v>107</v>
      </c>
      <c r="AN21" s="86">
        <v>43376</v>
      </c>
      <c r="AO21" s="86">
        <v>43207</v>
      </c>
      <c r="AP21" s="86">
        <v>43060</v>
      </c>
      <c r="AQ21" s="86">
        <v>42300</v>
      </c>
      <c r="AR21" s="86">
        <v>43064</v>
      </c>
      <c r="AS21" s="86">
        <v>43069</v>
      </c>
      <c r="AT21" s="86">
        <v>43064</v>
      </c>
      <c r="AU21" s="86">
        <v>43064</v>
      </c>
      <c r="AV21" s="86">
        <v>43064</v>
      </c>
      <c r="AW21" s="86">
        <v>43064</v>
      </c>
    </row>
    <row r="22" spans="1:49" x14ac:dyDescent="0.2">
      <c r="A22" s="85" t="s">
        <v>1591</v>
      </c>
      <c r="B22" s="85" t="s">
        <v>1592</v>
      </c>
      <c r="C22" s="85" t="s">
        <v>1593</v>
      </c>
      <c r="D22" s="85" t="s">
        <v>1121</v>
      </c>
      <c r="E22" s="85" t="s">
        <v>291</v>
      </c>
      <c r="F22" s="85" t="s">
        <v>106</v>
      </c>
      <c r="G22" s="85" t="s">
        <v>4</v>
      </c>
      <c r="H22" s="85" t="s">
        <v>5</v>
      </c>
      <c r="I22" s="85" t="s">
        <v>107</v>
      </c>
      <c r="J22" s="86">
        <v>43341</v>
      </c>
      <c r="K22" s="86">
        <v>43341</v>
      </c>
      <c r="L22" s="85" t="s">
        <v>107</v>
      </c>
      <c r="M22" s="85" t="s">
        <v>107</v>
      </c>
      <c r="N22" s="85" t="s">
        <v>107</v>
      </c>
      <c r="O22" s="85" t="s">
        <v>107</v>
      </c>
      <c r="P22" s="85" t="s">
        <v>107</v>
      </c>
      <c r="Q22" s="85" t="s">
        <v>59</v>
      </c>
      <c r="R22" s="85" t="s">
        <v>107</v>
      </c>
      <c r="S22" s="85" t="s">
        <v>107</v>
      </c>
      <c r="T22" s="85" t="s">
        <v>107</v>
      </c>
      <c r="U22" s="85" t="s">
        <v>107</v>
      </c>
      <c r="V22" s="85" t="s">
        <v>107</v>
      </c>
      <c r="W22" s="85" t="s">
        <v>107</v>
      </c>
      <c r="X22" s="85" t="s">
        <v>107</v>
      </c>
      <c r="Y22" s="85" t="s">
        <v>107</v>
      </c>
      <c r="Z22" s="85" t="s">
        <v>107</v>
      </c>
      <c r="AA22" s="85" t="s">
        <v>107</v>
      </c>
      <c r="AB22" s="85" t="s">
        <v>107</v>
      </c>
      <c r="AC22" s="85" t="s">
        <v>107</v>
      </c>
      <c r="AD22" s="85" t="s">
        <v>107</v>
      </c>
      <c r="AE22" s="85" t="s">
        <v>107</v>
      </c>
      <c r="AF22" s="85" t="s">
        <v>107</v>
      </c>
      <c r="AG22" s="86">
        <v>43342</v>
      </c>
      <c r="AH22" s="85" t="s">
        <v>107</v>
      </c>
      <c r="AI22" s="85" t="s">
        <v>107</v>
      </c>
      <c r="AJ22" s="85" t="s">
        <v>107</v>
      </c>
      <c r="AK22" s="85" t="s">
        <v>107</v>
      </c>
      <c r="AL22" s="85" t="s">
        <v>107</v>
      </c>
      <c r="AM22" s="85" t="s">
        <v>107</v>
      </c>
      <c r="AN22" s="85"/>
      <c r="AO22" s="86">
        <v>43340</v>
      </c>
      <c r="AP22" s="86">
        <v>43340</v>
      </c>
      <c r="AQ22" s="86">
        <v>43340</v>
      </c>
      <c r="AR22" s="86">
        <v>43340</v>
      </c>
      <c r="AS22" s="86">
        <v>43340</v>
      </c>
      <c r="AT22" s="86">
        <v>43340</v>
      </c>
      <c r="AU22" s="85" t="s">
        <v>107</v>
      </c>
      <c r="AV22" s="86">
        <v>43340</v>
      </c>
      <c r="AW22" s="86">
        <v>43340</v>
      </c>
    </row>
    <row r="23" spans="1:49" x14ac:dyDescent="0.2">
      <c r="A23" s="85" t="s">
        <v>181</v>
      </c>
      <c r="B23" s="85" t="s">
        <v>182</v>
      </c>
      <c r="C23" s="85" t="s">
        <v>183</v>
      </c>
      <c r="D23" s="85" t="s">
        <v>184</v>
      </c>
      <c r="E23" s="85" t="s">
        <v>126</v>
      </c>
      <c r="F23" s="85" t="s">
        <v>106</v>
      </c>
      <c r="G23" s="85" t="s">
        <v>4</v>
      </c>
      <c r="H23" s="85" t="s">
        <v>7</v>
      </c>
      <c r="I23" s="85" t="s">
        <v>107</v>
      </c>
      <c r="J23" s="86">
        <v>43167</v>
      </c>
      <c r="K23" s="86">
        <v>43164</v>
      </c>
      <c r="L23" s="85" t="s">
        <v>107</v>
      </c>
      <c r="M23" s="85" t="s">
        <v>107</v>
      </c>
      <c r="N23" s="85" t="s">
        <v>107</v>
      </c>
      <c r="O23" s="85" t="s">
        <v>107</v>
      </c>
      <c r="P23" s="85" t="s">
        <v>107</v>
      </c>
      <c r="Q23" s="86">
        <v>43532</v>
      </c>
      <c r="R23" s="85" t="s">
        <v>107</v>
      </c>
      <c r="S23" s="85" t="s">
        <v>107</v>
      </c>
      <c r="T23" s="85" t="s">
        <v>107</v>
      </c>
      <c r="U23" s="85" t="s">
        <v>107</v>
      </c>
      <c r="V23" s="85" t="s">
        <v>107</v>
      </c>
      <c r="W23" s="85" t="s">
        <v>107</v>
      </c>
      <c r="X23" s="85" t="s">
        <v>107</v>
      </c>
      <c r="Y23" s="85" t="s">
        <v>107</v>
      </c>
      <c r="Z23" s="85" t="s">
        <v>107</v>
      </c>
      <c r="AA23" s="85" t="s">
        <v>107</v>
      </c>
      <c r="AB23" s="85" t="s">
        <v>107</v>
      </c>
      <c r="AC23" s="85" t="s">
        <v>107</v>
      </c>
      <c r="AD23" s="85" t="s">
        <v>107</v>
      </c>
      <c r="AE23" s="85" t="s">
        <v>107</v>
      </c>
      <c r="AF23" s="85" t="s">
        <v>107</v>
      </c>
      <c r="AG23" s="86">
        <v>43167</v>
      </c>
      <c r="AH23" s="85" t="s">
        <v>107</v>
      </c>
      <c r="AI23" s="85" t="s">
        <v>107</v>
      </c>
      <c r="AJ23" s="85" t="s">
        <v>107</v>
      </c>
      <c r="AK23" s="85" t="s">
        <v>107</v>
      </c>
      <c r="AL23" s="85" t="s">
        <v>107</v>
      </c>
      <c r="AM23" s="85" t="s">
        <v>107</v>
      </c>
      <c r="AN23" s="85" t="s">
        <v>59</v>
      </c>
      <c r="AO23" s="85" t="s">
        <v>59</v>
      </c>
      <c r="AP23" s="85" t="s">
        <v>59</v>
      </c>
      <c r="AQ23" s="85" t="s">
        <v>59</v>
      </c>
      <c r="AR23" s="85" t="s">
        <v>59</v>
      </c>
      <c r="AS23" s="85" t="s">
        <v>59</v>
      </c>
      <c r="AT23" s="85" t="s">
        <v>59</v>
      </c>
      <c r="AU23" s="85" t="s">
        <v>107</v>
      </c>
      <c r="AV23" s="85" t="s">
        <v>59</v>
      </c>
      <c r="AW23" s="85" t="s">
        <v>59</v>
      </c>
    </row>
    <row r="24" spans="1:49" x14ac:dyDescent="0.2">
      <c r="A24" s="85" t="s">
        <v>1825</v>
      </c>
      <c r="B24" s="85" t="s">
        <v>1826</v>
      </c>
      <c r="C24" s="85" t="s">
        <v>1827</v>
      </c>
      <c r="D24" s="85" t="s">
        <v>1828</v>
      </c>
      <c r="E24" s="85" t="s">
        <v>141</v>
      </c>
      <c r="F24" s="85" t="s">
        <v>122</v>
      </c>
      <c r="G24" s="85" t="s">
        <v>4</v>
      </c>
      <c r="H24" s="85" t="s">
        <v>12</v>
      </c>
      <c r="I24" s="86">
        <v>43313</v>
      </c>
      <c r="J24" s="85"/>
      <c r="K24" s="86">
        <v>43510</v>
      </c>
      <c r="L24" s="85" t="s">
        <v>99</v>
      </c>
      <c r="M24" s="85"/>
      <c r="N24" s="85" t="s">
        <v>107</v>
      </c>
      <c r="O24" s="86">
        <v>43510</v>
      </c>
      <c r="P24" s="85"/>
      <c r="Q24" s="85" t="s">
        <v>59</v>
      </c>
      <c r="R24" s="85" t="s">
        <v>1652</v>
      </c>
      <c r="S24" s="85" t="s">
        <v>59</v>
      </c>
      <c r="T24" s="85" t="s">
        <v>59</v>
      </c>
      <c r="U24" s="86">
        <v>43294</v>
      </c>
      <c r="V24" s="86">
        <v>43677</v>
      </c>
      <c r="W24" s="85" t="s">
        <v>1653</v>
      </c>
      <c r="X24" s="85" t="s">
        <v>114</v>
      </c>
      <c r="Y24" s="85">
        <v>4</v>
      </c>
      <c r="Z24" s="85" t="s">
        <v>114</v>
      </c>
      <c r="AA24" s="85"/>
      <c r="AB24" s="85" t="s">
        <v>211</v>
      </c>
      <c r="AC24" s="85" t="s">
        <v>114</v>
      </c>
      <c r="AD24" s="85" t="s">
        <v>119</v>
      </c>
      <c r="AE24" s="85" t="s">
        <v>1878</v>
      </c>
      <c r="AF24" s="85"/>
      <c r="AG24" s="85" t="s">
        <v>59</v>
      </c>
      <c r="AH24" s="85" t="s">
        <v>107</v>
      </c>
      <c r="AI24" s="85" t="s">
        <v>59</v>
      </c>
      <c r="AJ24" s="85" t="s">
        <v>59</v>
      </c>
      <c r="AK24" s="85" t="s">
        <v>59</v>
      </c>
      <c r="AL24" s="85" t="s">
        <v>107</v>
      </c>
      <c r="AM24" s="85" t="s">
        <v>107</v>
      </c>
      <c r="AN24" s="86">
        <v>43475</v>
      </c>
      <c r="AO24" s="86">
        <v>43475</v>
      </c>
      <c r="AP24" s="86">
        <v>43475</v>
      </c>
      <c r="AQ24" s="86">
        <v>43475</v>
      </c>
      <c r="AR24" s="86">
        <v>43475</v>
      </c>
      <c r="AS24" s="86">
        <v>43475</v>
      </c>
      <c r="AT24" s="86">
        <v>43475</v>
      </c>
      <c r="AU24" s="86">
        <v>43475</v>
      </c>
      <c r="AV24" s="86">
        <v>43475</v>
      </c>
      <c r="AW24" s="86">
        <v>43475</v>
      </c>
    </row>
    <row r="25" spans="1:49" x14ac:dyDescent="0.2">
      <c r="A25" s="85" t="s">
        <v>185</v>
      </c>
      <c r="B25" s="85" t="s">
        <v>186</v>
      </c>
      <c r="C25" s="85" t="s">
        <v>187</v>
      </c>
      <c r="D25" s="85" t="s">
        <v>188</v>
      </c>
      <c r="E25" s="85" t="s">
        <v>149</v>
      </c>
      <c r="F25" s="85" t="s">
        <v>127</v>
      </c>
      <c r="G25" s="85" t="s">
        <v>4</v>
      </c>
      <c r="H25" s="85" t="s">
        <v>7</v>
      </c>
      <c r="I25" s="86">
        <v>43463</v>
      </c>
      <c r="J25" s="86">
        <v>43167</v>
      </c>
      <c r="K25" s="86">
        <v>43164</v>
      </c>
      <c r="L25" s="85" t="s">
        <v>99</v>
      </c>
      <c r="M25" s="86">
        <v>43243</v>
      </c>
      <c r="N25" s="85" t="s">
        <v>107</v>
      </c>
      <c r="O25" s="86">
        <v>43164</v>
      </c>
      <c r="P25" s="86">
        <v>43214</v>
      </c>
      <c r="Q25" s="86">
        <v>43532</v>
      </c>
      <c r="R25" s="85" t="s">
        <v>1652</v>
      </c>
      <c r="S25" s="86">
        <v>45139</v>
      </c>
      <c r="T25" s="85" t="s">
        <v>1652</v>
      </c>
      <c r="U25" s="86">
        <v>43411</v>
      </c>
      <c r="V25" s="86">
        <v>43799</v>
      </c>
      <c r="W25" s="85" t="s">
        <v>1653</v>
      </c>
      <c r="X25" s="85" t="s">
        <v>114</v>
      </c>
      <c r="Y25" s="85">
        <v>1</v>
      </c>
      <c r="Z25" s="85" t="s">
        <v>114</v>
      </c>
      <c r="AA25" s="85"/>
      <c r="AB25" s="85" t="s">
        <v>114</v>
      </c>
      <c r="AC25" s="85" t="s">
        <v>114</v>
      </c>
      <c r="AD25" s="85" t="s">
        <v>114</v>
      </c>
      <c r="AE25" s="85"/>
      <c r="AF25" s="85"/>
      <c r="AG25" s="86">
        <v>43167</v>
      </c>
      <c r="AH25" s="85" t="s">
        <v>107</v>
      </c>
      <c r="AI25" s="86">
        <v>42522</v>
      </c>
      <c r="AJ25" s="86">
        <v>43411</v>
      </c>
      <c r="AK25" s="86">
        <v>43164</v>
      </c>
      <c r="AL25" s="85" t="s">
        <v>107</v>
      </c>
      <c r="AM25" s="85" t="s">
        <v>107</v>
      </c>
      <c r="AN25" s="86">
        <v>43398</v>
      </c>
      <c r="AO25" s="86">
        <v>43207</v>
      </c>
      <c r="AP25" s="86">
        <v>43047</v>
      </c>
      <c r="AQ25" s="86">
        <v>42248</v>
      </c>
      <c r="AR25" s="86">
        <v>43124</v>
      </c>
      <c r="AS25" s="86">
        <v>43152</v>
      </c>
      <c r="AT25" s="86">
        <v>42986</v>
      </c>
      <c r="AU25" s="86">
        <v>43124</v>
      </c>
      <c r="AV25" s="86">
        <v>43124</v>
      </c>
      <c r="AW25" s="86">
        <v>43124</v>
      </c>
    </row>
    <row r="26" spans="1:49" x14ac:dyDescent="0.2">
      <c r="A26" s="85" t="s">
        <v>1745</v>
      </c>
      <c r="B26" s="85" t="s">
        <v>1746</v>
      </c>
      <c r="C26" s="85" t="s">
        <v>1747</v>
      </c>
      <c r="D26" s="85" t="s">
        <v>1297</v>
      </c>
      <c r="E26" s="85" t="s">
        <v>126</v>
      </c>
      <c r="F26" s="85" t="s">
        <v>106</v>
      </c>
      <c r="G26" s="85" t="s">
        <v>4</v>
      </c>
      <c r="H26" s="85" t="s">
        <v>7</v>
      </c>
      <c r="I26" s="85" t="s">
        <v>107</v>
      </c>
      <c r="J26" s="85" t="s">
        <v>59</v>
      </c>
      <c r="K26" s="85" t="s">
        <v>59</v>
      </c>
      <c r="L26" s="85" t="s">
        <v>107</v>
      </c>
      <c r="M26" s="85" t="s">
        <v>107</v>
      </c>
      <c r="N26" s="85" t="s">
        <v>107</v>
      </c>
      <c r="O26" s="85" t="s">
        <v>107</v>
      </c>
      <c r="P26" s="85" t="s">
        <v>107</v>
      </c>
      <c r="Q26" s="85" t="s">
        <v>59</v>
      </c>
      <c r="R26" s="85" t="s">
        <v>107</v>
      </c>
      <c r="S26" s="85" t="s">
        <v>107</v>
      </c>
      <c r="T26" s="85" t="s">
        <v>107</v>
      </c>
      <c r="U26" s="85" t="s">
        <v>107</v>
      </c>
      <c r="V26" s="85" t="s">
        <v>107</v>
      </c>
      <c r="W26" s="85" t="s">
        <v>107</v>
      </c>
      <c r="X26" s="85" t="s">
        <v>107</v>
      </c>
      <c r="Y26" s="85" t="s">
        <v>107</v>
      </c>
      <c r="Z26" s="85" t="s">
        <v>107</v>
      </c>
      <c r="AA26" s="85" t="s">
        <v>107</v>
      </c>
      <c r="AB26" s="85" t="s">
        <v>107</v>
      </c>
      <c r="AC26" s="85" t="s">
        <v>107</v>
      </c>
      <c r="AD26" s="85" t="s">
        <v>107</v>
      </c>
      <c r="AE26" s="85" t="s">
        <v>107</v>
      </c>
      <c r="AF26" s="85" t="s">
        <v>107</v>
      </c>
      <c r="AG26" s="85" t="s">
        <v>59</v>
      </c>
      <c r="AH26" s="85" t="s">
        <v>1924</v>
      </c>
      <c r="AI26" s="85" t="s">
        <v>107</v>
      </c>
      <c r="AJ26" s="85" t="s">
        <v>107</v>
      </c>
      <c r="AK26" s="85" t="s">
        <v>107</v>
      </c>
      <c r="AL26" s="85" t="s">
        <v>107</v>
      </c>
      <c r="AM26" s="85" t="s">
        <v>107</v>
      </c>
      <c r="AN26" s="86">
        <v>43438</v>
      </c>
      <c r="AO26" s="86">
        <v>43438</v>
      </c>
      <c r="AP26" s="86">
        <v>43438</v>
      </c>
      <c r="AQ26" s="86">
        <v>43438</v>
      </c>
      <c r="AR26" s="86">
        <v>43438</v>
      </c>
      <c r="AS26" s="86">
        <v>43438</v>
      </c>
      <c r="AT26" s="86">
        <v>43438</v>
      </c>
      <c r="AU26" s="85" t="s">
        <v>107</v>
      </c>
      <c r="AV26" s="86">
        <v>43438</v>
      </c>
      <c r="AW26" s="86">
        <v>43438</v>
      </c>
    </row>
    <row r="27" spans="1:49" x14ac:dyDescent="0.2">
      <c r="A27" s="85" t="s">
        <v>189</v>
      </c>
      <c r="B27" s="85" t="s">
        <v>190</v>
      </c>
      <c r="C27" s="85" t="s">
        <v>191</v>
      </c>
      <c r="D27" s="85" t="s">
        <v>162</v>
      </c>
      <c r="E27" s="85" t="s">
        <v>149</v>
      </c>
      <c r="F27" s="85" t="s">
        <v>127</v>
      </c>
      <c r="G27" s="85" t="s">
        <v>4</v>
      </c>
      <c r="H27" s="85" t="s">
        <v>11</v>
      </c>
      <c r="I27" s="86">
        <v>43367</v>
      </c>
      <c r="J27" s="86">
        <v>43488</v>
      </c>
      <c r="K27" s="86">
        <v>43341</v>
      </c>
      <c r="L27" s="85" t="s">
        <v>99</v>
      </c>
      <c r="M27" s="86">
        <v>43125</v>
      </c>
      <c r="N27" s="85" t="s">
        <v>107</v>
      </c>
      <c r="O27" s="86">
        <v>43137</v>
      </c>
      <c r="P27" s="86">
        <v>43377</v>
      </c>
      <c r="Q27" s="86">
        <v>43736</v>
      </c>
      <c r="R27" s="85" t="s">
        <v>1652</v>
      </c>
      <c r="S27" s="86">
        <v>44835</v>
      </c>
      <c r="T27" s="85" t="s">
        <v>1652</v>
      </c>
      <c r="U27" s="86">
        <v>43172</v>
      </c>
      <c r="V27" s="86">
        <v>43555</v>
      </c>
      <c r="W27" s="85" t="s">
        <v>1653</v>
      </c>
      <c r="X27" s="85" t="s">
        <v>114</v>
      </c>
      <c r="Y27" s="85">
        <v>1</v>
      </c>
      <c r="Z27" s="85" t="s">
        <v>114</v>
      </c>
      <c r="AA27" s="85"/>
      <c r="AB27" s="85" t="s">
        <v>114</v>
      </c>
      <c r="AC27" s="85" t="s">
        <v>114</v>
      </c>
      <c r="AD27" s="85" t="s">
        <v>114</v>
      </c>
      <c r="AE27" s="85"/>
      <c r="AF27" s="85"/>
      <c r="AG27" s="86">
        <v>43342</v>
      </c>
      <c r="AH27" s="85" t="s">
        <v>107</v>
      </c>
      <c r="AI27" s="86">
        <v>42559</v>
      </c>
      <c r="AJ27" s="86">
        <v>43375</v>
      </c>
      <c r="AK27" s="86">
        <v>42066</v>
      </c>
      <c r="AL27" s="85" t="s">
        <v>107</v>
      </c>
      <c r="AM27" s="85" t="s">
        <v>107</v>
      </c>
      <c r="AN27" s="85"/>
      <c r="AO27" s="86">
        <v>43325</v>
      </c>
      <c r="AP27" s="86">
        <v>43046</v>
      </c>
      <c r="AQ27" s="86">
        <v>42293</v>
      </c>
      <c r="AR27" s="86">
        <v>43066</v>
      </c>
      <c r="AS27" s="86">
        <v>43123</v>
      </c>
      <c r="AT27" s="86">
        <v>43066</v>
      </c>
      <c r="AU27" s="86">
        <v>43066</v>
      </c>
      <c r="AV27" s="86">
        <v>43066</v>
      </c>
      <c r="AW27" s="86">
        <v>43066</v>
      </c>
    </row>
    <row r="28" spans="1:49" x14ac:dyDescent="0.2">
      <c r="A28" s="85" t="s">
        <v>192</v>
      </c>
      <c r="B28" s="85" t="s">
        <v>193</v>
      </c>
      <c r="C28" s="85" t="s">
        <v>191</v>
      </c>
      <c r="D28" s="85" t="s">
        <v>194</v>
      </c>
      <c r="E28" s="85" t="s">
        <v>149</v>
      </c>
      <c r="F28" s="85" t="s">
        <v>106</v>
      </c>
      <c r="G28" s="85" t="s">
        <v>4</v>
      </c>
      <c r="H28" s="85" t="s">
        <v>12</v>
      </c>
      <c r="I28" s="85" t="s">
        <v>107</v>
      </c>
      <c r="J28" s="86">
        <v>43465</v>
      </c>
      <c r="K28" s="86">
        <v>43270</v>
      </c>
      <c r="L28" s="85" t="s">
        <v>107</v>
      </c>
      <c r="M28" s="85" t="s">
        <v>107</v>
      </c>
      <c r="N28" s="85" t="s">
        <v>107</v>
      </c>
      <c r="O28" s="85" t="s">
        <v>107</v>
      </c>
      <c r="P28" s="85" t="s">
        <v>107</v>
      </c>
      <c r="Q28" s="86">
        <v>43490</v>
      </c>
      <c r="R28" s="85" t="s">
        <v>107</v>
      </c>
      <c r="S28" s="85" t="s">
        <v>107</v>
      </c>
      <c r="T28" s="85" t="s">
        <v>107</v>
      </c>
      <c r="U28" s="85" t="s">
        <v>107</v>
      </c>
      <c r="V28" s="85" t="s">
        <v>107</v>
      </c>
      <c r="W28" s="85" t="s">
        <v>107</v>
      </c>
      <c r="X28" s="85" t="s">
        <v>107</v>
      </c>
      <c r="Y28" s="85" t="s">
        <v>107</v>
      </c>
      <c r="Z28" s="85" t="s">
        <v>107</v>
      </c>
      <c r="AA28" s="85" t="s">
        <v>107</v>
      </c>
      <c r="AB28" s="85" t="s">
        <v>107</v>
      </c>
      <c r="AC28" s="85" t="s">
        <v>107</v>
      </c>
      <c r="AD28" s="85" t="s">
        <v>107</v>
      </c>
      <c r="AE28" s="85" t="s">
        <v>107</v>
      </c>
      <c r="AF28" s="85" t="s">
        <v>107</v>
      </c>
      <c r="AG28" s="86">
        <v>43178</v>
      </c>
      <c r="AH28" s="85" t="s">
        <v>107</v>
      </c>
      <c r="AI28" s="85" t="s">
        <v>107</v>
      </c>
      <c r="AJ28" s="85" t="s">
        <v>107</v>
      </c>
      <c r="AK28" s="85" t="s">
        <v>107</v>
      </c>
      <c r="AL28" s="85" t="s">
        <v>107</v>
      </c>
      <c r="AM28" s="85" t="s">
        <v>107</v>
      </c>
      <c r="AN28" s="86">
        <v>43375</v>
      </c>
      <c r="AO28" s="86">
        <v>43213</v>
      </c>
      <c r="AP28" s="86">
        <v>43157</v>
      </c>
      <c r="AQ28" s="86">
        <v>42817</v>
      </c>
      <c r="AR28" s="86">
        <v>43125</v>
      </c>
      <c r="AS28" s="86">
        <v>43187</v>
      </c>
      <c r="AT28" s="86">
        <v>43125</v>
      </c>
      <c r="AU28" s="85" t="s">
        <v>107</v>
      </c>
      <c r="AV28" s="86">
        <v>43125</v>
      </c>
      <c r="AW28" s="86">
        <v>43125</v>
      </c>
    </row>
    <row r="29" spans="1:49" x14ac:dyDescent="0.2">
      <c r="A29" s="85" t="s">
        <v>1594</v>
      </c>
      <c r="B29" s="85" t="s">
        <v>1595</v>
      </c>
      <c r="C29" s="85" t="s">
        <v>1596</v>
      </c>
      <c r="D29" s="85" t="s">
        <v>196</v>
      </c>
      <c r="E29" s="85" t="s">
        <v>291</v>
      </c>
      <c r="F29" s="85" t="s">
        <v>127</v>
      </c>
      <c r="G29" s="85" t="s">
        <v>4</v>
      </c>
      <c r="H29" s="85" t="s">
        <v>13</v>
      </c>
      <c r="I29" s="86">
        <v>43408</v>
      </c>
      <c r="J29" s="86">
        <v>43319</v>
      </c>
      <c r="K29" s="86">
        <v>42152</v>
      </c>
      <c r="L29" s="85"/>
      <c r="M29" s="86">
        <v>41838</v>
      </c>
      <c r="N29" s="85" t="s">
        <v>107</v>
      </c>
      <c r="O29" s="86">
        <v>41206</v>
      </c>
      <c r="P29" s="86">
        <v>43333</v>
      </c>
      <c r="Q29" s="86">
        <v>365</v>
      </c>
      <c r="R29" s="85" t="s">
        <v>1652</v>
      </c>
      <c r="S29" s="86">
        <v>44044</v>
      </c>
      <c r="T29" s="85" t="s">
        <v>1652</v>
      </c>
      <c r="U29" s="86">
        <v>43492</v>
      </c>
      <c r="V29" s="86">
        <v>43677</v>
      </c>
      <c r="W29" s="85" t="s">
        <v>1657</v>
      </c>
      <c r="X29" s="85" t="s">
        <v>114</v>
      </c>
      <c r="Y29" s="85">
        <v>1</v>
      </c>
      <c r="Z29" s="85" t="s">
        <v>114</v>
      </c>
      <c r="AA29" s="85"/>
      <c r="AB29" s="85" t="s">
        <v>114</v>
      </c>
      <c r="AC29" s="85" t="s">
        <v>114</v>
      </c>
      <c r="AD29" s="85" t="s">
        <v>114</v>
      </c>
      <c r="AE29" s="85"/>
      <c r="AF29" s="85"/>
      <c r="AG29" s="86">
        <v>43341</v>
      </c>
      <c r="AH29" s="85" t="s">
        <v>1921</v>
      </c>
      <c r="AI29" s="85"/>
      <c r="AJ29" s="85"/>
      <c r="AK29" s="86">
        <v>41688</v>
      </c>
      <c r="AL29" s="86">
        <v>41892</v>
      </c>
      <c r="AM29" s="86">
        <v>41892</v>
      </c>
      <c r="AN29" s="86">
        <v>43507</v>
      </c>
      <c r="AO29" s="86">
        <v>43333</v>
      </c>
      <c r="AP29" s="86">
        <v>43507</v>
      </c>
      <c r="AQ29" s="86">
        <v>43333</v>
      </c>
      <c r="AR29" s="86">
        <v>43507</v>
      </c>
      <c r="AS29" s="86">
        <v>43507</v>
      </c>
      <c r="AT29" s="86">
        <v>43507</v>
      </c>
      <c r="AU29" s="86">
        <v>43507</v>
      </c>
      <c r="AV29" s="86">
        <v>43507</v>
      </c>
      <c r="AW29" s="86">
        <v>43507</v>
      </c>
    </row>
    <row r="30" spans="1:49" x14ac:dyDescent="0.2">
      <c r="A30" s="85" t="s">
        <v>197</v>
      </c>
      <c r="B30" s="85" t="s">
        <v>198</v>
      </c>
      <c r="C30" s="85" t="s">
        <v>199</v>
      </c>
      <c r="D30" s="85" t="s">
        <v>200</v>
      </c>
      <c r="E30" s="85" t="s">
        <v>201</v>
      </c>
      <c r="F30" s="85" t="s">
        <v>122</v>
      </c>
      <c r="G30" s="85" t="s">
        <v>4</v>
      </c>
      <c r="H30" s="85" t="s">
        <v>8</v>
      </c>
      <c r="I30" s="86">
        <v>43437</v>
      </c>
      <c r="J30" s="86">
        <v>43167</v>
      </c>
      <c r="K30" s="86">
        <v>43167</v>
      </c>
      <c r="L30" s="85" t="s">
        <v>99</v>
      </c>
      <c r="M30" s="86">
        <v>42841</v>
      </c>
      <c r="N30" s="85" t="s">
        <v>107</v>
      </c>
      <c r="O30" s="86">
        <v>43167</v>
      </c>
      <c r="P30" s="86">
        <v>43172</v>
      </c>
      <c r="Q30" s="86">
        <v>43532</v>
      </c>
      <c r="R30" s="85" t="s">
        <v>1652</v>
      </c>
      <c r="S30" s="86">
        <v>43800</v>
      </c>
      <c r="T30" s="85" t="s">
        <v>1652</v>
      </c>
      <c r="U30" s="86">
        <v>43446</v>
      </c>
      <c r="V30" s="86">
        <v>43646</v>
      </c>
      <c r="W30" s="85" t="s">
        <v>1655</v>
      </c>
      <c r="X30" s="85" t="s">
        <v>114</v>
      </c>
      <c r="Y30" s="85">
        <v>1</v>
      </c>
      <c r="Z30" s="85" t="s">
        <v>114</v>
      </c>
      <c r="AA30" s="85"/>
      <c r="AB30" s="85" t="s">
        <v>114</v>
      </c>
      <c r="AC30" s="85" t="s">
        <v>114</v>
      </c>
      <c r="AD30" s="85" t="s">
        <v>114</v>
      </c>
      <c r="AE30" s="85" t="s">
        <v>1660</v>
      </c>
      <c r="AF30" s="85"/>
      <c r="AG30" s="86">
        <v>43185</v>
      </c>
      <c r="AH30" s="85" t="s">
        <v>107</v>
      </c>
      <c r="AI30" s="86">
        <v>42762</v>
      </c>
      <c r="AJ30" s="86">
        <v>43176</v>
      </c>
      <c r="AK30" s="86">
        <v>43167</v>
      </c>
      <c r="AL30" s="85" t="s">
        <v>107</v>
      </c>
      <c r="AM30" s="85" t="s">
        <v>107</v>
      </c>
      <c r="AN30" s="86">
        <v>43405</v>
      </c>
      <c r="AO30" s="86">
        <v>43209</v>
      </c>
      <c r="AP30" s="86">
        <v>43046</v>
      </c>
      <c r="AQ30" s="86">
        <v>42840</v>
      </c>
      <c r="AR30" s="86">
        <v>43175</v>
      </c>
      <c r="AS30" s="86">
        <v>43185</v>
      </c>
      <c r="AT30" s="86">
        <v>42840</v>
      </c>
      <c r="AU30" s="86">
        <v>43175</v>
      </c>
      <c r="AV30" s="86">
        <v>43175</v>
      </c>
      <c r="AW30" s="86">
        <v>43175</v>
      </c>
    </row>
    <row r="31" spans="1:49" x14ac:dyDescent="0.2">
      <c r="A31" s="85" t="s">
        <v>1678</v>
      </c>
      <c r="B31" s="85" t="s">
        <v>1679</v>
      </c>
      <c r="C31" s="85" t="s">
        <v>1680</v>
      </c>
      <c r="D31" s="85" t="s">
        <v>452</v>
      </c>
      <c r="E31" s="85" t="s">
        <v>105</v>
      </c>
      <c r="F31" s="85" t="s">
        <v>106</v>
      </c>
      <c r="G31" s="85" t="s">
        <v>4</v>
      </c>
      <c r="H31" s="85" t="s">
        <v>5</v>
      </c>
      <c r="I31" s="85" t="s">
        <v>107</v>
      </c>
      <c r="J31" s="86">
        <v>43430</v>
      </c>
      <c r="K31" s="86">
        <v>43430</v>
      </c>
      <c r="L31" s="85" t="s">
        <v>107</v>
      </c>
      <c r="M31" s="85" t="s">
        <v>107</v>
      </c>
      <c r="N31" s="85" t="s">
        <v>107</v>
      </c>
      <c r="O31" s="85" t="s">
        <v>107</v>
      </c>
      <c r="P31" s="85" t="s">
        <v>107</v>
      </c>
      <c r="Q31" s="85" t="s">
        <v>59</v>
      </c>
      <c r="R31" s="85" t="s">
        <v>107</v>
      </c>
      <c r="S31" s="85" t="s">
        <v>107</v>
      </c>
      <c r="T31" s="85" t="s">
        <v>107</v>
      </c>
      <c r="U31" s="85" t="s">
        <v>107</v>
      </c>
      <c r="V31" s="85" t="s">
        <v>107</v>
      </c>
      <c r="W31" s="85" t="s">
        <v>107</v>
      </c>
      <c r="X31" s="85" t="s">
        <v>107</v>
      </c>
      <c r="Y31" s="85" t="s">
        <v>107</v>
      </c>
      <c r="Z31" s="85" t="s">
        <v>107</v>
      </c>
      <c r="AA31" s="85" t="s">
        <v>107</v>
      </c>
      <c r="AB31" s="85" t="s">
        <v>107</v>
      </c>
      <c r="AC31" s="85" t="s">
        <v>107</v>
      </c>
      <c r="AD31" s="85" t="s">
        <v>107</v>
      </c>
      <c r="AE31" s="85" t="s">
        <v>107</v>
      </c>
      <c r="AF31" s="85" t="s">
        <v>107</v>
      </c>
      <c r="AG31" s="85" t="s">
        <v>59</v>
      </c>
      <c r="AH31" s="85" t="s">
        <v>107</v>
      </c>
      <c r="AI31" s="85" t="s">
        <v>107</v>
      </c>
      <c r="AJ31" s="85" t="s">
        <v>107</v>
      </c>
      <c r="AK31" s="85" t="s">
        <v>107</v>
      </c>
      <c r="AL31" s="85" t="s">
        <v>107</v>
      </c>
      <c r="AM31" s="85" t="s">
        <v>107</v>
      </c>
      <c r="AN31" s="86">
        <v>43385</v>
      </c>
      <c r="AO31" s="86">
        <v>43385</v>
      </c>
      <c r="AP31" s="86">
        <v>43385</v>
      </c>
      <c r="AQ31" s="86">
        <v>43385</v>
      </c>
      <c r="AR31" s="86">
        <v>43385</v>
      </c>
      <c r="AS31" s="86">
        <v>43385</v>
      </c>
      <c r="AT31" s="86">
        <v>43385</v>
      </c>
      <c r="AU31" s="85" t="s">
        <v>107</v>
      </c>
      <c r="AV31" s="86">
        <v>43385</v>
      </c>
      <c r="AW31" s="86">
        <v>43385</v>
      </c>
    </row>
    <row r="32" spans="1:49" x14ac:dyDescent="0.2">
      <c r="A32" s="85" t="s">
        <v>202</v>
      </c>
      <c r="B32" s="85" t="s">
        <v>203</v>
      </c>
      <c r="C32" s="85" t="s">
        <v>204</v>
      </c>
      <c r="D32" s="85" t="s">
        <v>205</v>
      </c>
      <c r="E32" s="85" t="s">
        <v>206</v>
      </c>
      <c r="F32" s="85" t="s">
        <v>100</v>
      </c>
      <c r="G32" s="85" t="s">
        <v>4</v>
      </c>
      <c r="H32" s="85" t="s">
        <v>5</v>
      </c>
      <c r="I32" s="86">
        <v>43453</v>
      </c>
      <c r="J32" s="86">
        <v>43167</v>
      </c>
      <c r="K32" s="86">
        <v>43167</v>
      </c>
      <c r="L32" s="85" t="s">
        <v>99</v>
      </c>
      <c r="M32" s="86">
        <v>43227</v>
      </c>
      <c r="N32" s="86">
        <v>43377</v>
      </c>
      <c r="O32" s="86">
        <v>43167</v>
      </c>
      <c r="P32" s="86">
        <v>43244</v>
      </c>
      <c r="Q32" s="86">
        <v>43532</v>
      </c>
      <c r="R32" s="85" t="s">
        <v>1652</v>
      </c>
      <c r="S32" s="86">
        <v>44044</v>
      </c>
      <c r="T32" s="85" t="s">
        <v>1652</v>
      </c>
      <c r="U32" s="85" t="s">
        <v>107</v>
      </c>
      <c r="V32" s="85" t="s">
        <v>107</v>
      </c>
      <c r="W32" s="85" t="s">
        <v>107</v>
      </c>
      <c r="X32" s="85" t="s">
        <v>107</v>
      </c>
      <c r="Y32" s="85" t="s">
        <v>107</v>
      </c>
      <c r="Z32" s="85" t="s">
        <v>107</v>
      </c>
      <c r="AA32" s="85" t="s">
        <v>107</v>
      </c>
      <c r="AB32" s="85" t="s">
        <v>107</v>
      </c>
      <c r="AC32" s="85" t="s">
        <v>107</v>
      </c>
      <c r="AD32" s="85" t="s">
        <v>107</v>
      </c>
      <c r="AE32" s="85" t="s">
        <v>107</v>
      </c>
      <c r="AF32" s="85" t="s">
        <v>107</v>
      </c>
      <c r="AG32" s="86">
        <v>43509</v>
      </c>
      <c r="AH32" s="85" t="s">
        <v>107</v>
      </c>
      <c r="AI32" s="85" t="s">
        <v>107</v>
      </c>
      <c r="AJ32" s="85" t="s">
        <v>107</v>
      </c>
      <c r="AK32" s="86">
        <v>43167</v>
      </c>
      <c r="AL32" s="85" t="s">
        <v>107</v>
      </c>
      <c r="AM32" s="85" t="s">
        <v>107</v>
      </c>
      <c r="AN32" s="86">
        <v>43375</v>
      </c>
      <c r="AO32" s="86">
        <v>43207</v>
      </c>
      <c r="AP32" s="86">
        <v>43160</v>
      </c>
      <c r="AQ32" s="86">
        <v>40311</v>
      </c>
      <c r="AR32" s="86">
        <v>43175</v>
      </c>
      <c r="AS32" s="86">
        <v>43160</v>
      </c>
      <c r="AT32" s="86">
        <v>43160</v>
      </c>
      <c r="AU32" s="86">
        <v>43175</v>
      </c>
      <c r="AV32" s="86">
        <v>43160</v>
      </c>
      <c r="AW32" s="86">
        <v>43175</v>
      </c>
    </row>
    <row r="33" spans="1:49" x14ac:dyDescent="0.2">
      <c r="A33" s="85" t="s">
        <v>1626</v>
      </c>
      <c r="B33" s="85" t="s">
        <v>1627</v>
      </c>
      <c r="C33" s="85" t="s">
        <v>1628</v>
      </c>
      <c r="D33" s="85" t="s">
        <v>1629</v>
      </c>
      <c r="E33" s="85" t="s">
        <v>119</v>
      </c>
      <c r="F33" s="85" t="s">
        <v>106</v>
      </c>
      <c r="G33" s="85" t="s">
        <v>4</v>
      </c>
      <c r="H33" s="85" t="s">
        <v>7</v>
      </c>
      <c r="I33" s="85" t="s">
        <v>107</v>
      </c>
      <c r="J33" s="86">
        <v>43370</v>
      </c>
      <c r="K33" s="86">
        <v>43371</v>
      </c>
      <c r="L33" s="85" t="s">
        <v>107</v>
      </c>
      <c r="M33" s="85" t="s">
        <v>107</v>
      </c>
      <c r="N33" s="85" t="s">
        <v>107</v>
      </c>
      <c r="O33" s="85" t="s">
        <v>107</v>
      </c>
      <c r="P33" s="85" t="s">
        <v>107</v>
      </c>
      <c r="Q33" s="86">
        <v>43736</v>
      </c>
      <c r="R33" s="85" t="s">
        <v>107</v>
      </c>
      <c r="S33" s="85" t="s">
        <v>107</v>
      </c>
      <c r="T33" s="85" t="s">
        <v>107</v>
      </c>
      <c r="U33" s="85" t="s">
        <v>107</v>
      </c>
      <c r="V33" s="85" t="s">
        <v>107</v>
      </c>
      <c r="W33" s="85" t="s">
        <v>107</v>
      </c>
      <c r="X33" s="85" t="s">
        <v>107</v>
      </c>
      <c r="Y33" s="85" t="s">
        <v>107</v>
      </c>
      <c r="Z33" s="85" t="s">
        <v>107</v>
      </c>
      <c r="AA33" s="85" t="s">
        <v>107</v>
      </c>
      <c r="AB33" s="85" t="s">
        <v>107</v>
      </c>
      <c r="AC33" s="85" t="s">
        <v>107</v>
      </c>
      <c r="AD33" s="85" t="s">
        <v>107</v>
      </c>
      <c r="AE33" s="85" t="s">
        <v>107</v>
      </c>
      <c r="AF33" s="85" t="s">
        <v>107</v>
      </c>
      <c r="AG33" s="85" t="s">
        <v>59</v>
      </c>
      <c r="AH33" s="85" t="s">
        <v>107</v>
      </c>
      <c r="AI33" s="85" t="s">
        <v>107</v>
      </c>
      <c r="AJ33" s="85" t="s">
        <v>107</v>
      </c>
      <c r="AK33" s="85" t="s">
        <v>107</v>
      </c>
      <c r="AL33" s="85" t="s">
        <v>107</v>
      </c>
      <c r="AM33" s="85" t="s">
        <v>107</v>
      </c>
      <c r="AN33" s="85"/>
      <c r="AO33" s="86">
        <v>43368</v>
      </c>
      <c r="AP33" s="86">
        <v>43368</v>
      </c>
      <c r="AQ33" s="86">
        <v>43368</v>
      </c>
      <c r="AR33" s="86">
        <v>43368</v>
      </c>
      <c r="AS33" s="86">
        <v>43368</v>
      </c>
      <c r="AT33" s="86">
        <v>43368</v>
      </c>
      <c r="AU33" s="85" t="s">
        <v>107</v>
      </c>
      <c r="AV33" s="86">
        <v>43368</v>
      </c>
      <c r="AW33" s="86">
        <v>43368</v>
      </c>
    </row>
    <row r="34" spans="1:49" x14ac:dyDescent="0.2">
      <c r="A34" s="85" t="s">
        <v>207</v>
      </c>
      <c r="B34" s="85" t="s">
        <v>208</v>
      </c>
      <c r="C34" s="85" t="s">
        <v>209</v>
      </c>
      <c r="D34" s="85" t="s">
        <v>210</v>
      </c>
      <c r="E34" s="85" t="s">
        <v>211</v>
      </c>
      <c r="F34" s="85" t="s">
        <v>122</v>
      </c>
      <c r="G34" s="85" t="s">
        <v>4</v>
      </c>
      <c r="H34" s="85" t="s">
        <v>5</v>
      </c>
      <c r="I34" s="86">
        <v>43188</v>
      </c>
      <c r="J34" s="86">
        <v>43145</v>
      </c>
      <c r="K34" s="86">
        <v>43145</v>
      </c>
      <c r="L34" s="85" t="s">
        <v>99</v>
      </c>
      <c r="M34" s="86">
        <v>42838</v>
      </c>
      <c r="N34" s="85" t="s">
        <v>107</v>
      </c>
      <c r="O34" s="86">
        <v>43145</v>
      </c>
      <c r="P34" s="86">
        <v>43271</v>
      </c>
      <c r="Q34" s="86">
        <v>43509</v>
      </c>
      <c r="R34" s="85" t="s">
        <v>1652</v>
      </c>
      <c r="S34" s="86">
        <v>43800</v>
      </c>
      <c r="T34" s="85" t="s">
        <v>1652</v>
      </c>
      <c r="U34" s="86">
        <v>43389</v>
      </c>
      <c r="V34" s="86">
        <v>43769</v>
      </c>
      <c r="W34" s="85" t="s">
        <v>1653</v>
      </c>
      <c r="X34" s="85" t="s">
        <v>114</v>
      </c>
      <c r="Y34" s="85">
        <v>1</v>
      </c>
      <c r="Z34" s="85" t="s">
        <v>114</v>
      </c>
      <c r="AA34" s="85"/>
      <c r="AB34" s="85" t="s">
        <v>114</v>
      </c>
      <c r="AC34" s="85" t="s">
        <v>114</v>
      </c>
      <c r="AD34" s="85" t="s">
        <v>114</v>
      </c>
      <c r="AE34" s="85"/>
      <c r="AF34" s="85"/>
      <c r="AG34" s="86">
        <v>43493</v>
      </c>
      <c r="AH34" s="85" t="s">
        <v>107</v>
      </c>
      <c r="AI34" s="85"/>
      <c r="AJ34" s="85"/>
      <c r="AK34" s="86">
        <v>43145</v>
      </c>
      <c r="AL34" s="85" t="s">
        <v>107</v>
      </c>
      <c r="AM34" s="85" t="s">
        <v>107</v>
      </c>
      <c r="AN34" s="85"/>
      <c r="AO34" s="86">
        <v>43207</v>
      </c>
      <c r="AP34" s="86">
        <v>43047</v>
      </c>
      <c r="AQ34" s="86">
        <v>42873</v>
      </c>
      <c r="AR34" s="86">
        <v>43273</v>
      </c>
      <c r="AS34" s="86">
        <v>43213</v>
      </c>
      <c r="AT34" s="86">
        <v>42873</v>
      </c>
      <c r="AU34" s="86">
        <v>43273</v>
      </c>
      <c r="AV34" s="86">
        <v>43273</v>
      </c>
      <c r="AW34" s="86">
        <v>43273</v>
      </c>
    </row>
    <row r="35" spans="1:49" x14ac:dyDescent="0.2">
      <c r="A35" s="85" t="s">
        <v>212</v>
      </c>
      <c r="B35" s="85" t="s">
        <v>213</v>
      </c>
      <c r="C35" s="85" t="s">
        <v>214</v>
      </c>
      <c r="D35" s="85" t="s">
        <v>215</v>
      </c>
      <c r="E35" s="85" t="s">
        <v>206</v>
      </c>
      <c r="F35" s="85" t="s">
        <v>113</v>
      </c>
      <c r="G35" s="85" t="s">
        <v>4</v>
      </c>
      <c r="H35" s="85" t="s">
        <v>8</v>
      </c>
      <c r="I35" s="86">
        <v>43469</v>
      </c>
      <c r="J35" s="86">
        <v>43160</v>
      </c>
      <c r="K35" s="86">
        <v>43025</v>
      </c>
      <c r="L35" s="85" t="s">
        <v>99</v>
      </c>
      <c r="M35" s="86">
        <v>43070</v>
      </c>
      <c r="N35" s="85" t="s">
        <v>107</v>
      </c>
      <c r="O35" s="86">
        <v>42501</v>
      </c>
      <c r="P35" s="86">
        <v>43249</v>
      </c>
      <c r="Q35" s="86">
        <v>43736</v>
      </c>
      <c r="R35" s="85" t="s">
        <v>1652</v>
      </c>
      <c r="S35" s="86">
        <v>43800</v>
      </c>
      <c r="T35" s="85" t="s">
        <v>1652</v>
      </c>
      <c r="U35" s="86">
        <v>43424</v>
      </c>
      <c r="V35" s="86">
        <v>43616</v>
      </c>
      <c r="W35" s="85" t="s">
        <v>1655</v>
      </c>
      <c r="X35" s="85" t="s">
        <v>114</v>
      </c>
      <c r="Y35" s="85">
        <v>2</v>
      </c>
      <c r="Z35" s="85" t="s">
        <v>114</v>
      </c>
      <c r="AA35" s="85"/>
      <c r="AB35" s="85" t="s">
        <v>114</v>
      </c>
      <c r="AC35" s="85" t="s">
        <v>114</v>
      </c>
      <c r="AD35" s="85" t="s">
        <v>114</v>
      </c>
      <c r="AE35" s="85"/>
      <c r="AF35" s="85"/>
      <c r="AG35" s="86">
        <v>43272</v>
      </c>
      <c r="AH35" s="85" t="s">
        <v>107</v>
      </c>
      <c r="AI35" s="86">
        <v>43220</v>
      </c>
      <c r="AJ35" s="86">
        <v>43377</v>
      </c>
      <c r="AK35" s="86">
        <v>43053</v>
      </c>
      <c r="AL35" s="85" t="s">
        <v>107</v>
      </c>
      <c r="AM35" s="85" t="s">
        <v>107</v>
      </c>
      <c r="AN35" s="86">
        <v>43405</v>
      </c>
      <c r="AO35" s="86">
        <v>43251</v>
      </c>
      <c r="AP35" s="86">
        <v>43251</v>
      </c>
      <c r="AQ35" s="86">
        <v>43251</v>
      </c>
      <c r="AR35" s="86">
        <v>43251</v>
      </c>
      <c r="AS35" s="86">
        <v>43251</v>
      </c>
      <c r="AT35" s="86">
        <v>43251</v>
      </c>
      <c r="AU35" s="86">
        <v>43251</v>
      </c>
      <c r="AV35" s="86">
        <v>43251</v>
      </c>
      <c r="AW35" s="86">
        <v>43251</v>
      </c>
    </row>
    <row r="36" spans="1:49" x14ac:dyDescent="0.2">
      <c r="A36" s="85" t="s">
        <v>1681</v>
      </c>
      <c r="B36" s="85" t="s">
        <v>1682</v>
      </c>
      <c r="C36" s="85" t="s">
        <v>1683</v>
      </c>
      <c r="D36" s="85" t="s">
        <v>1226</v>
      </c>
      <c r="E36" s="85" t="s">
        <v>158</v>
      </c>
      <c r="F36" s="85" t="s">
        <v>106</v>
      </c>
      <c r="G36" s="85" t="s">
        <v>4</v>
      </c>
      <c r="H36" s="85" t="s">
        <v>5</v>
      </c>
      <c r="I36" s="85" t="s">
        <v>107</v>
      </c>
      <c r="J36" s="86">
        <v>43433</v>
      </c>
      <c r="K36" s="86">
        <v>43433</v>
      </c>
      <c r="L36" s="85" t="s">
        <v>107</v>
      </c>
      <c r="M36" s="85" t="s">
        <v>107</v>
      </c>
      <c r="N36" s="85" t="s">
        <v>107</v>
      </c>
      <c r="O36" s="85" t="s">
        <v>107</v>
      </c>
      <c r="P36" s="85" t="s">
        <v>107</v>
      </c>
      <c r="Q36" s="85" t="s">
        <v>59</v>
      </c>
      <c r="R36" s="85" t="s">
        <v>107</v>
      </c>
      <c r="S36" s="85" t="s">
        <v>107</v>
      </c>
      <c r="T36" s="85" t="s">
        <v>107</v>
      </c>
      <c r="U36" s="85" t="s">
        <v>107</v>
      </c>
      <c r="V36" s="85" t="s">
        <v>107</v>
      </c>
      <c r="W36" s="85" t="s">
        <v>107</v>
      </c>
      <c r="X36" s="85" t="s">
        <v>107</v>
      </c>
      <c r="Y36" s="85" t="s">
        <v>107</v>
      </c>
      <c r="Z36" s="85" t="s">
        <v>107</v>
      </c>
      <c r="AA36" s="85" t="s">
        <v>107</v>
      </c>
      <c r="AB36" s="85" t="s">
        <v>107</v>
      </c>
      <c r="AC36" s="85" t="s">
        <v>107</v>
      </c>
      <c r="AD36" s="85" t="s">
        <v>107</v>
      </c>
      <c r="AE36" s="85" t="s">
        <v>107</v>
      </c>
      <c r="AF36" s="85" t="s">
        <v>107</v>
      </c>
      <c r="AG36" s="85" t="s">
        <v>59</v>
      </c>
      <c r="AH36" s="85" t="s">
        <v>1925</v>
      </c>
      <c r="AI36" s="85" t="s">
        <v>107</v>
      </c>
      <c r="AJ36" s="85" t="s">
        <v>107</v>
      </c>
      <c r="AK36" s="85" t="s">
        <v>107</v>
      </c>
      <c r="AL36" s="85" t="s">
        <v>107</v>
      </c>
      <c r="AM36" s="85" t="s">
        <v>107</v>
      </c>
      <c r="AN36" s="86">
        <v>43418</v>
      </c>
      <c r="AO36" s="86">
        <v>43418</v>
      </c>
      <c r="AP36" s="86">
        <v>43418</v>
      </c>
      <c r="AQ36" s="86">
        <v>43418</v>
      </c>
      <c r="AR36" s="86">
        <v>43418</v>
      </c>
      <c r="AS36" s="86">
        <v>43418</v>
      </c>
      <c r="AT36" s="86">
        <v>43418</v>
      </c>
      <c r="AU36" s="85" t="s">
        <v>107</v>
      </c>
      <c r="AV36" s="86">
        <v>43418</v>
      </c>
      <c r="AW36" s="86">
        <v>43418</v>
      </c>
    </row>
    <row r="37" spans="1:49" x14ac:dyDescent="0.2">
      <c r="A37" s="85" t="s">
        <v>216</v>
      </c>
      <c r="B37" s="85" t="s">
        <v>217</v>
      </c>
      <c r="C37" s="85" t="s">
        <v>218</v>
      </c>
      <c r="D37" s="85" t="s">
        <v>219</v>
      </c>
      <c r="E37" s="85" t="s">
        <v>220</v>
      </c>
      <c r="F37" s="85" t="s">
        <v>113</v>
      </c>
      <c r="G37" s="85" t="s">
        <v>4</v>
      </c>
      <c r="H37" s="85" t="s">
        <v>12</v>
      </c>
      <c r="I37" s="86">
        <v>43486</v>
      </c>
      <c r="J37" s="86">
        <v>43195</v>
      </c>
      <c r="K37" s="86">
        <v>43199</v>
      </c>
      <c r="L37" s="85" t="s">
        <v>99</v>
      </c>
      <c r="M37" s="86">
        <v>42831</v>
      </c>
      <c r="N37" s="85" t="s">
        <v>107</v>
      </c>
      <c r="O37" s="86">
        <v>42472</v>
      </c>
      <c r="P37" s="86">
        <v>43227</v>
      </c>
      <c r="Q37" s="86">
        <v>43490</v>
      </c>
      <c r="R37" s="85" t="s">
        <v>1652</v>
      </c>
      <c r="S37" s="86">
        <v>44166</v>
      </c>
      <c r="T37" s="85" t="s">
        <v>1652</v>
      </c>
      <c r="U37" s="86">
        <v>43479</v>
      </c>
      <c r="V37" s="86">
        <v>43861</v>
      </c>
      <c r="W37" s="85" t="s">
        <v>1653</v>
      </c>
      <c r="X37" s="85" t="s">
        <v>114</v>
      </c>
      <c r="Y37" s="85">
        <v>1</v>
      </c>
      <c r="Z37" s="85" t="s">
        <v>114</v>
      </c>
      <c r="AA37" s="85"/>
      <c r="AB37" s="85" t="s">
        <v>211</v>
      </c>
      <c r="AC37" s="85" t="s">
        <v>114</v>
      </c>
      <c r="AD37" s="85" t="s">
        <v>211</v>
      </c>
      <c r="AE37" s="85" t="s">
        <v>1656</v>
      </c>
      <c r="AF37" s="86">
        <v>43565</v>
      </c>
      <c r="AG37" s="86">
        <v>43293</v>
      </c>
      <c r="AH37" s="85" t="s">
        <v>107</v>
      </c>
      <c r="AI37" s="86">
        <v>42278</v>
      </c>
      <c r="AJ37" s="86">
        <v>43219</v>
      </c>
      <c r="AK37" s="86">
        <v>41924</v>
      </c>
      <c r="AL37" s="85" t="s">
        <v>107</v>
      </c>
      <c r="AM37" s="85" t="s">
        <v>107</v>
      </c>
      <c r="AN37" s="86">
        <v>43480</v>
      </c>
      <c r="AO37" s="86">
        <v>43213</v>
      </c>
      <c r="AP37" s="86">
        <v>43480</v>
      </c>
      <c r="AQ37" s="86">
        <v>42340</v>
      </c>
      <c r="AR37" s="86">
        <v>43480</v>
      </c>
      <c r="AS37" s="86">
        <v>43480</v>
      </c>
      <c r="AT37" s="86">
        <v>43480</v>
      </c>
      <c r="AU37" s="86">
        <v>43480</v>
      </c>
      <c r="AV37" s="86">
        <v>43480</v>
      </c>
      <c r="AW37" s="86">
        <v>43480</v>
      </c>
    </row>
    <row r="38" spans="1:49" x14ac:dyDescent="0.2">
      <c r="A38" s="85" t="s">
        <v>223</v>
      </c>
      <c r="B38" s="85" t="s">
        <v>224</v>
      </c>
      <c r="C38" s="85" t="s">
        <v>221</v>
      </c>
      <c r="D38" s="85" t="s">
        <v>225</v>
      </c>
      <c r="E38" s="85" t="s">
        <v>114</v>
      </c>
      <c r="F38" s="85" t="s">
        <v>144</v>
      </c>
      <c r="G38" s="85" t="s">
        <v>4</v>
      </c>
      <c r="H38" s="85" t="s">
        <v>12</v>
      </c>
      <c r="I38" s="86">
        <v>43368</v>
      </c>
      <c r="J38" s="86">
        <v>43355</v>
      </c>
      <c r="K38" s="86">
        <v>43368</v>
      </c>
      <c r="L38" s="85" t="s">
        <v>99</v>
      </c>
      <c r="M38" s="86">
        <v>43330</v>
      </c>
      <c r="N38" s="85" t="s">
        <v>107</v>
      </c>
      <c r="O38" s="86">
        <v>42994</v>
      </c>
      <c r="P38" s="86">
        <v>43227</v>
      </c>
      <c r="Q38" s="86">
        <v>43359</v>
      </c>
      <c r="R38" s="85" t="s">
        <v>1652</v>
      </c>
      <c r="S38" s="86">
        <v>44044</v>
      </c>
      <c r="T38" s="85" t="s">
        <v>1652</v>
      </c>
      <c r="U38" s="86">
        <v>43462</v>
      </c>
      <c r="V38" s="86">
        <v>43646</v>
      </c>
      <c r="W38" s="85" t="s">
        <v>1655</v>
      </c>
      <c r="X38" s="85" t="s">
        <v>114</v>
      </c>
      <c r="Y38" s="85">
        <v>1</v>
      </c>
      <c r="Z38" s="85" t="s">
        <v>114</v>
      </c>
      <c r="AA38" s="85"/>
      <c r="AB38" s="85" t="s">
        <v>114</v>
      </c>
      <c r="AC38" s="85" t="s">
        <v>114</v>
      </c>
      <c r="AD38" s="85" t="s">
        <v>114</v>
      </c>
      <c r="AE38" s="85"/>
      <c r="AF38" s="85"/>
      <c r="AG38" s="86">
        <v>43269</v>
      </c>
      <c r="AH38" s="85" t="s">
        <v>107</v>
      </c>
      <c r="AI38" s="86">
        <v>42612</v>
      </c>
      <c r="AJ38" s="86">
        <v>43396</v>
      </c>
      <c r="AK38" s="86">
        <v>41429</v>
      </c>
      <c r="AL38" s="85" t="s">
        <v>107</v>
      </c>
      <c r="AM38" s="85" t="s">
        <v>107</v>
      </c>
      <c r="AN38" s="86">
        <v>43376</v>
      </c>
      <c r="AO38" s="86">
        <v>43213</v>
      </c>
      <c r="AP38" s="86">
        <v>43042</v>
      </c>
      <c r="AQ38" s="86">
        <v>42465</v>
      </c>
      <c r="AR38" s="86">
        <v>43269</v>
      </c>
      <c r="AS38" s="86">
        <v>43269</v>
      </c>
      <c r="AT38" s="86">
        <v>43269</v>
      </c>
      <c r="AU38" s="86">
        <v>43269</v>
      </c>
      <c r="AV38" s="86">
        <v>43269</v>
      </c>
      <c r="AW38" s="86">
        <v>43269</v>
      </c>
    </row>
    <row r="39" spans="1:49" x14ac:dyDescent="0.2">
      <c r="A39" s="85" t="s">
        <v>227</v>
      </c>
      <c r="B39" s="85" t="s">
        <v>228</v>
      </c>
      <c r="C39" s="85" t="s">
        <v>229</v>
      </c>
      <c r="D39" s="85" t="s">
        <v>230</v>
      </c>
      <c r="E39" s="85" t="s">
        <v>231</v>
      </c>
      <c r="F39" s="85" t="s">
        <v>106</v>
      </c>
      <c r="G39" s="85" t="s">
        <v>4</v>
      </c>
      <c r="H39" s="85" t="s">
        <v>15</v>
      </c>
      <c r="I39" s="85" t="s">
        <v>107</v>
      </c>
      <c r="J39" s="86">
        <v>43340</v>
      </c>
      <c r="K39" s="86">
        <v>43025</v>
      </c>
      <c r="L39" s="85" t="s">
        <v>107</v>
      </c>
      <c r="M39" s="85" t="s">
        <v>107</v>
      </c>
      <c r="N39" s="85" t="s">
        <v>107</v>
      </c>
      <c r="O39" s="85" t="s">
        <v>107</v>
      </c>
      <c r="P39" s="85" t="s">
        <v>107</v>
      </c>
      <c r="Q39" s="86">
        <v>43328</v>
      </c>
      <c r="R39" s="85" t="s">
        <v>107</v>
      </c>
      <c r="S39" s="85" t="s">
        <v>107</v>
      </c>
      <c r="T39" s="85" t="s">
        <v>107</v>
      </c>
      <c r="U39" s="85" t="s">
        <v>107</v>
      </c>
      <c r="V39" s="85" t="s">
        <v>107</v>
      </c>
      <c r="W39" s="85" t="s">
        <v>107</v>
      </c>
      <c r="X39" s="85" t="s">
        <v>107</v>
      </c>
      <c r="Y39" s="85" t="s">
        <v>107</v>
      </c>
      <c r="Z39" s="85" t="s">
        <v>107</v>
      </c>
      <c r="AA39" s="85" t="s">
        <v>107</v>
      </c>
      <c r="AB39" s="85" t="s">
        <v>107</v>
      </c>
      <c r="AC39" s="85" t="s">
        <v>107</v>
      </c>
      <c r="AD39" s="85" t="s">
        <v>107</v>
      </c>
      <c r="AE39" s="85" t="s">
        <v>107</v>
      </c>
      <c r="AF39" s="85" t="s">
        <v>107</v>
      </c>
      <c r="AG39" s="86">
        <v>43497</v>
      </c>
      <c r="AH39" s="85" t="s">
        <v>107</v>
      </c>
      <c r="AI39" s="85" t="s">
        <v>107</v>
      </c>
      <c r="AJ39" s="85" t="s">
        <v>107</v>
      </c>
      <c r="AK39" s="85" t="s">
        <v>107</v>
      </c>
      <c r="AL39" s="85" t="s">
        <v>107</v>
      </c>
      <c r="AM39" s="85" t="s">
        <v>107</v>
      </c>
      <c r="AN39" s="86">
        <v>43375</v>
      </c>
      <c r="AO39" s="86">
        <v>43207</v>
      </c>
      <c r="AP39" s="86">
        <v>43047</v>
      </c>
      <c r="AQ39" s="86">
        <v>41638</v>
      </c>
      <c r="AR39" s="86">
        <v>43355</v>
      </c>
      <c r="AS39" s="86">
        <v>43355</v>
      </c>
      <c r="AT39" s="86">
        <v>43045</v>
      </c>
      <c r="AU39" s="85" t="s">
        <v>107</v>
      </c>
      <c r="AV39" s="86">
        <v>43355</v>
      </c>
      <c r="AW39" s="86">
        <v>43355</v>
      </c>
    </row>
    <row r="40" spans="1:49" x14ac:dyDescent="0.2">
      <c r="A40" s="85" t="s">
        <v>1926</v>
      </c>
      <c r="B40" s="85" t="s">
        <v>1927</v>
      </c>
      <c r="C40" s="85" t="s">
        <v>1928</v>
      </c>
      <c r="D40" s="85" t="s">
        <v>1764</v>
      </c>
      <c r="E40" s="85" t="s">
        <v>105</v>
      </c>
      <c r="F40" s="85" t="s">
        <v>122</v>
      </c>
      <c r="G40" s="85" t="s">
        <v>4</v>
      </c>
      <c r="H40" s="85" t="s">
        <v>5</v>
      </c>
      <c r="I40" s="85" t="s">
        <v>59</v>
      </c>
      <c r="J40" s="85" t="s">
        <v>59</v>
      </c>
      <c r="K40" s="85" t="s">
        <v>59</v>
      </c>
      <c r="L40" s="85" t="s">
        <v>59</v>
      </c>
      <c r="M40" s="85" t="s">
        <v>59</v>
      </c>
      <c r="N40" s="85" t="s">
        <v>107</v>
      </c>
      <c r="O40" s="85" t="s">
        <v>59</v>
      </c>
      <c r="P40" s="85" t="s">
        <v>59</v>
      </c>
      <c r="Q40" s="86">
        <v>365</v>
      </c>
      <c r="R40" s="85" t="s">
        <v>1652</v>
      </c>
      <c r="S40" s="85" t="s">
        <v>59</v>
      </c>
      <c r="T40" s="85" t="s">
        <v>59</v>
      </c>
      <c r="U40" s="86">
        <v>43437</v>
      </c>
      <c r="V40" s="86">
        <v>43646</v>
      </c>
      <c r="W40" s="85" t="s">
        <v>1655</v>
      </c>
      <c r="X40" s="85" t="s">
        <v>119</v>
      </c>
      <c r="Y40" s="85">
        <v>4</v>
      </c>
      <c r="Z40" s="85" t="s">
        <v>114</v>
      </c>
      <c r="AA40" s="85"/>
      <c r="AB40" s="85" t="s">
        <v>211</v>
      </c>
      <c r="AC40" s="85" t="s">
        <v>211</v>
      </c>
      <c r="AD40" s="85" t="s">
        <v>119</v>
      </c>
      <c r="AE40" s="85" t="s">
        <v>1929</v>
      </c>
      <c r="AF40" s="85"/>
      <c r="AG40" s="86">
        <v>43503</v>
      </c>
      <c r="AH40" s="85" t="s">
        <v>107</v>
      </c>
      <c r="AI40" s="85" t="s">
        <v>59</v>
      </c>
      <c r="AJ40" s="85" t="s">
        <v>59</v>
      </c>
      <c r="AK40" s="85" t="s">
        <v>59</v>
      </c>
      <c r="AL40" s="85" t="s">
        <v>107</v>
      </c>
      <c r="AM40" s="85" t="s">
        <v>107</v>
      </c>
      <c r="AN40" s="86">
        <v>43503</v>
      </c>
      <c r="AO40" s="86">
        <v>43503</v>
      </c>
      <c r="AP40" s="86">
        <v>43503</v>
      </c>
      <c r="AQ40" s="86">
        <v>43503</v>
      </c>
      <c r="AR40" s="86">
        <v>43503</v>
      </c>
      <c r="AS40" s="86">
        <v>43503</v>
      </c>
      <c r="AT40" s="86">
        <v>43503</v>
      </c>
      <c r="AU40" s="86">
        <v>43503</v>
      </c>
      <c r="AV40" s="86">
        <v>43503</v>
      </c>
      <c r="AW40" s="86">
        <v>43503</v>
      </c>
    </row>
    <row r="41" spans="1:49" x14ac:dyDescent="0.2">
      <c r="A41" s="85" t="s">
        <v>232</v>
      </c>
      <c r="B41" s="85" t="s">
        <v>233</v>
      </c>
      <c r="C41" s="85" t="s">
        <v>234</v>
      </c>
      <c r="D41" s="85" t="s">
        <v>235</v>
      </c>
      <c r="E41" s="85" t="s">
        <v>149</v>
      </c>
      <c r="F41" s="85" t="s">
        <v>144</v>
      </c>
      <c r="G41" s="85" t="s">
        <v>4</v>
      </c>
      <c r="H41" s="85" t="s">
        <v>13</v>
      </c>
      <c r="I41" s="86">
        <v>43195</v>
      </c>
      <c r="J41" s="86">
        <v>43195</v>
      </c>
      <c r="K41" s="86">
        <v>43199</v>
      </c>
      <c r="L41" s="85" t="s">
        <v>99</v>
      </c>
      <c r="M41" s="86">
        <v>42233</v>
      </c>
      <c r="N41" s="85" t="s">
        <v>107</v>
      </c>
      <c r="O41" s="86">
        <v>43199</v>
      </c>
      <c r="P41" s="86">
        <v>43243</v>
      </c>
      <c r="Q41" s="86">
        <v>43564</v>
      </c>
      <c r="R41" s="85" t="s">
        <v>1652</v>
      </c>
      <c r="S41" s="86">
        <v>43344</v>
      </c>
      <c r="T41" s="85" t="s">
        <v>1652</v>
      </c>
      <c r="U41" s="86">
        <v>43465</v>
      </c>
      <c r="V41" s="86">
        <v>43646</v>
      </c>
      <c r="W41" s="85" t="s">
        <v>1657</v>
      </c>
      <c r="X41" s="85" t="s">
        <v>114</v>
      </c>
      <c r="Y41" s="85">
        <v>1</v>
      </c>
      <c r="Z41" s="85" t="s">
        <v>114</v>
      </c>
      <c r="AA41" s="85"/>
      <c r="AB41" s="85" t="s">
        <v>114</v>
      </c>
      <c r="AC41" s="85" t="s">
        <v>114</v>
      </c>
      <c r="AD41" s="85" t="s">
        <v>114</v>
      </c>
      <c r="AE41" s="85"/>
      <c r="AF41" s="85"/>
      <c r="AG41" s="86">
        <v>43195</v>
      </c>
      <c r="AH41" s="85" t="s">
        <v>107</v>
      </c>
      <c r="AI41" s="86">
        <v>42521</v>
      </c>
      <c r="AJ41" s="86">
        <v>43214</v>
      </c>
      <c r="AK41" s="86">
        <v>43195</v>
      </c>
      <c r="AL41" s="85" t="s">
        <v>107</v>
      </c>
      <c r="AM41" s="85" t="s">
        <v>107</v>
      </c>
      <c r="AN41" s="86">
        <v>43390</v>
      </c>
      <c r="AO41" s="86">
        <v>43209</v>
      </c>
      <c r="AP41" s="86">
        <v>43195</v>
      </c>
      <c r="AQ41" s="86">
        <v>42235</v>
      </c>
      <c r="AR41" s="86">
        <v>43195</v>
      </c>
      <c r="AS41" s="86">
        <v>43195</v>
      </c>
      <c r="AT41" s="86">
        <v>43195</v>
      </c>
      <c r="AU41" s="86">
        <v>43195</v>
      </c>
      <c r="AV41" s="86">
        <v>43195</v>
      </c>
      <c r="AW41" s="86">
        <v>43195</v>
      </c>
    </row>
    <row r="42" spans="1:49" x14ac:dyDescent="0.2">
      <c r="A42" s="85" t="s">
        <v>1858</v>
      </c>
      <c r="B42" s="85" t="s">
        <v>1859</v>
      </c>
      <c r="C42" s="85" t="s">
        <v>1860</v>
      </c>
      <c r="D42" s="85" t="s">
        <v>1861</v>
      </c>
      <c r="E42" s="85" t="s">
        <v>158</v>
      </c>
      <c r="F42" s="85" t="s">
        <v>122</v>
      </c>
      <c r="G42" s="85" t="s">
        <v>4</v>
      </c>
      <c r="H42" s="85" t="s">
        <v>5</v>
      </c>
      <c r="I42" s="86">
        <v>43486</v>
      </c>
      <c r="J42" s="85"/>
      <c r="K42" s="86">
        <v>43510</v>
      </c>
      <c r="L42" s="85" t="s">
        <v>99</v>
      </c>
      <c r="M42" s="85"/>
      <c r="N42" s="85" t="s">
        <v>107</v>
      </c>
      <c r="O42" s="86">
        <v>43510</v>
      </c>
      <c r="P42" s="85"/>
      <c r="Q42" s="86">
        <v>43869</v>
      </c>
      <c r="R42" s="85" t="s">
        <v>1658</v>
      </c>
      <c r="S42" s="85" t="s">
        <v>59</v>
      </c>
      <c r="T42" s="85" t="s">
        <v>59</v>
      </c>
      <c r="U42" s="86">
        <v>43294</v>
      </c>
      <c r="V42" s="86">
        <v>43677</v>
      </c>
      <c r="W42" s="85" t="s">
        <v>1653</v>
      </c>
      <c r="X42" s="85" t="s">
        <v>114</v>
      </c>
      <c r="Y42" s="85">
        <v>2</v>
      </c>
      <c r="Z42" s="85" t="s">
        <v>114</v>
      </c>
      <c r="AA42" s="85"/>
      <c r="AB42" s="85" t="s">
        <v>211</v>
      </c>
      <c r="AC42" s="85" t="s">
        <v>114</v>
      </c>
      <c r="AD42" s="85" t="s">
        <v>211</v>
      </c>
      <c r="AE42" s="85" t="s">
        <v>1666</v>
      </c>
      <c r="AF42" s="86">
        <v>43653</v>
      </c>
      <c r="AG42" s="85" t="s">
        <v>59</v>
      </c>
      <c r="AH42" s="85" t="s">
        <v>107</v>
      </c>
      <c r="AI42" s="85" t="s">
        <v>59</v>
      </c>
      <c r="AJ42" s="85" t="s">
        <v>59</v>
      </c>
      <c r="AK42" s="85" t="s">
        <v>59</v>
      </c>
      <c r="AL42" s="85" t="s">
        <v>107</v>
      </c>
      <c r="AM42" s="85" t="s">
        <v>107</v>
      </c>
      <c r="AN42" s="86">
        <v>43475</v>
      </c>
      <c r="AO42" s="86">
        <v>43475</v>
      </c>
      <c r="AP42" s="86">
        <v>43475</v>
      </c>
      <c r="AQ42" s="86">
        <v>43475</v>
      </c>
      <c r="AR42" s="86">
        <v>43475</v>
      </c>
      <c r="AS42" s="86">
        <v>43475</v>
      </c>
      <c r="AT42" s="86">
        <v>43475</v>
      </c>
      <c r="AU42" s="86">
        <v>43475</v>
      </c>
      <c r="AV42" s="86">
        <v>43475</v>
      </c>
      <c r="AW42" s="86">
        <v>43475</v>
      </c>
    </row>
    <row r="43" spans="1:49" x14ac:dyDescent="0.2">
      <c r="A43" s="85" t="s">
        <v>236</v>
      </c>
      <c r="B43" s="85" t="s">
        <v>237</v>
      </c>
      <c r="C43" s="85" t="s">
        <v>238</v>
      </c>
      <c r="D43" s="85" t="s">
        <v>239</v>
      </c>
      <c r="E43" s="85" t="s">
        <v>240</v>
      </c>
      <c r="F43" s="85" t="s">
        <v>100</v>
      </c>
      <c r="G43" s="85" t="s">
        <v>4</v>
      </c>
      <c r="H43" s="85" t="s">
        <v>12</v>
      </c>
      <c r="I43" s="86">
        <v>43465</v>
      </c>
      <c r="J43" s="86">
        <v>43451</v>
      </c>
      <c r="K43" s="86">
        <v>43131</v>
      </c>
      <c r="L43" s="85"/>
      <c r="M43" s="85"/>
      <c r="N43" s="86">
        <v>40310</v>
      </c>
      <c r="O43" s="86">
        <v>43270</v>
      </c>
      <c r="P43" s="86">
        <v>43377</v>
      </c>
      <c r="Q43" s="86">
        <v>43490</v>
      </c>
      <c r="R43" s="85" t="s">
        <v>1652</v>
      </c>
      <c r="S43" s="86">
        <v>44958</v>
      </c>
      <c r="T43" s="85" t="s">
        <v>1652</v>
      </c>
      <c r="U43" s="85" t="s">
        <v>107</v>
      </c>
      <c r="V43" s="85" t="s">
        <v>107</v>
      </c>
      <c r="W43" s="85" t="s">
        <v>107</v>
      </c>
      <c r="X43" s="85" t="s">
        <v>107</v>
      </c>
      <c r="Y43" s="85" t="s">
        <v>107</v>
      </c>
      <c r="Z43" s="85" t="s">
        <v>107</v>
      </c>
      <c r="AA43" s="85" t="s">
        <v>107</v>
      </c>
      <c r="AB43" s="85" t="s">
        <v>107</v>
      </c>
      <c r="AC43" s="85" t="s">
        <v>107</v>
      </c>
      <c r="AD43" s="85" t="s">
        <v>107</v>
      </c>
      <c r="AE43" s="85" t="s">
        <v>107</v>
      </c>
      <c r="AF43" s="85" t="s">
        <v>107</v>
      </c>
      <c r="AG43" s="86">
        <v>43320</v>
      </c>
      <c r="AH43" s="85" t="s">
        <v>107</v>
      </c>
      <c r="AI43" s="85" t="s">
        <v>107</v>
      </c>
      <c r="AJ43" s="85" t="s">
        <v>107</v>
      </c>
      <c r="AK43" s="85"/>
      <c r="AL43" s="85" t="s">
        <v>107</v>
      </c>
      <c r="AM43" s="85" t="s">
        <v>107</v>
      </c>
      <c r="AN43" s="86">
        <v>43480</v>
      </c>
      <c r="AO43" s="86">
        <v>43213</v>
      </c>
      <c r="AP43" s="86">
        <v>43480</v>
      </c>
      <c r="AQ43" s="86">
        <v>42319</v>
      </c>
      <c r="AR43" s="86">
        <v>43480</v>
      </c>
      <c r="AS43" s="86">
        <v>43480</v>
      </c>
      <c r="AT43" s="86">
        <v>43480</v>
      </c>
      <c r="AU43" s="86">
        <v>43480</v>
      </c>
      <c r="AV43" s="86">
        <v>43480</v>
      </c>
      <c r="AW43" s="86">
        <v>43480</v>
      </c>
    </row>
    <row r="44" spans="1:49" x14ac:dyDescent="0.2">
      <c r="A44" s="85" t="s">
        <v>241</v>
      </c>
      <c r="B44" s="85" t="s">
        <v>242</v>
      </c>
      <c r="C44" s="85" t="s">
        <v>243</v>
      </c>
      <c r="D44" s="85" t="s">
        <v>244</v>
      </c>
      <c r="E44" s="85" t="s">
        <v>119</v>
      </c>
      <c r="F44" s="85" t="s">
        <v>245</v>
      </c>
      <c r="G44" s="85" t="s">
        <v>4</v>
      </c>
      <c r="H44" s="85" t="s">
        <v>12</v>
      </c>
      <c r="I44" s="86">
        <v>43368</v>
      </c>
      <c r="J44" s="86">
        <v>43480</v>
      </c>
      <c r="K44" s="86">
        <v>43125</v>
      </c>
      <c r="L44" s="85" t="s">
        <v>99</v>
      </c>
      <c r="M44" s="86">
        <v>42501</v>
      </c>
      <c r="N44" s="85" t="s">
        <v>107</v>
      </c>
      <c r="O44" s="86">
        <v>43125</v>
      </c>
      <c r="P44" s="86">
        <v>43299</v>
      </c>
      <c r="Q44" s="86">
        <v>43736</v>
      </c>
      <c r="R44" s="85" t="s">
        <v>1652</v>
      </c>
      <c r="S44" s="86">
        <v>43435</v>
      </c>
      <c r="T44" s="85" t="s">
        <v>1652</v>
      </c>
      <c r="U44" s="86">
        <v>43399</v>
      </c>
      <c r="V44" s="86">
        <v>43778</v>
      </c>
      <c r="W44" s="85" t="s">
        <v>1657</v>
      </c>
      <c r="X44" s="85" t="s">
        <v>114</v>
      </c>
      <c r="Y44" s="85">
        <v>1</v>
      </c>
      <c r="Z44" s="85" t="s">
        <v>114</v>
      </c>
      <c r="AA44" s="85" t="s">
        <v>1659</v>
      </c>
      <c r="AB44" s="85" t="s">
        <v>114</v>
      </c>
      <c r="AC44" s="85" t="s">
        <v>114</v>
      </c>
      <c r="AD44" s="85" t="s">
        <v>114</v>
      </c>
      <c r="AE44" s="85"/>
      <c r="AF44" s="85"/>
      <c r="AG44" s="86">
        <v>43216</v>
      </c>
      <c r="AH44" s="85" t="s">
        <v>107</v>
      </c>
      <c r="AI44" s="86">
        <v>42243</v>
      </c>
      <c r="AJ44" s="86">
        <v>43219</v>
      </c>
      <c r="AK44" s="86">
        <v>43125</v>
      </c>
      <c r="AL44" s="85" t="s">
        <v>107</v>
      </c>
      <c r="AM44" s="85" t="s">
        <v>107</v>
      </c>
      <c r="AN44" s="85"/>
      <c r="AO44" s="86">
        <v>43216</v>
      </c>
      <c r="AP44" s="86">
        <v>43157</v>
      </c>
      <c r="AQ44" s="86">
        <v>42790</v>
      </c>
      <c r="AR44" s="86">
        <v>43125</v>
      </c>
      <c r="AS44" s="86">
        <v>43187</v>
      </c>
      <c r="AT44" s="86">
        <v>43125</v>
      </c>
      <c r="AU44" s="86">
        <v>43125</v>
      </c>
      <c r="AV44" s="86">
        <v>43125</v>
      </c>
      <c r="AW44" s="86">
        <v>43125</v>
      </c>
    </row>
    <row r="45" spans="1:49" x14ac:dyDescent="0.2">
      <c r="A45" s="85" t="s">
        <v>246</v>
      </c>
      <c r="B45" s="85" t="s">
        <v>247</v>
      </c>
      <c r="C45" s="85" t="s">
        <v>248</v>
      </c>
      <c r="D45" s="85" t="s">
        <v>195</v>
      </c>
      <c r="E45" s="85" t="s">
        <v>231</v>
      </c>
      <c r="F45" s="85" t="s">
        <v>122</v>
      </c>
      <c r="G45" s="85" t="s">
        <v>4</v>
      </c>
      <c r="H45" s="85" t="s">
        <v>12</v>
      </c>
      <c r="I45" s="86">
        <v>43368</v>
      </c>
      <c r="J45" s="86">
        <v>43489</v>
      </c>
      <c r="K45" s="86">
        <v>43121</v>
      </c>
      <c r="L45" s="85" t="s">
        <v>99</v>
      </c>
      <c r="M45" s="86">
        <v>42769</v>
      </c>
      <c r="N45" s="85" t="s">
        <v>107</v>
      </c>
      <c r="O45" s="86">
        <v>42765</v>
      </c>
      <c r="P45" s="86">
        <v>43213</v>
      </c>
      <c r="Q45" s="86">
        <v>43486</v>
      </c>
      <c r="R45" s="85" t="s">
        <v>1652</v>
      </c>
      <c r="S45" s="86">
        <v>43497</v>
      </c>
      <c r="T45" s="85" t="s">
        <v>1652</v>
      </c>
      <c r="U45" s="86">
        <v>43410</v>
      </c>
      <c r="V45" s="86">
        <v>43616</v>
      </c>
      <c r="W45" s="85" t="s">
        <v>1655</v>
      </c>
      <c r="X45" s="85" t="s">
        <v>114</v>
      </c>
      <c r="Y45" s="85">
        <v>1</v>
      </c>
      <c r="Z45" s="85" t="s">
        <v>211</v>
      </c>
      <c r="AA45" s="85"/>
      <c r="AB45" s="85" t="s">
        <v>114</v>
      </c>
      <c r="AC45" s="85" t="s">
        <v>114</v>
      </c>
      <c r="AD45" s="85" t="s">
        <v>211</v>
      </c>
      <c r="AE45" s="85" t="s">
        <v>1873</v>
      </c>
      <c r="AF45" s="86">
        <v>43542</v>
      </c>
      <c r="AG45" s="86">
        <v>43178</v>
      </c>
      <c r="AH45" s="85" t="s">
        <v>107</v>
      </c>
      <c r="AI45" s="86">
        <v>42751</v>
      </c>
      <c r="AJ45" s="86">
        <v>43219</v>
      </c>
      <c r="AK45" s="86">
        <v>42774</v>
      </c>
      <c r="AL45" s="85" t="s">
        <v>107</v>
      </c>
      <c r="AM45" s="85" t="s">
        <v>107</v>
      </c>
      <c r="AN45" s="86">
        <v>43376</v>
      </c>
      <c r="AO45" s="86">
        <v>43213</v>
      </c>
      <c r="AP45" s="86">
        <v>43157</v>
      </c>
      <c r="AQ45" s="86">
        <v>42787</v>
      </c>
      <c r="AR45" s="86">
        <v>43157</v>
      </c>
      <c r="AS45" s="86">
        <v>43227</v>
      </c>
      <c r="AT45" s="86">
        <v>43157</v>
      </c>
      <c r="AU45" s="86">
        <v>43157</v>
      </c>
      <c r="AV45" s="86">
        <v>43157</v>
      </c>
      <c r="AW45" s="86">
        <v>43157</v>
      </c>
    </row>
    <row r="46" spans="1:49" x14ac:dyDescent="0.2">
      <c r="A46" s="85" t="s">
        <v>250</v>
      </c>
      <c r="B46" s="85" t="s">
        <v>251</v>
      </c>
      <c r="C46" s="85" t="s">
        <v>252</v>
      </c>
      <c r="D46" s="85" t="s">
        <v>180</v>
      </c>
      <c r="E46" s="85" t="s">
        <v>143</v>
      </c>
      <c r="F46" s="85" t="s">
        <v>122</v>
      </c>
      <c r="G46" s="85" t="s">
        <v>4</v>
      </c>
      <c r="H46" s="85" t="s">
        <v>10</v>
      </c>
      <c r="I46" s="86">
        <v>43194</v>
      </c>
      <c r="J46" s="86">
        <v>43385</v>
      </c>
      <c r="K46" s="86">
        <v>43171</v>
      </c>
      <c r="L46" s="85" t="s">
        <v>99</v>
      </c>
      <c r="M46" s="86">
        <v>43497</v>
      </c>
      <c r="N46" s="85" t="s">
        <v>107</v>
      </c>
      <c r="O46" s="86">
        <v>42355</v>
      </c>
      <c r="P46" s="86">
        <v>43292</v>
      </c>
      <c r="Q46" s="86">
        <v>42976</v>
      </c>
      <c r="R46" s="85" t="s">
        <v>1652</v>
      </c>
      <c r="S46" s="86">
        <v>45078</v>
      </c>
      <c r="T46" s="85" t="s">
        <v>1652</v>
      </c>
      <c r="U46" s="86">
        <v>43272</v>
      </c>
      <c r="V46" s="86">
        <v>43646</v>
      </c>
      <c r="W46" s="85" t="s">
        <v>1653</v>
      </c>
      <c r="X46" s="85" t="s">
        <v>114</v>
      </c>
      <c r="Y46" s="85">
        <v>2</v>
      </c>
      <c r="Z46" s="85" t="s">
        <v>114</v>
      </c>
      <c r="AA46" s="85"/>
      <c r="AB46" s="85" t="s">
        <v>114</v>
      </c>
      <c r="AC46" s="85" t="s">
        <v>114</v>
      </c>
      <c r="AD46" s="85" t="s">
        <v>114</v>
      </c>
      <c r="AE46" s="85"/>
      <c r="AF46" s="85"/>
      <c r="AG46" s="86">
        <v>43206</v>
      </c>
      <c r="AH46" s="85" t="s">
        <v>107</v>
      </c>
      <c r="AI46" s="86">
        <v>43376</v>
      </c>
      <c r="AJ46" s="86">
        <v>43376</v>
      </c>
      <c r="AK46" s="86">
        <v>42439</v>
      </c>
      <c r="AL46" s="86">
        <v>42542</v>
      </c>
      <c r="AM46" s="86">
        <v>42542</v>
      </c>
      <c r="AN46" s="86">
        <v>43403</v>
      </c>
      <c r="AO46" s="86">
        <v>43209</v>
      </c>
      <c r="AP46" s="86">
        <v>43048</v>
      </c>
      <c r="AQ46" s="86">
        <v>42452</v>
      </c>
      <c r="AR46" s="86">
        <v>43215</v>
      </c>
      <c r="AS46" s="86">
        <v>43482</v>
      </c>
      <c r="AT46" s="86">
        <v>43215</v>
      </c>
      <c r="AU46" s="86">
        <v>43215</v>
      </c>
      <c r="AV46" s="86">
        <v>43215</v>
      </c>
      <c r="AW46" s="86">
        <v>43215</v>
      </c>
    </row>
    <row r="47" spans="1:49" x14ac:dyDescent="0.2">
      <c r="A47" s="85" t="s">
        <v>253</v>
      </c>
      <c r="B47" s="85" t="s">
        <v>254</v>
      </c>
      <c r="C47" s="85" t="s">
        <v>255</v>
      </c>
      <c r="D47" s="85" t="s">
        <v>118</v>
      </c>
      <c r="E47" s="85"/>
      <c r="F47" s="85" t="s">
        <v>106</v>
      </c>
      <c r="G47" s="85" t="s">
        <v>4</v>
      </c>
      <c r="H47" s="85" t="s">
        <v>8</v>
      </c>
      <c r="I47" s="85" t="s">
        <v>107</v>
      </c>
      <c r="J47" s="85" t="s">
        <v>59</v>
      </c>
      <c r="K47" s="85" t="s">
        <v>59</v>
      </c>
      <c r="L47" s="85" t="s">
        <v>107</v>
      </c>
      <c r="M47" s="85" t="s">
        <v>107</v>
      </c>
      <c r="N47" s="85" t="s">
        <v>107</v>
      </c>
      <c r="O47" s="85" t="s">
        <v>107</v>
      </c>
      <c r="P47" s="85" t="s">
        <v>107</v>
      </c>
      <c r="Q47" s="86">
        <v>43495</v>
      </c>
      <c r="R47" s="85" t="s">
        <v>107</v>
      </c>
      <c r="S47" s="85" t="s">
        <v>107</v>
      </c>
      <c r="T47" s="85" t="s">
        <v>107</v>
      </c>
      <c r="U47" s="85" t="s">
        <v>107</v>
      </c>
      <c r="V47" s="85" t="s">
        <v>107</v>
      </c>
      <c r="W47" s="85" t="s">
        <v>107</v>
      </c>
      <c r="X47" s="85" t="s">
        <v>107</v>
      </c>
      <c r="Y47" s="85" t="s">
        <v>107</v>
      </c>
      <c r="Z47" s="85" t="s">
        <v>107</v>
      </c>
      <c r="AA47" s="85" t="s">
        <v>107</v>
      </c>
      <c r="AB47" s="85" t="s">
        <v>107</v>
      </c>
      <c r="AC47" s="85" t="s">
        <v>107</v>
      </c>
      <c r="AD47" s="85" t="s">
        <v>107</v>
      </c>
      <c r="AE47" s="85" t="s">
        <v>107</v>
      </c>
      <c r="AF47" s="85" t="s">
        <v>107</v>
      </c>
      <c r="AG47" s="86">
        <v>43133</v>
      </c>
      <c r="AH47" s="85" t="s">
        <v>107</v>
      </c>
      <c r="AI47" s="85" t="s">
        <v>107</v>
      </c>
      <c r="AJ47" s="85" t="s">
        <v>107</v>
      </c>
      <c r="AK47" s="85" t="s">
        <v>107</v>
      </c>
      <c r="AL47" s="85" t="s">
        <v>107</v>
      </c>
      <c r="AM47" s="85" t="s">
        <v>107</v>
      </c>
      <c r="AN47" s="86">
        <v>43393</v>
      </c>
      <c r="AO47" s="86">
        <v>43207</v>
      </c>
      <c r="AP47" s="86">
        <v>43130</v>
      </c>
      <c r="AQ47" s="86">
        <v>43132</v>
      </c>
      <c r="AR47" s="86">
        <v>43132</v>
      </c>
      <c r="AS47" s="86">
        <v>43132</v>
      </c>
      <c r="AT47" s="86">
        <v>43132</v>
      </c>
      <c r="AU47" s="85" t="s">
        <v>107</v>
      </c>
      <c r="AV47" s="86">
        <v>43132</v>
      </c>
      <c r="AW47" s="86">
        <v>43132</v>
      </c>
    </row>
    <row r="48" spans="1:49" x14ac:dyDescent="0.2">
      <c r="A48" s="85" t="s">
        <v>258</v>
      </c>
      <c r="B48" s="85" t="s">
        <v>259</v>
      </c>
      <c r="C48" s="85" t="s">
        <v>256</v>
      </c>
      <c r="D48" s="85" t="s">
        <v>118</v>
      </c>
      <c r="E48" s="85" t="s">
        <v>231</v>
      </c>
      <c r="F48" s="85" t="s">
        <v>122</v>
      </c>
      <c r="G48" s="85" t="s">
        <v>4</v>
      </c>
      <c r="H48" s="85" t="s">
        <v>10</v>
      </c>
      <c r="I48" s="86">
        <v>43465</v>
      </c>
      <c r="J48" s="86">
        <v>43270</v>
      </c>
      <c r="K48" s="86">
        <v>42966</v>
      </c>
      <c r="L48" s="85" t="s">
        <v>99</v>
      </c>
      <c r="M48" s="85"/>
      <c r="N48" s="85" t="s">
        <v>107</v>
      </c>
      <c r="O48" s="86">
        <v>42718</v>
      </c>
      <c r="P48" s="86">
        <v>43325</v>
      </c>
      <c r="Q48" s="86">
        <v>43862</v>
      </c>
      <c r="R48" s="85" t="s">
        <v>1658</v>
      </c>
      <c r="S48" s="86">
        <v>43525</v>
      </c>
      <c r="T48" s="85" t="s">
        <v>1652</v>
      </c>
      <c r="U48" s="86">
        <v>43465</v>
      </c>
      <c r="V48" s="86">
        <v>43646</v>
      </c>
      <c r="W48" s="85" t="s">
        <v>1655</v>
      </c>
      <c r="X48" s="85" t="s">
        <v>114</v>
      </c>
      <c r="Y48" s="85">
        <v>4</v>
      </c>
      <c r="Z48" s="85" t="s">
        <v>114</v>
      </c>
      <c r="AA48" s="85"/>
      <c r="AB48" s="85" t="s">
        <v>114</v>
      </c>
      <c r="AC48" s="85" t="s">
        <v>114</v>
      </c>
      <c r="AD48" s="85" t="s">
        <v>119</v>
      </c>
      <c r="AE48" s="85" t="s">
        <v>1654</v>
      </c>
      <c r="AF48" s="85"/>
      <c r="AG48" s="85" t="s">
        <v>59</v>
      </c>
      <c r="AH48" s="85" t="s">
        <v>107</v>
      </c>
      <c r="AI48" s="86">
        <v>43376</v>
      </c>
      <c r="AJ48" s="86">
        <v>43376</v>
      </c>
      <c r="AK48" s="85"/>
      <c r="AL48" s="85" t="s">
        <v>107</v>
      </c>
      <c r="AM48" s="85" t="s">
        <v>107</v>
      </c>
      <c r="AN48" s="86">
        <v>43403</v>
      </c>
      <c r="AO48" s="86">
        <v>43214</v>
      </c>
      <c r="AP48" s="86">
        <v>43046</v>
      </c>
      <c r="AQ48" s="86">
        <v>42789</v>
      </c>
      <c r="AR48" s="86">
        <v>43167</v>
      </c>
      <c r="AS48" s="86">
        <v>42789</v>
      </c>
      <c r="AT48" s="86">
        <v>42789</v>
      </c>
      <c r="AU48" s="86">
        <v>43167</v>
      </c>
      <c r="AV48" s="86">
        <v>43167</v>
      </c>
      <c r="AW48" s="86">
        <v>43167</v>
      </c>
    </row>
    <row r="49" spans="1:49" x14ac:dyDescent="0.2">
      <c r="A49" s="85" t="s">
        <v>260</v>
      </c>
      <c r="B49" s="85" t="s">
        <v>261</v>
      </c>
      <c r="C49" s="85" t="s">
        <v>256</v>
      </c>
      <c r="D49" s="85" t="s">
        <v>262</v>
      </c>
      <c r="E49" s="85" t="s">
        <v>143</v>
      </c>
      <c r="F49" s="85" t="s">
        <v>122</v>
      </c>
      <c r="G49" s="85" t="s">
        <v>4</v>
      </c>
      <c r="H49" s="85" t="s">
        <v>5</v>
      </c>
      <c r="I49" s="86">
        <v>43440</v>
      </c>
      <c r="J49" s="86">
        <v>43492</v>
      </c>
      <c r="K49" s="86">
        <v>43497</v>
      </c>
      <c r="L49" s="85" t="s">
        <v>99</v>
      </c>
      <c r="M49" s="86">
        <v>43137</v>
      </c>
      <c r="N49" s="85" t="s">
        <v>107</v>
      </c>
      <c r="O49" s="86">
        <v>43254</v>
      </c>
      <c r="P49" s="86">
        <v>43158</v>
      </c>
      <c r="Q49" s="86">
        <v>43862</v>
      </c>
      <c r="R49" s="85" t="s">
        <v>1652</v>
      </c>
      <c r="S49" s="86">
        <v>43862</v>
      </c>
      <c r="T49" s="85" t="s">
        <v>1652</v>
      </c>
      <c r="U49" s="86">
        <v>43448</v>
      </c>
      <c r="V49" s="86">
        <v>43646</v>
      </c>
      <c r="W49" s="85" t="s">
        <v>1657</v>
      </c>
      <c r="X49" s="85" t="s">
        <v>114</v>
      </c>
      <c r="Y49" s="85">
        <v>1</v>
      </c>
      <c r="Z49" s="85" t="s">
        <v>114</v>
      </c>
      <c r="AA49" s="85" t="s">
        <v>1659</v>
      </c>
      <c r="AB49" s="85" t="s">
        <v>114</v>
      </c>
      <c r="AC49" s="85" t="s">
        <v>114</v>
      </c>
      <c r="AD49" s="85" t="s">
        <v>114</v>
      </c>
      <c r="AE49" s="85"/>
      <c r="AF49" s="85"/>
      <c r="AG49" s="86">
        <v>43507</v>
      </c>
      <c r="AH49" s="85" t="s">
        <v>107</v>
      </c>
      <c r="AI49" s="86">
        <v>43230</v>
      </c>
      <c r="AJ49" s="86">
        <v>43230</v>
      </c>
      <c r="AK49" s="86">
        <v>43137</v>
      </c>
      <c r="AL49" s="85" t="s">
        <v>107</v>
      </c>
      <c r="AM49" s="85" t="s">
        <v>107</v>
      </c>
      <c r="AN49" s="86">
        <v>43507</v>
      </c>
      <c r="AO49" s="86">
        <v>43207</v>
      </c>
      <c r="AP49" s="86">
        <v>43507</v>
      </c>
      <c r="AQ49" s="86">
        <v>43139</v>
      </c>
      <c r="AR49" s="86">
        <v>43507</v>
      </c>
      <c r="AS49" s="86">
        <v>43507</v>
      </c>
      <c r="AT49" s="86">
        <v>43507</v>
      </c>
      <c r="AU49" s="86">
        <v>43507</v>
      </c>
      <c r="AV49" s="86">
        <v>43507</v>
      </c>
      <c r="AW49" s="86">
        <v>43507</v>
      </c>
    </row>
    <row r="50" spans="1:49" x14ac:dyDescent="0.2">
      <c r="A50" s="85" t="s">
        <v>263</v>
      </c>
      <c r="B50" s="85" t="s">
        <v>264</v>
      </c>
      <c r="C50" s="85" t="s">
        <v>256</v>
      </c>
      <c r="D50" s="85" t="s">
        <v>265</v>
      </c>
      <c r="E50" s="85" t="s">
        <v>119</v>
      </c>
      <c r="F50" s="85" t="s">
        <v>106</v>
      </c>
      <c r="G50" s="85" t="s">
        <v>4</v>
      </c>
      <c r="H50" s="85" t="s">
        <v>5</v>
      </c>
      <c r="I50" s="85" t="s">
        <v>107</v>
      </c>
      <c r="J50" s="86">
        <v>43501</v>
      </c>
      <c r="K50" s="86">
        <v>43167</v>
      </c>
      <c r="L50" s="85" t="s">
        <v>107</v>
      </c>
      <c r="M50" s="85" t="s">
        <v>107</v>
      </c>
      <c r="N50" s="85" t="s">
        <v>107</v>
      </c>
      <c r="O50" s="85" t="s">
        <v>107</v>
      </c>
      <c r="P50" s="85" t="s">
        <v>107</v>
      </c>
      <c r="Q50" s="86">
        <v>43532</v>
      </c>
      <c r="R50" s="85" t="s">
        <v>107</v>
      </c>
      <c r="S50" s="85" t="s">
        <v>107</v>
      </c>
      <c r="T50" s="85" t="s">
        <v>107</v>
      </c>
      <c r="U50" s="85" t="s">
        <v>107</v>
      </c>
      <c r="V50" s="85" t="s">
        <v>107</v>
      </c>
      <c r="W50" s="85" t="s">
        <v>107</v>
      </c>
      <c r="X50" s="85" t="s">
        <v>107</v>
      </c>
      <c r="Y50" s="85" t="s">
        <v>107</v>
      </c>
      <c r="Z50" s="85" t="s">
        <v>107</v>
      </c>
      <c r="AA50" s="85" t="s">
        <v>107</v>
      </c>
      <c r="AB50" s="85" t="s">
        <v>107</v>
      </c>
      <c r="AC50" s="85" t="s">
        <v>107</v>
      </c>
      <c r="AD50" s="85" t="s">
        <v>107</v>
      </c>
      <c r="AE50" s="85" t="s">
        <v>107</v>
      </c>
      <c r="AF50" s="85" t="s">
        <v>107</v>
      </c>
      <c r="AG50" s="86">
        <v>43507</v>
      </c>
      <c r="AH50" s="85" t="s">
        <v>107</v>
      </c>
      <c r="AI50" s="85" t="s">
        <v>107</v>
      </c>
      <c r="AJ50" s="85" t="s">
        <v>107</v>
      </c>
      <c r="AK50" s="85" t="s">
        <v>107</v>
      </c>
      <c r="AL50" s="85" t="s">
        <v>107</v>
      </c>
      <c r="AM50" s="85" t="s">
        <v>107</v>
      </c>
      <c r="AN50" s="86">
        <v>43375</v>
      </c>
      <c r="AO50" s="86">
        <v>43207</v>
      </c>
      <c r="AP50" s="86">
        <v>43047</v>
      </c>
      <c r="AQ50" s="86">
        <v>42902</v>
      </c>
      <c r="AR50" s="86">
        <v>43171</v>
      </c>
      <c r="AS50" s="86">
        <v>43188</v>
      </c>
      <c r="AT50" s="86">
        <v>43171</v>
      </c>
      <c r="AU50" s="85" t="s">
        <v>107</v>
      </c>
      <c r="AV50" s="86">
        <v>43171</v>
      </c>
      <c r="AW50" s="86">
        <v>43171</v>
      </c>
    </row>
    <row r="51" spans="1:49" x14ac:dyDescent="0.2">
      <c r="A51" s="85" t="s">
        <v>266</v>
      </c>
      <c r="B51" s="85" t="s">
        <v>267</v>
      </c>
      <c r="C51" s="85" t="s">
        <v>268</v>
      </c>
      <c r="D51" s="85" t="s">
        <v>269</v>
      </c>
      <c r="E51" s="85" t="s">
        <v>112</v>
      </c>
      <c r="F51" s="85" t="s">
        <v>270</v>
      </c>
      <c r="G51" s="85" t="s">
        <v>4</v>
      </c>
      <c r="H51" s="85" t="s">
        <v>8</v>
      </c>
      <c r="I51" s="86">
        <v>43475</v>
      </c>
      <c r="J51" s="86">
        <v>43471</v>
      </c>
      <c r="K51" s="86">
        <v>43479</v>
      </c>
      <c r="L51" s="85" t="s">
        <v>99</v>
      </c>
      <c r="M51" s="86">
        <v>43475</v>
      </c>
      <c r="N51" s="85" t="s">
        <v>107</v>
      </c>
      <c r="O51" s="86">
        <v>43275</v>
      </c>
      <c r="P51" s="86">
        <v>43235</v>
      </c>
      <c r="Q51" s="86">
        <v>43844</v>
      </c>
      <c r="R51" s="85" t="s">
        <v>1652</v>
      </c>
      <c r="S51" s="86">
        <v>43497</v>
      </c>
      <c r="T51" s="85" t="s">
        <v>1652</v>
      </c>
      <c r="U51" s="86">
        <v>43433</v>
      </c>
      <c r="V51" s="86">
        <v>43616</v>
      </c>
      <c r="W51" s="85" t="s">
        <v>1657</v>
      </c>
      <c r="X51" s="85" t="s">
        <v>114</v>
      </c>
      <c r="Y51" s="85">
        <v>1</v>
      </c>
      <c r="Z51" s="85" t="s">
        <v>114</v>
      </c>
      <c r="AA51" s="85"/>
      <c r="AB51" s="85" t="s">
        <v>114</v>
      </c>
      <c r="AC51" s="85" t="s">
        <v>114</v>
      </c>
      <c r="AD51" s="85" t="s">
        <v>114</v>
      </c>
      <c r="AE51" s="85"/>
      <c r="AF51" s="85"/>
      <c r="AG51" s="86">
        <v>43479</v>
      </c>
      <c r="AH51" s="85" t="s">
        <v>107</v>
      </c>
      <c r="AI51" s="85" t="s">
        <v>59</v>
      </c>
      <c r="AJ51" s="85" t="s">
        <v>59</v>
      </c>
      <c r="AK51" s="86">
        <v>42229</v>
      </c>
      <c r="AL51" s="85"/>
      <c r="AM51" s="85"/>
      <c r="AN51" s="86">
        <v>43479</v>
      </c>
      <c r="AO51" s="86">
        <v>43215</v>
      </c>
      <c r="AP51" s="86">
        <v>43230</v>
      </c>
      <c r="AQ51" s="86">
        <v>43230</v>
      </c>
      <c r="AR51" s="86">
        <v>43230</v>
      </c>
      <c r="AS51" s="86">
        <v>43230</v>
      </c>
      <c r="AT51" s="86">
        <v>43230</v>
      </c>
      <c r="AU51" s="86">
        <v>43230</v>
      </c>
      <c r="AV51" s="86">
        <v>43230</v>
      </c>
      <c r="AW51" s="86">
        <v>43230</v>
      </c>
    </row>
    <row r="52" spans="1:49" x14ac:dyDescent="0.2">
      <c r="A52" s="85" t="s">
        <v>271</v>
      </c>
      <c r="B52" s="85" t="s">
        <v>272</v>
      </c>
      <c r="C52" s="85" t="s">
        <v>273</v>
      </c>
      <c r="D52" s="85" t="s">
        <v>167</v>
      </c>
      <c r="E52" s="85" t="s">
        <v>126</v>
      </c>
      <c r="F52" s="85" t="s">
        <v>249</v>
      </c>
      <c r="G52" s="85" t="s">
        <v>4</v>
      </c>
      <c r="H52" s="85" t="s">
        <v>13</v>
      </c>
      <c r="I52" s="86">
        <v>43185</v>
      </c>
      <c r="J52" s="86">
        <v>43167</v>
      </c>
      <c r="K52" s="86">
        <v>43167</v>
      </c>
      <c r="L52" s="85" t="s">
        <v>99</v>
      </c>
      <c r="M52" s="86">
        <v>42671</v>
      </c>
      <c r="N52" s="85" t="s">
        <v>107</v>
      </c>
      <c r="O52" s="86">
        <v>43167</v>
      </c>
      <c r="P52" s="86">
        <v>43243</v>
      </c>
      <c r="Q52" s="86">
        <v>43532</v>
      </c>
      <c r="R52" s="85" t="s">
        <v>1652</v>
      </c>
      <c r="S52" s="86">
        <v>44986</v>
      </c>
      <c r="T52" s="85" t="s">
        <v>1652</v>
      </c>
      <c r="U52" s="86">
        <v>43446</v>
      </c>
      <c r="V52" s="86">
        <v>43830</v>
      </c>
      <c r="W52" s="85" t="s">
        <v>1653</v>
      </c>
      <c r="X52" s="85" t="s">
        <v>114</v>
      </c>
      <c r="Y52" s="85">
        <v>1</v>
      </c>
      <c r="Z52" s="85" t="s">
        <v>114</v>
      </c>
      <c r="AA52" s="85"/>
      <c r="AB52" s="85" t="s">
        <v>114</v>
      </c>
      <c r="AC52" s="85" t="s">
        <v>114</v>
      </c>
      <c r="AD52" s="85" t="s">
        <v>114</v>
      </c>
      <c r="AE52" s="85"/>
      <c r="AF52" s="85"/>
      <c r="AG52" s="86">
        <v>43198</v>
      </c>
      <c r="AH52" s="85" t="s">
        <v>107</v>
      </c>
      <c r="AI52" s="86">
        <v>43213</v>
      </c>
      <c r="AJ52" s="86">
        <v>43213</v>
      </c>
      <c r="AK52" s="86">
        <v>43167</v>
      </c>
      <c r="AL52" s="85" t="s">
        <v>107</v>
      </c>
      <c r="AM52" s="85" t="s">
        <v>107</v>
      </c>
      <c r="AN52" s="86">
        <v>43518</v>
      </c>
      <c r="AO52" s="86">
        <v>43207</v>
      </c>
      <c r="AP52" s="86">
        <v>43518</v>
      </c>
      <c r="AQ52" s="86">
        <v>42691</v>
      </c>
      <c r="AR52" s="86">
        <v>43518</v>
      </c>
      <c r="AS52" s="86">
        <v>43518</v>
      </c>
      <c r="AT52" s="86">
        <v>43518</v>
      </c>
      <c r="AU52" s="86">
        <v>43518</v>
      </c>
      <c r="AV52" s="86">
        <v>43518</v>
      </c>
      <c r="AW52" s="86">
        <v>43518</v>
      </c>
    </row>
    <row r="53" spans="1:49" x14ac:dyDescent="0.2">
      <c r="A53" s="85" t="s">
        <v>274</v>
      </c>
      <c r="B53" s="85" t="s">
        <v>275</v>
      </c>
      <c r="C53" s="85" t="s">
        <v>276</v>
      </c>
      <c r="D53" s="85" t="s">
        <v>277</v>
      </c>
      <c r="E53" s="85" t="s">
        <v>278</v>
      </c>
      <c r="F53" s="85" t="s">
        <v>113</v>
      </c>
      <c r="G53" s="85" t="s">
        <v>4</v>
      </c>
      <c r="H53" s="85" t="s">
        <v>5</v>
      </c>
      <c r="I53" s="86">
        <v>43440</v>
      </c>
      <c r="J53" s="86">
        <v>43448</v>
      </c>
      <c r="K53" s="86">
        <v>43207</v>
      </c>
      <c r="L53" s="85" t="s">
        <v>99</v>
      </c>
      <c r="M53" s="86">
        <v>43450</v>
      </c>
      <c r="N53" s="85" t="s">
        <v>107</v>
      </c>
      <c r="O53" s="86">
        <v>42452</v>
      </c>
      <c r="P53" s="86">
        <v>43392</v>
      </c>
      <c r="Q53" s="86">
        <v>43572</v>
      </c>
      <c r="R53" s="85" t="s">
        <v>1652</v>
      </c>
      <c r="S53" s="86">
        <v>43952</v>
      </c>
      <c r="T53" s="85" t="s">
        <v>1652</v>
      </c>
      <c r="U53" s="86">
        <v>43432</v>
      </c>
      <c r="V53" s="86">
        <v>43616</v>
      </c>
      <c r="W53" s="85" t="s">
        <v>1655</v>
      </c>
      <c r="X53" s="85" t="s">
        <v>114</v>
      </c>
      <c r="Y53" s="85">
        <v>1</v>
      </c>
      <c r="Z53" s="85" t="s">
        <v>114</v>
      </c>
      <c r="AA53" s="85"/>
      <c r="AB53" s="85" t="s">
        <v>114</v>
      </c>
      <c r="AC53" s="85" t="s">
        <v>114</v>
      </c>
      <c r="AD53" s="85" t="s">
        <v>114</v>
      </c>
      <c r="AE53" s="85"/>
      <c r="AF53" s="85"/>
      <c r="AG53" s="86">
        <v>43507</v>
      </c>
      <c r="AH53" s="85" t="s">
        <v>107</v>
      </c>
      <c r="AI53" s="86">
        <v>42278</v>
      </c>
      <c r="AJ53" s="86">
        <v>43101</v>
      </c>
      <c r="AK53" s="86">
        <v>42318</v>
      </c>
      <c r="AL53" s="85" t="s">
        <v>107</v>
      </c>
      <c r="AM53" s="85" t="s">
        <v>107</v>
      </c>
      <c r="AN53" s="86">
        <v>43467</v>
      </c>
      <c r="AO53" s="86">
        <v>43467</v>
      </c>
      <c r="AP53" s="86">
        <v>43467</v>
      </c>
      <c r="AQ53" s="86">
        <v>43467</v>
      </c>
      <c r="AR53" s="86">
        <v>43467</v>
      </c>
      <c r="AS53" s="86">
        <v>43467</v>
      </c>
      <c r="AT53" s="86">
        <v>43467</v>
      </c>
      <c r="AU53" s="86">
        <v>43467</v>
      </c>
      <c r="AV53" s="86">
        <v>43467</v>
      </c>
      <c r="AW53" s="86">
        <v>43467</v>
      </c>
    </row>
    <row r="54" spans="1:49" x14ac:dyDescent="0.2">
      <c r="A54" s="85" t="s">
        <v>1775</v>
      </c>
      <c r="B54" s="85" t="s">
        <v>1776</v>
      </c>
      <c r="C54" s="85" t="s">
        <v>1777</v>
      </c>
      <c r="D54" s="85" t="s">
        <v>195</v>
      </c>
      <c r="E54" s="85" t="s">
        <v>231</v>
      </c>
      <c r="F54" s="85" t="s">
        <v>106</v>
      </c>
      <c r="G54" s="85" t="s">
        <v>4</v>
      </c>
      <c r="H54" s="85" t="s">
        <v>8</v>
      </c>
      <c r="I54" s="85" t="s">
        <v>107</v>
      </c>
      <c r="J54" s="86">
        <v>43203</v>
      </c>
      <c r="K54" s="86">
        <v>43161</v>
      </c>
      <c r="L54" s="85" t="s">
        <v>107</v>
      </c>
      <c r="M54" s="85" t="s">
        <v>107</v>
      </c>
      <c r="N54" s="85" t="s">
        <v>107</v>
      </c>
      <c r="O54" s="85" t="s">
        <v>107</v>
      </c>
      <c r="P54" s="85" t="s">
        <v>107</v>
      </c>
      <c r="Q54" s="86">
        <v>43491</v>
      </c>
      <c r="R54" s="85" t="s">
        <v>107</v>
      </c>
      <c r="S54" s="85" t="s">
        <v>107</v>
      </c>
      <c r="T54" s="85" t="s">
        <v>107</v>
      </c>
      <c r="U54" s="85" t="s">
        <v>107</v>
      </c>
      <c r="V54" s="85" t="s">
        <v>107</v>
      </c>
      <c r="W54" s="85" t="s">
        <v>107</v>
      </c>
      <c r="X54" s="85" t="s">
        <v>107</v>
      </c>
      <c r="Y54" s="85" t="s">
        <v>107</v>
      </c>
      <c r="Z54" s="85" t="s">
        <v>107</v>
      </c>
      <c r="AA54" s="85" t="s">
        <v>107</v>
      </c>
      <c r="AB54" s="85" t="s">
        <v>107</v>
      </c>
      <c r="AC54" s="85" t="s">
        <v>107</v>
      </c>
      <c r="AD54" s="85" t="s">
        <v>107</v>
      </c>
      <c r="AE54" s="85" t="s">
        <v>107</v>
      </c>
      <c r="AF54" s="85" t="s">
        <v>107</v>
      </c>
      <c r="AG54" s="86">
        <v>43203</v>
      </c>
      <c r="AH54" s="85" t="s">
        <v>107</v>
      </c>
      <c r="AI54" s="85" t="s">
        <v>107</v>
      </c>
      <c r="AJ54" s="85" t="s">
        <v>107</v>
      </c>
      <c r="AK54" s="85" t="s">
        <v>107</v>
      </c>
      <c r="AL54" s="85" t="s">
        <v>107</v>
      </c>
      <c r="AM54" s="85" t="s">
        <v>107</v>
      </c>
      <c r="AN54" s="86">
        <v>43452</v>
      </c>
      <c r="AO54" s="86">
        <v>43452</v>
      </c>
      <c r="AP54" s="86">
        <v>43452</v>
      </c>
      <c r="AQ54" s="86">
        <v>43452</v>
      </c>
      <c r="AR54" s="86">
        <v>43452</v>
      </c>
      <c r="AS54" s="86">
        <v>43452</v>
      </c>
      <c r="AT54" s="86">
        <v>43452</v>
      </c>
      <c r="AU54" s="86" t="s">
        <v>107</v>
      </c>
      <c r="AV54" s="86">
        <v>43452</v>
      </c>
      <c r="AW54" s="86">
        <v>43452</v>
      </c>
    </row>
    <row r="55" spans="1:49" x14ac:dyDescent="0.2">
      <c r="A55" s="85" t="s">
        <v>279</v>
      </c>
      <c r="B55" s="85" t="s">
        <v>280</v>
      </c>
      <c r="C55" s="85" t="s">
        <v>281</v>
      </c>
      <c r="D55" s="85" t="s">
        <v>282</v>
      </c>
      <c r="E55" s="85" t="s">
        <v>105</v>
      </c>
      <c r="F55" s="85" t="s">
        <v>113</v>
      </c>
      <c r="G55" s="85" t="s">
        <v>4</v>
      </c>
      <c r="H55" s="85" t="s">
        <v>10</v>
      </c>
      <c r="I55" s="86">
        <v>43206</v>
      </c>
      <c r="J55" s="86">
        <v>43453</v>
      </c>
      <c r="K55" s="86">
        <v>43294</v>
      </c>
      <c r="L55" s="85" t="s">
        <v>99</v>
      </c>
      <c r="M55" s="86">
        <v>42832</v>
      </c>
      <c r="N55" s="85" t="s">
        <v>107</v>
      </c>
      <c r="O55" s="86">
        <v>42235</v>
      </c>
      <c r="P55" s="86">
        <v>43277</v>
      </c>
      <c r="Q55" s="85"/>
      <c r="R55" s="85" t="s">
        <v>1652</v>
      </c>
      <c r="S55" s="86">
        <v>43556</v>
      </c>
      <c r="T55" s="85" t="s">
        <v>1652</v>
      </c>
      <c r="U55" s="86">
        <v>43403</v>
      </c>
      <c r="V55" s="86">
        <v>43585</v>
      </c>
      <c r="W55" s="85" t="s">
        <v>1657</v>
      </c>
      <c r="X55" s="85" t="s">
        <v>114</v>
      </c>
      <c r="Y55" s="85">
        <v>1</v>
      </c>
      <c r="Z55" s="85" t="s">
        <v>114</v>
      </c>
      <c r="AA55" s="85"/>
      <c r="AB55" s="85" t="s">
        <v>114</v>
      </c>
      <c r="AC55" s="85" t="s">
        <v>114</v>
      </c>
      <c r="AD55" s="85" t="s">
        <v>114</v>
      </c>
      <c r="AE55" s="85"/>
      <c r="AF55" s="85"/>
      <c r="AG55" s="86">
        <v>43467</v>
      </c>
      <c r="AH55" s="85" t="s">
        <v>107</v>
      </c>
      <c r="AI55" s="85"/>
      <c r="AJ55" s="85" t="s">
        <v>1765</v>
      </c>
      <c r="AK55" s="86">
        <v>42839</v>
      </c>
      <c r="AL55" s="86">
        <v>42417</v>
      </c>
      <c r="AM55" s="86">
        <v>42417</v>
      </c>
      <c r="AN55" s="86">
        <v>43431</v>
      </c>
      <c r="AO55" s="86">
        <v>43210</v>
      </c>
      <c r="AP55" s="86">
        <v>43431</v>
      </c>
      <c r="AQ55" s="86">
        <v>42818</v>
      </c>
      <c r="AR55" s="86">
        <v>43431</v>
      </c>
      <c r="AS55" s="86">
        <v>43431</v>
      </c>
      <c r="AT55" s="86">
        <v>43431</v>
      </c>
      <c r="AU55" s="86">
        <v>43431</v>
      </c>
      <c r="AV55" s="86">
        <v>43431</v>
      </c>
      <c r="AW55" s="86">
        <v>43431</v>
      </c>
    </row>
    <row r="56" spans="1:49" x14ac:dyDescent="0.2">
      <c r="A56" s="85" t="s">
        <v>283</v>
      </c>
      <c r="B56" s="85" t="s">
        <v>284</v>
      </c>
      <c r="C56" s="85" t="s">
        <v>285</v>
      </c>
      <c r="D56" s="85" t="s">
        <v>286</v>
      </c>
      <c r="E56" s="85" t="s">
        <v>149</v>
      </c>
      <c r="F56" s="85" t="s">
        <v>113</v>
      </c>
      <c r="G56" s="85" t="s">
        <v>4</v>
      </c>
      <c r="H56" s="85" t="s">
        <v>10</v>
      </c>
      <c r="I56" s="86">
        <v>43374</v>
      </c>
      <c r="J56" s="86">
        <v>43291</v>
      </c>
      <c r="K56" s="86">
        <v>42962</v>
      </c>
      <c r="L56" s="85" t="s">
        <v>99</v>
      </c>
      <c r="M56" s="86">
        <v>42382</v>
      </c>
      <c r="N56" s="85" t="s">
        <v>107</v>
      </c>
      <c r="O56" s="86">
        <v>42674</v>
      </c>
      <c r="P56" s="86">
        <v>43444</v>
      </c>
      <c r="Q56" s="85"/>
      <c r="R56" s="85" t="s">
        <v>1658</v>
      </c>
      <c r="S56" s="85" t="s">
        <v>59</v>
      </c>
      <c r="T56" s="85" t="s">
        <v>59</v>
      </c>
      <c r="U56" s="86">
        <v>43488</v>
      </c>
      <c r="V56" s="86">
        <v>43677</v>
      </c>
      <c r="W56" s="85" t="s">
        <v>1655</v>
      </c>
      <c r="X56" s="85" t="s">
        <v>59</v>
      </c>
      <c r="Y56" s="85" t="s">
        <v>59</v>
      </c>
      <c r="Z56" s="85" t="s">
        <v>59</v>
      </c>
      <c r="AA56" s="85" t="s">
        <v>59</v>
      </c>
      <c r="AB56" s="85" t="s">
        <v>59</v>
      </c>
      <c r="AC56" s="85" t="s">
        <v>59</v>
      </c>
      <c r="AD56" s="85" t="s">
        <v>59</v>
      </c>
      <c r="AE56" s="85" t="s">
        <v>59</v>
      </c>
      <c r="AF56" s="85" t="s">
        <v>59</v>
      </c>
      <c r="AG56" s="85" t="s">
        <v>59</v>
      </c>
      <c r="AH56" s="85" t="s">
        <v>107</v>
      </c>
      <c r="AI56" s="85"/>
      <c r="AJ56" s="85" t="s">
        <v>1766</v>
      </c>
      <c r="AK56" s="86">
        <v>42962</v>
      </c>
      <c r="AL56" s="85" t="s">
        <v>107</v>
      </c>
      <c r="AM56" s="85" t="s">
        <v>107</v>
      </c>
      <c r="AN56" s="85" t="s">
        <v>59</v>
      </c>
      <c r="AO56" s="85" t="s">
        <v>59</v>
      </c>
      <c r="AP56" s="85" t="s">
        <v>59</v>
      </c>
      <c r="AQ56" s="85" t="s">
        <v>59</v>
      </c>
      <c r="AR56" s="85" t="s">
        <v>59</v>
      </c>
      <c r="AS56" s="85" t="s">
        <v>59</v>
      </c>
      <c r="AT56" s="85" t="s">
        <v>59</v>
      </c>
      <c r="AU56" s="85" t="s">
        <v>59</v>
      </c>
      <c r="AV56" s="85" t="s">
        <v>59</v>
      </c>
      <c r="AW56" s="85" t="s">
        <v>59</v>
      </c>
    </row>
    <row r="57" spans="1:49" x14ac:dyDescent="0.2">
      <c r="A57" s="85" t="s">
        <v>287</v>
      </c>
      <c r="B57" s="85" t="s">
        <v>288</v>
      </c>
      <c r="C57" s="85" t="s">
        <v>289</v>
      </c>
      <c r="D57" s="85" t="s">
        <v>290</v>
      </c>
      <c r="E57" s="85" t="s">
        <v>291</v>
      </c>
      <c r="F57" s="85" t="s">
        <v>144</v>
      </c>
      <c r="G57" s="85" t="s">
        <v>4</v>
      </c>
      <c r="H57" s="85" t="s">
        <v>5</v>
      </c>
      <c r="I57" s="86">
        <v>43422</v>
      </c>
      <c r="J57" s="86">
        <v>43374</v>
      </c>
      <c r="K57" s="86">
        <v>43354</v>
      </c>
      <c r="L57" s="85" t="s">
        <v>99</v>
      </c>
      <c r="M57" s="86">
        <v>42789</v>
      </c>
      <c r="N57" s="85" t="s">
        <v>107</v>
      </c>
      <c r="O57" s="86">
        <v>43213</v>
      </c>
      <c r="P57" s="86">
        <v>43291</v>
      </c>
      <c r="Q57" s="86">
        <v>43679</v>
      </c>
      <c r="R57" s="85" t="s">
        <v>1652</v>
      </c>
      <c r="S57" s="86">
        <v>43678</v>
      </c>
      <c r="T57" s="85" t="s">
        <v>1652</v>
      </c>
      <c r="U57" s="86">
        <v>43439</v>
      </c>
      <c r="V57" s="86">
        <v>43646</v>
      </c>
      <c r="W57" s="85" t="s">
        <v>1655</v>
      </c>
      <c r="X57" s="85" t="s">
        <v>114</v>
      </c>
      <c r="Y57" s="85">
        <v>1</v>
      </c>
      <c r="Z57" s="85" t="s">
        <v>114</v>
      </c>
      <c r="AA57" s="85"/>
      <c r="AB57" s="85" t="s">
        <v>114</v>
      </c>
      <c r="AC57" s="85" t="s">
        <v>114</v>
      </c>
      <c r="AD57" s="85" t="s">
        <v>114</v>
      </c>
      <c r="AE57" s="85"/>
      <c r="AF57" s="85"/>
      <c r="AG57" s="85" t="s">
        <v>59</v>
      </c>
      <c r="AH57" s="85" t="s">
        <v>107</v>
      </c>
      <c r="AI57" s="85"/>
      <c r="AJ57" s="86">
        <v>43431</v>
      </c>
      <c r="AK57" s="86">
        <v>41711</v>
      </c>
      <c r="AL57" s="85"/>
      <c r="AM57" s="85"/>
      <c r="AN57" s="86">
        <v>43375</v>
      </c>
      <c r="AO57" s="86">
        <v>43215</v>
      </c>
      <c r="AP57" s="86">
        <v>43256</v>
      </c>
      <c r="AQ57" s="86">
        <v>43188</v>
      </c>
      <c r="AR57" s="86">
        <v>43187</v>
      </c>
      <c r="AS57" s="86">
        <v>43194</v>
      </c>
      <c r="AT57" s="86">
        <v>43187</v>
      </c>
      <c r="AU57" s="86">
        <v>43188</v>
      </c>
      <c r="AV57" s="86">
        <v>43188</v>
      </c>
      <c r="AW57" s="86">
        <v>43188</v>
      </c>
    </row>
    <row r="58" spans="1:49" x14ac:dyDescent="0.2">
      <c r="A58" s="85" t="s">
        <v>292</v>
      </c>
      <c r="B58" s="85" t="s">
        <v>293</v>
      </c>
      <c r="C58" s="85" t="s">
        <v>294</v>
      </c>
      <c r="D58" s="85" t="s">
        <v>180</v>
      </c>
      <c r="E58" s="85" t="s">
        <v>141</v>
      </c>
      <c r="F58" s="85" t="s">
        <v>100</v>
      </c>
      <c r="G58" s="85" t="s">
        <v>4</v>
      </c>
      <c r="H58" s="85" t="s">
        <v>7</v>
      </c>
      <c r="I58" s="86">
        <v>43463</v>
      </c>
      <c r="J58" s="86">
        <v>43319</v>
      </c>
      <c r="K58" s="86">
        <v>43368</v>
      </c>
      <c r="L58" s="85" t="s">
        <v>99</v>
      </c>
      <c r="M58" s="86">
        <v>43352</v>
      </c>
      <c r="N58" s="86">
        <v>43352</v>
      </c>
      <c r="O58" s="86">
        <v>43455</v>
      </c>
      <c r="P58" s="86">
        <v>43368</v>
      </c>
      <c r="Q58" s="86">
        <v>43717</v>
      </c>
      <c r="R58" s="85" t="s">
        <v>1652</v>
      </c>
      <c r="S58" s="86">
        <v>44866</v>
      </c>
      <c r="T58" s="85" t="s">
        <v>1652</v>
      </c>
      <c r="U58" s="85" t="s">
        <v>107</v>
      </c>
      <c r="V58" s="85" t="s">
        <v>107</v>
      </c>
      <c r="W58" s="85" t="s">
        <v>107</v>
      </c>
      <c r="X58" s="85" t="s">
        <v>107</v>
      </c>
      <c r="Y58" s="85" t="s">
        <v>107</v>
      </c>
      <c r="Z58" s="85" t="s">
        <v>107</v>
      </c>
      <c r="AA58" s="85" t="s">
        <v>107</v>
      </c>
      <c r="AB58" s="85" t="s">
        <v>107</v>
      </c>
      <c r="AC58" s="85" t="s">
        <v>107</v>
      </c>
      <c r="AD58" s="85" t="s">
        <v>107</v>
      </c>
      <c r="AE58" s="85" t="s">
        <v>107</v>
      </c>
      <c r="AF58" s="85" t="s">
        <v>107</v>
      </c>
      <c r="AG58" s="86">
        <v>43276</v>
      </c>
      <c r="AH58" s="85" t="s">
        <v>107</v>
      </c>
      <c r="AI58" s="85" t="s">
        <v>107</v>
      </c>
      <c r="AJ58" s="85" t="s">
        <v>107</v>
      </c>
      <c r="AK58" s="85"/>
      <c r="AL58" s="85" t="s">
        <v>107</v>
      </c>
      <c r="AM58" s="85" t="s">
        <v>107</v>
      </c>
      <c r="AN58" s="86">
        <v>43398</v>
      </c>
      <c r="AO58" s="86">
        <v>43304</v>
      </c>
      <c r="AP58" s="86">
        <v>43304</v>
      </c>
      <c r="AQ58" s="86">
        <v>43304</v>
      </c>
      <c r="AR58" s="86">
        <v>43304</v>
      </c>
      <c r="AS58" s="86">
        <v>43304</v>
      </c>
      <c r="AT58" s="86">
        <v>43304</v>
      </c>
      <c r="AU58" s="86">
        <v>43304</v>
      </c>
      <c r="AV58" s="86">
        <v>43304</v>
      </c>
      <c r="AW58" s="86">
        <v>43304</v>
      </c>
    </row>
    <row r="59" spans="1:49" x14ac:dyDescent="0.2">
      <c r="A59" s="85" t="s">
        <v>297</v>
      </c>
      <c r="B59" s="85" t="s">
        <v>298</v>
      </c>
      <c r="C59" s="85" t="s">
        <v>299</v>
      </c>
      <c r="D59" s="85" t="s">
        <v>300</v>
      </c>
      <c r="E59" s="85" t="s">
        <v>201</v>
      </c>
      <c r="F59" s="85" t="s">
        <v>144</v>
      </c>
      <c r="G59" s="85" t="s">
        <v>4</v>
      </c>
      <c r="H59" s="85" t="s">
        <v>12</v>
      </c>
      <c r="I59" s="86">
        <v>43371</v>
      </c>
      <c r="J59" s="86">
        <v>43446</v>
      </c>
      <c r="K59" s="86">
        <v>43446</v>
      </c>
      <c r="L59" s="85" t="s">
        <v>99</v>
      </c>
      <c r="M59" s="86">
        <v>42923</v>
      </c>
      <c r="N59" s="85" t="s">
        <v>107</v>
      </c>
      <c r="O59" s="86">
        <v>42773</v>
      </c>
      <c r="P59" s="86">
        <v>43186</v>
      </c>
      <c r="Q59" s="85" t="s">
        <v>59</v>
      </c>
      <c r="R59" s="85" t="s">
        <v>1652</v>
      </c>
      <c r="S59" s="86">
        <v>43891</v>
      </c>
      <c r="T59" s="85" t="s">
        <v>1652</v>
      </c>
      <c r="U59" s="85" t="s">
        <v>59</v>
      </c>
      <c r="V59" s="85" t="s">
        <v>59</v>
      </c>
      <c r="W59" s="85" t="s">
        <v>59</v>
      </c>
      <c r="X59" s="85" t="s">
        <v>59</v>
      </c>
      <c r="Y59" s="85" t="s">
        <v>59</v>
      </c>
      <c r="Z59" s="85" t="s">
        <v>59</v>
      </c>
      <c r="AA59" s="85" t="s">
        <v>59</v>
      </c>
      <c r="AB59" s="85" t="s">
        <v>59</v>
      </c>
      <c r="AC59" s="85" t="s">
        <v>59</v>
      </c>
      <c r="AD59" s="85" t="s">
        <v>59</v>
      </c>
      <c r="AE59" s="85" t="s">
        <v>59</v>
      </c>
      <c r="AF59" s="85" t="s">
        <v>59</v>
      </c>
      <c r="AG59" s="86">
        <v>43238</v>
      </c>
      <c r="AH59" s="85" t="s">
        <v>107</v>
      </c>
      <c r="AI59" s="85"/>
      <c r="AJ59" s="85" t="s">
        <v>1767</v>
      </c>
      <c r="AK59" s="86">
        <v>42775</v>
      </c>
      <c r="AL59" s="85"/>
      <c r="AM59" s="85"/>
      <c r="AN59" s="86">
        <v>43480</v>
      </c>
      <c r="AO59" s="86">
        <v>43480</v>
      </c>
      <c r="AP59" s="86">
        <v>43480</v>
      </c>
      <c r="AQ59" s="86">
        <v>43181</v>
      </c>
      <c r="AR59" s="86">
        <v>43480</v>
      </c>
      <c r="AS59" s="86">
        <v>43480</v>
      </c>
      <c r="AT59" s="86">
        <v>43480</v>
      </c>
      <c r="AU59" s="86">
        <v>43480</v>
      </c>
      <c r="AV59" s="86">
        <v>43480</v>
      </c>
      <c r="AW59" s="86">
        <v>43480</v>
      </c>
    </row>
    <row r="60" spans="1:49" x14ac:dyDescent="0.2">
      <c r="A60" s="85" t="s">
        <v>301</v>
      </c>
      <c r="B60" s="85" t="s">
        <v>302</v>
      </c>
      <c r="C60" s="85" t="s">
        <v>303</v>
      </c>
      <c r="D60" s="85" t="s">
        <v>304</v>
      </c>
      <c r="E60" s="85" t="s">
        <v>119</v>
      </c>
      <c r="F60" s="85" t="s">
        <v>249</v>
      </c>
      <c r="G60" s="85" t="s">
        <v>4</v>
      </c>
      <c r="H60" s="85" t="s">
        <v>13</v>
      </c>
      <c r="I60" s="86">
        <v>43475</v>
      </c>
      <c r="J60" s="86">
        <v>43465</v>
      </c>
      <c r="K60" s="86">
        <v>43226</v>
      </c>
      <c r="L60" s="85" t="s">
        <v>99</v>
      </c>
      <c r="M60" s="86">
        <v>42446</v>
      </c>
      <c r="N60" s="85" t="s">
        <v>107</v>
      </c>
      <c r="O60" s="86">
        <v>43315</v>
      </c>
      <c r="P60" s="86">
        <v>43186</v>
      </c>
      <c r="Q60" s="86">
        <v>43680</v>
      </c>
      <c r="R60" s="85" t="s">
        <v>1652</v>
      </c>
      <c r="S60" s="86">
        <v>43525</v>
      </c>
      <c r="T60" s="85" t="s">
        <v>1652</v>
      </c>
      <c r="U60" s="86">
        <v>43202</v>
      </c>
      <c r="V60" s="86">
        <v>43585</v>
      </c>
      <c r="W60" s="85" t="s">
        <v>1653</v>
      </c>
      <c r="X60" s="85" t="s">
        <v>114</v>
      </c>
      <c r="Y60" s="85">
        <v>1</v>
      </c>
      <c r="Z60" s="85" t="s">
        <v>114</v>
      </c>
      <c r="AA60" s="85"/>
      <c r="AB60" s="85" t="s">
        <v>114</v>
      </c>
      <c r="AC60" s="85" t="s">
        <v>114</v>
      </c>
      <c r="AD60" s="85" t="s">
        <v>114</v>
      </c>
      <c r="AE60" s="85"/>
      <c r="AF60" s="85"/>
      <c r="AG60" s="86">
        <v>43315</v>
      </c>
      <c r="AH60" s="85" t="s">
        <v>107</v>
      </c>
      <c r="AI60" s="85"/>
      <c r="AJ60" s="85"/>
      <c r="AK60" s="86">
        <v>42963</v>
      </c>
      <c r="AL60" s="85" t="s">
        <v>107</v>
      </c>
      <c r="AM60" s="85" t="s">
        <v>107</v>
      </c>
      <c r="AN60" s="86">
        <v>43405</v>
      </c>
      <c r="AO60" s="86">
        <v>43207</v>
      </c>
      <c r="AP60" s="86">
        <v>43047</v>
      </c>
      <c r="AQ60" s="86">
        <v>42795</v>
      </c>
      <c r="AR60" s="86">
        <v>43186</v>
      </c>
      <c r="AS60" s="86">
        <v>43186</v>
      </c>
      <c r="AT60" s="86">
        <v>42795</v>
      </c>
      <c r="AU60" s="86">
        <v>43186</v>
      </c>
      <c r="AV60" s="86">
        <v>43186</v>
      </c>
      <c r="AW60" s="86">
        <v>43186</v>
      </c>
    </row>
    <row r="61" spans="1:49" x14ac:dyDescent="0.2">
      <c r="A61" s="85" t="s">
        <v>305</v>
      </c>
      <c r="B61" s="85" t="s">
        <v>306</v>
      </c>
      <c r="C61" s="85" t="s">
        <v>307</v>
      </c>
      <c r="D61" s="85" t="s">
        <v>308</v>
      </c>
      <c r="E61" s="85" t="s">
        <v>141</v>
      </c>
      <c r="F61" s="85" t="s">
        <v>100</v>
      </c>
      <c r="G61" s="85" t="s">
        <v>4</v>
      </c>
      <c r="H61" s="85" t="s">
        <v>7</v>
      </c>
      <c r="I61" s="86">
        <v>43451</v>
      </c>
      <c r="J61" s="86">
        <v>43167</v>
      </c>
      <c r="K61" s="86">
        <v>43164</v>
      </c>
      <c r="L61" s="85"/>
      <c r="M61" s="86">
        <v>43398</v>
      </c>
      <c r="N61" s="86">
        <v>43398</v>
      </c>
      <c r="O61" s="86">
        <v>43164</v>
      </c>
      <c r="P61" s="86">
        <v>43377</v>
      </c>
      <c r="Q61" s="86">
        <v>43532</v>
      </c>
      <c r="R61" s="85" t="s">
        <v>1652</v>
      </c>
      <c r="S61" s="86">
        <v>44986</v>
      </c>
      <c r="T61" s="85" t="s">
        <v>1652</v>
      </c>
      <c r="U61" s="85" t="s">
        <v>107</v>
      </c>
      <c r="V61" s="85" t="s">
        <v>107</v>
      </c>
      <c r="W61" s="85" t="s">
        <v>107</v>
      </c>
      <c r="X61" s="85" t="s">
        <v>107</v>
      </c>
      <c r="Y61" s="85" t="s">
        <v>107</v>
      </c>
      <c r="Z61" s="85" t="s">
        <v>107</v>
      </c>
      <c r="AA61" s="85" t="s">
        <v>107</v>
      </c>
      <c r="AB61" s="85" t="s">
        <v>107</v>
      </c>
      <c r="AC61" s="85" t="s">
        <v>107</v>
      </c>
      <c r="AD61" s="85" t="s">
        <v>107</v>
      </c>
      <c r="AE61" s="85" t="s">
        <v>107</v>
      </c>
      <c r="AF61" s="85" t="s">
        <v>107</v>
      </c>
      <c r="AG61" s="86">
        <v>43357</v>
      </c>
      <c r="AH61" s="85" t="s">
        <v>107</v>
      </c>
      <c r="AI61" s="85" t="s">
        <v>107</v>
      </c>
      <c r="AJ61" s="85" t="s">
        <v>107</v>
      </c>
      <c r="AK61" s="85"/>
      <c r="AL61" s="85" t="s">
        <v>107</v>
      </c>
      <c r="AM61" s="85" t="s">
        <v>107</v>
      </c>
      <c r="AN61" s="86">
        <v>43398</v>
      </c>
      <c r="AO61" s="86">
        <v>43374</v>
      </c>
      <c r="AP61" s="86">
        <v>43374</v>
      </c>
      <c r="AQ61" s="86">
        <v>43374</v>
      </c>
      <c r="AR61" s="86">
        <v>43374</v>
      </c>
      <c r="AS61" s="86">
        <v>43374</v>
      </c>
      <c r="AT61" s="86">
        <v>43374</v>
      </c>
      <c r="AU61" s="86">
        <v>43374</v>
      </c>
      <c r="AV61" s="86">
        <v>43374</v>
      </c>
      <c r="AW61" s="86">
        <v>43374</v>
      </c>
    </row>
    <row r="62" spans="1:49" x14ac:dyDescent="0.2">
      <c r="A62" s="85" t="s">
        <v>309</v>
      </c>
      <c r="B62" s="85" t="s">
        <v>310</v>
      </c>
      <c r="C62" s="85" t="s">
        <v>311</v>
      </c>
      <c r="D62" s="85" t="s">
        <v>312</v>
      </c>
      <c r="E62" s="85" t="s">
        <v>105</v>
      </c>
      <c r="F62" s="85" t="s">
        <v>122</v>
      </c>
      <c r="G62" s="85" t="s">
        <v>4</v>
      </c>
      <c r="H62" s="85" t="s">
        <v>5</v>
      </c>
      <c r="I62" s="86">
        <v>43378</v>
      </c>
      <c r="J62" s="86">
        <v>43390</v>
      </c>
      <c r="K62" s="86">
        <v>43167</v>
      </c>
      <c r="L62" s="85" t="s">
        <v>99</v>
      </c>
      <c r="M62" s="86">
        <v>43390</v>
      </c>
      <c r="N62" s="85" t="s">
        <v>107</v>
      </c>
      <c r="O62" s="86">
        <v>43167</v>
      </c>
      <c r="P62" s="86">
        <v>43172</v>
      </c>
      <c r="Q62" s="86">
        <v>43532</v>
      </c>
      <c r="R62" s="85" t="s">
        <v>1652</v>
      </c>
      <c r="S62" s="86">
        <v>43525</v>
      </c>
      <c r="T62" s="85" t="s">
        <v>1652</v>
      </c>
      <c r="U62" s="86">
        <v>43437</v>
      </c>
      <c r="V62" s="86">
        <v>43568</v>
      </c>
      <c r="W62" s="85" t="s">
        <v>1662</v>
      </c>
      <c r="X62" s="85" t="s">
        <v>114</v>
      </c>
      <c r="Y62" s="85">
        <v>1</v>
      </c>
      <c r="Z62" s="85" t="s">
        <v>114</v>
      </c>
      <c r="AA62" s="85"/>
      <c r="AB62" s="85" t="s">
        <v>114</v>
      </c>
      <c r="AC62" s="85" t="s">
        <v>114</v>
      </c>
      <c r="AD62" s="85" t="s">
        <v>114</v>
      </c>
      <c r="AE62" s="85"/>
      <c r="AF62" s="85"/>
      <c r="AG62" s="86">
        <v>43202</v>
      </c>
      <c r="AH62" s="85" t="s">
        <v>107</v>
      </c>
      <c r="AI62" s="85"/>
      <c r="AJ62" s="85"/>
      <c r="AK62" s="86">
        <v>43167</v>
      </c>
      <c r="AL62" s="85" t="s">
        <v>107</v>
      </c>
      <c r="AM62" s="85" t="s">
        <v>107</v>
      </c>
      <c r="AN62" s="86">
        <v>43375</v>
      </c>
      <c r="AO62" s="86">
        <v>43207</v>
      </c>
      <c r="AP62" s="86">
        <v>43160</v>
      </c>
      <c r="AQ62" s="86">
        <v>42852</v>
      </c>
      <c r="AR62" s="86">
        <v>43160</v>
      </c>
      <c r="AS62" s="86">
        <v>43213</v>
      </c>
      <c r="AT62" s="86">
        <v>43160</v>
      </c>
      <c r="AU62" s="86">
        <v>43160</v>
      </c>
      <c r="AV62" s="86">
        <v>43160</v>
      </c>
      <c r="AW62" s="86">
        <v>43160</v>
      </c>
    </row>
    <row r="63" spans="1:49" x14ac:dyDescent="0.2">
      <c r="A63" s="85" t="s">
        <v>313</v>
      </c>
      <c r="B63" s="85" t="s">
        <v>314</v>
      </c>
      <c r="C63" s="85" t="s">
        <v>315</v>
      </c>
      <c r="D63" s="85" t="s">
        <v>316</v>
      </c>
      <c r="E63" s="85" t="s">
        <v>158</v>
      </c>
      <c r="F63" s="85" t="s">
        <v>144</v>
      </c>
      <c r="G63" s="85" t="s">
        <v>4</v>
      </c>
      <c r="H63" s="85" t="s">
        <v>9</v>
      </c>
      <c r="I63" s="86">
        <v>43430</v>
      </c>
      <c r="J63" s="86">
        <v>43303</v>
      </c>
      <c r="K63" s="86">
        <v>43339</v>
      </c>
      <c r="L63" s="85" t="s">
        <v>99</v>
      </c>
      <c r="M63" s="86">
        <v>42976</v>
      </c>
      <c r="N63" s="85" t="s">
        <v>107</v>
      </c>
      <c r="O63" s="86">
        <v>42597</v>
      </c>
      <c r="P63" s="86">
        <v>43325</v>
      </c>
      <c r="Q63" s="86">
        <v>43704</v>
      </c>
      <c r="R63" s="85" t="s">
        <v>1652</v>
      </c>
      <c r="S63" s="86">
        <v>43556</v>
      </c>
      <c r="T63" s="85" t="s">
        <v>1652</v>
      </c>
      <c r="U63" s="86">
        <v>43207</v>
      </c>
      <c r="V63" s="86">
        <v>43585</v>
      </c>
      <c r="W63" s="85" t="s">
        <v>1653</v>
      </c>
      <c r="X63" s="85" t="s">
        <v>114</v>
      </c>
      <c r="Y63" s="85">
        <v>1</v>
      </c>
      <c r="Z63" s="85" t="s">
        <v>114</v>
      </c>
      <c r="AA63" s="85"/>
      <c r="AB63" s="85" t="s">
        <v>114</v>
      </c>
      <c r="AC63" s="85" t="s">
        <v>114</v>
      </c>
      <c r="AD63" s="85" t="s">
        <v>114</v>
      </c>
      <c r="AE63" s="85" t="s">
        <v>1660</v>
      </c>
      <c r="AF63" s="85"/>
      <c r="AG63" s="86">
        <v>43342</v>
      </c>
      <c r="AH63" s="85" t="s">
        <v>1930</v>
      </c>
      <c r="AI63" s="86">
        <v>43042</v>
      </c>
      <c r="AJ63" s="86">
        <v>43203</v>
      </c>
      <c r="AK63" s="86">
        <v>42067</v>
      </c>
      <c r="AL63" s="85" t="s">
        <v>107</v>
      </c>
      <c r="AM63" s="85" t="s">
        <v>107</v>
      </c>
      <c r="AN63" s="86">
        <v>43375</v>
      </c>
      <c r="AO63" s="86">
        <v>43209</v>
      </c>
      <c r="AP63" s="86">
        <v>43339</v>
      </c>
      <c r="AQ63" s="86">
        <v>43339</v>
      </c>
      <c r="AR63" s="86">
        <v>43339</v>
      </c>
      <c r="AS63" s="86">
        <v>43339</v>
      </c>
      <c r="AT63" s="86">
        <v>43339</v>
      </c>
      <c r="AU63" s="86">
        <v>43339</v>
      </c>
      <c r="AV63" s="86">
        <v>43339</v>
      </c>
      <c r="AW63" s="86">
        <v>43339</v>
      </c>
    </row>
    <row r="64" spans="1:49" x14ac:dyDescent="0.2">
      <c r="A64" s="85" t="s">
        <v>317</v>
      </c>
      <c r="B64" s="85" t="s">
        <v>318</v>
      </c>
      <c r="C64" s="85" t="s">
        <v>319</v>
      </c>
      <c r="D64" s="85" t="s">
        <v>210</v>
      </c>
      <c r="E64" s="85" t="s">
        <v>201</v>
      </c>
      <c r="F64" s="85" t="s">
        <v>122</v>
      </c>
      <c r="G64" s="85" t="s">
        <v>4</v>
      </c>
      <c r="H64" s="85" t="s">
        <v>5</v>
      </c>
      <c r="I64" s="86">
        <v>43500</v>
      </c>
      <c r="J64" s="86">
        <v>43185</v>
      </c>
      <c r="K64" s="86">
        <v>43185</v>
      </c>
      <c r="L64" s="85" t="s">
        <v>99</v>
      </c>
      <c r="M64" s="86">
        <v>42710</v>
      </c>
      <c r="N64" s="85" t="s">
        <v>107</v>
      </c>
      <c r="O64" s="86">
        <v>43185</v>
      </c>
      <c r="P64" s="86">
        <v>43377</v>
      </c>
      <c r="Q64" s="86">
        <v>43550</v>
      </c>
      <c r="R64" s="85" t="s">
        <v>1652</v>
      </c>
      <c r="S64" s="85"/>
      <c r="T64" s="85" t="s">
        <v>1652</v>
      </c>
      <c r="U64" s="86">
        <v>43482</v>
      </c>
      <c r="V64" s="86">
        <v>43861</v>
      </c>
      <c r="W64" s="85" t="s">
        <v>1653</v>
      </c>
      <c r="X64" s="85" t="s">
        <v>114</v>
      </c>
      <c r="Y64" s="85">
        <v>2</v>
      </c>
      <c r="Z64" s="85" t="s">
        <v>114</v>
      </c>
      <c r="AA64" s="85"/>
      <c r="AB64" s="85" t="s">
        <v>114</v>
      </c>
      <c r="AC64" s="85" t="s">
        <v>114</v>
      </c>
      <c r="AD64" s="85" t="s">
        <v>114</v>
      </c>
      <c r="AE64" s="85"/>
      <c r="AF64" s="85"/>
      <c r="AG64" s="86">
        <v>43479</v>
      </c>
      <c r="AH64" s="85" t="s">
        <v>107</v>
      </c>
      <c r="AI64" s="85"/>
      <c r="AJ64" s="86">
        <v>43431</v>
      </c>
      <c r="AK64" s="86">
        <v>43185</v>
      </c>
      <c r="AL64" s="85" t="s">
        <v>107</v>
      </c>
      <c r="AM64" s="85" t="s">
        <v>107</v>
      </c>
      <c r="AN64" s="86">
        <v>43479</v>
      </c>
      <c r="AO64" s="86">
        <v>43207</v>
      </c>
      <c r="AP64" s="86">
        <v>43479</v>
      </c>
      <c r="AQ64" s="86">
        <v>43479</v>
      </c>
      <c r="AR64" s="86">
        <v>43479</v>
      </c>
      <c r="AS64" s="86">
        <v>43479</v>
      </c>
      <c r="AT64" s="86">
        <v>43479</v>
      </c>
      <c r="AU64" s="86">
        <v>43479</v>
      </c>
      <c r="AV64" s="86">
        <v>43479</v>
      </c>
      <c r="AW64" s="86">
        <v>43479</v>
      </c>
    </row>
    <row r="65" spans="1:49" x14ac:dyDescent="0.2">
      <c r="A65" s="85" t="s">
        <v>320</v>
      </c>
      <c r="B65" s="85" t="s">
        <v>321</v>
      </c>
      <c r="C65" s="85" t="s">
        <v>319</v>
      </c>
      <c r="D65" s="85" t="s">
        <v>262</v>
      </c>
      <c r="E65" s="85" t="s">
        <v>141</v>
      </c>
      <c r="F65" s="85" t="s">
        <v>249</v>
      </c>
      <c r="G65" s="85" t="s">
        <v>4</v>
      </c>
      <c r="H65" s="85" t="s">
        <v>12</v>
      </c>
      <c r="I65" s="86">
        <v>43308</v>
      </c>
      <c r="J65" s="86">
        <v>43209</v>
      </c>
      <c r="K65" s="86">
        <v>43227</v>
      </c>
      <c r="L65" s="85" t="s">
        <v>99</v>
      </c>
      <c r="M65" s="86">
        <v>42642</v>
      </c>
      <c r="N65" s="85" t="s">
        <v>107</v>
      </c>
      <c r="O65" s="86">
        <v>42872</v>
      </c>
      <c r="P65" s="86">
        <v>43213</v>
      </c>
      <c r="Q65" s="86">
        <v>43593</v>
      </c>
      <c r="R65" s="85" t="s">
        <v>1652</v>
      </c>
      <c r="S65" s="86">
        <v>43862</v>
      </c>
      <c r="T65" s="85" t="s">
        <v>1652</v>
      </c>
      <c r="U65" s="86">
        <v>43185</v>
      </c>
      <c r="V65" s="86">
        <v>43555</v>
      </c>
      <c r="W65" s="85" t="s">
        <v>1653</v>
      </c>
      <c r="X65" s="85" t="s">
        <v>114</v>
      </c>
      <c r="Y65" s="85">
        <v>1</v>
      </c>
      <c r="Z65" s="85" t="s">
        <v>114</v>
      </c>
      <c r="AA65" s="85"/>
      <c r="AB65" s="85" t="s">
        <v>114</v>
      </c>
      <c r="AC65" s="85" t="s">
        <v>114</v>
      </c>
      <c r="AD65" s="85" t="s">
        <v>114</v>
      </c>
      <c r="AE65" s="85"/>
      <c r="AF65" s="85"/>
      <c r="AG65" s="86">
        <v>43229</v>
      </c>
      <c r="AH65" s="85" t="s">
        <v>107</v>
      </c>
      <c r="AI65" s="86">
        <v>42640</v>
      </c>
      <c r="AJ65" s="86">
        <v>43219</v>
      </c>
      <c r="AK65" s="86">
        <v>42641</v>
      </c>
      <c r="AL65" s="85" t="s">
        <v>107</v>
      </c>
      <c r="AM65" s="85" t="s">
        <v>107</v>
      </c>
      <c r="AN65" s="86">
        <v>43375</v>
      </c>
      <c r="AO65" s="86">
        <v>43214</v>
      </c>
      <c r="AP65" s="86">
        <v>43479</v>
      </c>
      <c r="AQ65" s="86">
        <v>42641</v>
      </c>
      <c r="AR65" s="86">
        <v>43228</v>
      </c>
      <c r="AS65" s="86">
        <v>43228</v>
      </c>
      <c r="AT65" s="86">
        <v>43228</v>
      </c>
      <c r="AU65" s="86">
        <v>43228</v>
      </c>
      <c r="AV65" s="86">
        <v>43228</v>
      </c>
      <c r="AW65" s="86">
        <v>43228</v>
      </c>
    </row>
    <row r="66" spans="1:49" x14ac:dyDescent="0.2">
      <c r="A66" s="85" t="s">
        <v>322</v>
      </c>
      <c r="B66" s="85" t="s">
        <v>323</v>
      </c>
      <c r="C66" s="85" t="s">
        <v>324</v>
      </c>
      <c r="D66" s="85" t="s">
        <v>325</v>
      </c>
      <c r="E66" s="85" t="s">
        <v>105</v>
      </c>
      <c r="F66" s="85" t="s">
        <v>136</v>
      </c>
      <c r="G66" s="85" t="s">
        <v>4</v>
      </c>
      <c r="H66" s="85" t="s">
        <v>13</v>
      </c>
      <c r="I66" s="86">
        <v>43451</v>
      </c>
      <c r="J66" s="86">
        <v>43174</v>
      </c>
      <c r="K66" s="86">
        <v>43174</v>
      </c>
      <c r="L66" s="85" t="s">
        <v>99</v>
      </c>
      <c r="M66" s="86">
        <v>42261</v>
      </c>
      <c r="N66" s="85" t="s">
        <v>107</v>
      </c>
      <c r="O66" s="86">
        <v>43174</v>
      </c>
      <c r="P66" s="86">
        <v>43276</v>
      </c>
      <c r="Q66" s="86">
        <v>43526</v>
      </c>
      <c r="R66" s="85" t="s">
        <v>1652</v>
      </c>
      <c r="S66" s="86">
        <v>43800</v>
      </c>
      <c r="T66" s="85" t="s">
        <v>1652</v>
      </c>
      <c r="U66" s="86">
        <v>43420</v>
      </c>
      <c r="V66" s="86">
        <v>43799</v>
      </c>
      <c r="W66" s="85" t="s">
        <v>1657</v>
      </c>
      <c r="X66" s="85" t="s">
        <v>114</v>
      </c>
      <c r="Y66" s="85">
        <v>1</v>
      </c>
      <c r="Z66" s="85" t="s">
        <v>114</v>
      </c>
      <c r="AA66" s="85"/>
      <c r="AB66" s="85" t="s">
        <v>114</v>
      </c>
      <c r="AC66" s="85" t="s">
        <v>114</v>
      </c>
      <c r="AD66" s="85" t="s">
        <v>114</v>
      </c>
      <c r="AE66" s="85"/>
      <c r="AF66" s="85"/>
      <c r="AG66" s="86">
        <v>43497</v>
      </c>
      <c r="AH66" s="85" t="s">
        <v>107</v>
      </c>
      <c r="AI66" s="86">
        <v>42846</v>
      </c>
      <c r="AJ66" s="86">
        <v>43199</v>
      </c>
      <c r="AK66" s="86">
        <v>43174</v>
      </c>
      <c r="AL66" s="85" t="s">
        <v>107</v>
      </c>
      <c r="AM66" s="85" t="s">
        <v>107</v>
      </c>
      <c r="AN66" s="86">
        <v>43504</v>
      </c>
      <c r="AO66" s="86">
        <v>43207</v>
      </c>
      <c r="AP66" s="86">
        <v>43504</v>
      </c>
      <c r="AQ66" s="86">
        <v>43122</v>
      </c>
      <c r="AR66" s="86">
        <v>43504</v>
      </c>
      <c r="AS66" s="86">
        <v>43504</v>
      </c>
      <c r="AT66" s="86">
        <v>43504</v>
      </c>
      <c r="AU66" s="86">
        <v>43504</v>
      </c>
      <c r="AV66" s="86">
        <v>43504</v>
      </c>
      <c r="AW66" s="86">
        <v>43504</v>
      </c>
    </row>
    <row r="67" spans="1:49" x14ac:dyDescent="0.2">
      <c r="A67" s="85" t="s">
        <v>1862</v>
      </c>
      <c r="B67" s="85" t="s">
        <v>1863</v>
      </c>
      <c r="C67" s="85" t="s">
        <v>1864</v>
      </c>
      <c r="D67" s="85" t="s">
        <v>1436</v>
      </c>
      <c r="E67" s="85" t="s">
        <v>143</v>
      </c>
      <c r="F67" s="85" t="s">
        <v>106</v>
      </c>
      <c r="G67" s="85" t="s">
        <v>4</v>
      </c>
      <c r="H67" s="85" t="s">
        <v>8</v>
      </c>
      <c r="I67" s="85" t="s">
        <v>107</v>
      </c>
      <c r="J67" s="86">
        <v>43474</v>
      </c>
      <c r="K67" s="85"/>
      <c r="L67" s="85" t="s">
        <v>107</v>
      </c>
      <c r="M67" s="85" t="s">
        <v>107</v>
      </c>
      <c r="N67" s="85" t="s">
        <v>107</v>
      </c>
      <c r="O67" s="85" t="s">
        <v>107</v>
      </c>
      <c r="P67" s="85" t="s">
        <v>107</v>
      </c>
      <c r="Q67" s="85" t="s">
        <v>59</v>
      </c>
      <c r="R67" s="85" t="s">
        <v>107</v>
      </c>
      <c r="S67" s="85" t="s">
        <v>107</v>
      </c>
      <c r="T67" s="85" t="s">
        <v>107</v>
      </c>
      <c r="U67" s="85" t="s">
        <v>107</v>
      </c>
      <c r="V67" s="85" t="s">
        <v>107</v>
      </c>
      <c r="W67" s="85" t="s">
        <v>107</v>
      </c>
      <c r="X67" s="85" t="s">
        <v>107</v>
      </c>
      <c r="Y67" s="85" t="s">
        <v>107</v>
      </c>
      <c r="Z67" s="85" t="s">
        <v>107</v>
      </c>
      <c r="AA67" s="85" t="s">
        <v>107</v>
      </c>
      <c r="AB67" s="85" t="s">
        <v>107</v>
      </c>
      <c r="AC67" s="85" t="s">
        <v>107</v>
      </c>
      <c r="AD67" s="85" t="s">
        <v>107</v>
      </c>
      <c r="AE67" s="85" t="s">
        <v>107</v>
      </c>
      <c r="AF67" s="85" t="s">
        <v>107</v>
      </c>
      <c r="AG67" s="86">
        <v>43476</v>
      </c>
      <c r="AH67" s="85" t="s">
        <v>107</v>
      </c>
      <c r="AI67" s="85" t="s">
        <v>107</v>
      </c>
      <c r="AJ67" s="85" t="s">
        <v>107</v>
      </c>
      <c r="AK67" s="85" t="s">
        <v>107</v>
      </c>
      <c r="AL67" s="85" t="s">
        <v>107</v>
      </c>
      <c r="AM67" s="85" t="s">
        <v>107</v>
      </c>
      <c r="AN67" s="86">
        <v>43472</v>
      </c>
      <c r="AO67" s="86">
        <v>43472</v>
      </c>
      <c r="AP67" s="86">
        <v>43472</v>
      </c>
      <c r="AQ67" s="86">
        <v>43472</v>
      </c>
      <c r="AR67" s="86">
        <v>43472</v>
      </c>
      <c r="AS67" s="86">
        <v>43472</v>
      </c>
      <c r="AT67" s="86">
        <v>43472</v>
      </c>
      <c r="AU67" s="85" t="s">
        <v>107</v>
      </c>
      <c r="AV67" s="86">
        <v>43472</v>
      </c>
      <c r="AW67" s="86">
        <v>43472</v>
      </c>
    </row>
    <row r="68" spans="1:49" x14ac:dyDescent="0.2">
      <c r="A68" s="85" t="s">
        <v>326</v>
      </c>
      <c r="B68" s="85" t="s">
        <v>327</v>
      </c>
      <c r="C68" s="85" t="s">
        <v>328</v>
      </c>
      <c r="D68" s="85" t="s">
        <v>329</v>
      </c>
      <c r="E68" s="85" t="s">
        <v>149</v>
      </c>
      <c r="F68" s="85" t="s">
        <v>270</v>
      </c>
      <c r="G68" s="85" t="s">
        <v>4</v>
      </c>
      <c r="H68" s="85" t="s">
        <v>5</v>
      </c>
      <c r="I68" s="86">
        <v>43408</v>
      </c>
      <c r="J68" s="86">
        <v>43462</v>
      </c>
      <c r="K68" s="86">
        <v>43462</v>
      </c>
      <c r="L68" s="85" t="s">
        <v>99</v>
      </c>
      <c r="M68" s="86">
        <v>43215</v>
      </c>
      <c r="N68" s="85" t="s">
        <v>107</v>
      </c>
      <c r="O68" s="86">
        <v>42499</v>
      </c>
      <c r="P68" s="86">
        <v>43271</v>
      </c>
      <c r="Q68" s="86">
        <v>43504</v>
      </c>
      <c r="R68" s="85" t="s">
        <v>1652</v>
      </c>
      <c r="S68" s="86">
        <v>43556</v>
      </c>
      <c r="T68" s="85" t="s">
        <v>1652</v>
      </c>
      <c r="U68" s="86">
        <v>43178</v>
      </c>
      <c r="V68" s="86">
        <v>43555</v>
      </c>
      <c r="W68" s="85" t="s">
        <v>1653</v>
      </c>
      <c r="X68" s="85" t="s">
        <v>114</v>
      </c>
      <c r="Y68" s="85">
        <v>1</v>
      </c>
      <c r="Z68" s="85" t="s">
        <v>114</v>
      </c>
      <c r="AA68" s="85"/>
      <c r="AB68" s="85" t="s">
        <v>211</v>
      </c>
      <c r="AC68" s="85" t="s">
        <v>114</v>
      </c>
      <c r="AD68" s="85" t="s">
        <v>211</v>
      </c>
      <c r="AE68" s="85" t="s">
        <v>1666</v>
      </c>
      <c r="AF68" s="86">
        <v>43594</v>
      </c>
      <c r="AG68" s="86">
        <v>43507</v>
      </c>
      <c r="AH68" s="85" t="s">
        <v>107</v>
      </c>
      <c r="AI68" s="85"/>
      <c r="AJ68" s="86">
        <v>43431</v>
      </c>
      <c r="AK68" s="86">
        <v>41794</v>
      </c>
      <c r="AL68" s="85"/>
      <c r="AM68" s="85"/>
      <c r="AN68" s="86">
        <v>43507</v>
      </c>
      <c r="AO68" s="86">
        <v>43207</v>
      </c>
      <c r="AP68" s="86">
        <v>43507</v>
      </c>
      <c r="AQ68" s="86">
        <v>43156</v>
      </c>
      <c r="AR68" s="86">
        <v>43507</v>
      </c>
      <c r="AS68" s="86">
        <v>43507</v>
      </c>
      <c r="AT68" s="86">
        <v>43507</v>
      </c>
      <c r="AU68" s="86">
        <v>43507</v>
      </c>
      <c r="AV68" s="86">
        <v>43507</v>
      </c>
      <c r="AW68" s="86">
        <v>43507</v>
      </c>
    </row>
    <row r="69" spans="1:49" x14ac:dyDescent="0.2">
      <c r="A69" s="85" t="s">
        <v>330</v>
      </c>
      <c r="B69" s="85" t="s">
        <v>331</v>
      </c>
      <c r="C69" s="85" t="s">
        <v>332</v>
      </c>
      <c r="D69" s="85" t="s">
        <v>180</v>
      </c>
      <c r="E69" s="85" t="s">
        <v>291</v>
      </c>
      <c r="F69" s="85" t="s">
        <v>106</v>
      </c>
      <c r="G69" s="85" t="s">
        <v>4</v>
      </c>
      <c r="H69" s="85" t="s">
        <v>8</v>
      </c>
      <c r="I69" s="85" t="s">
        <v>107</v>
      </c>
      <c r="J69" s="86">
        <v>43340</v>
      </c>
      <c r="K69" s="86">
        <v>43390</v>
      </c>
      <c r="L69" s="85" t="s">
        <v>107</v>
      </c>
      <c r="M69" s="85" t="s">
        <v>107</v>
      </c>
      <c r="N69" s="85" t="s">
        <v>107</v>
      </c>
      <c r="O69" s="85" t="s">
        <v>107</v>
      </c>
      <c r="P69" s="85" t="s">
        <v>107</v>
      </c>
      <c r="Q69" s="86">
        <v>43336</v>
      </c>
      <c r="R69" s="85" t="s">
        <v>107</v>
      </c>
      <c r="S69" s="85" t="s">
        <v>107</v>
      </c>
      <c r="T69" s="85" t="s">
        <v>107</v>
      </c>
      <c r="U69" s="85" t="s">
        <v>107</v>
      </c>
      <c r="V69" s="85" t="s">
        <v>107</v>
      </c>
      <c r="W69" s="85" t="s">
        <v>107</v>
      </c>
      <c r="X69" s="85" t="s">
        <v>107</v>
      </c>
      <c r="Y69" s="85" t="s">
        <v>107</v>
      </c>
      <c r="Z69" s="85" t="s">
        <v>107</v>
      </c>
      <c r="AA69" s="85" t="s">
        <v>107</v>
      </c>
      <c r="AB69" s="85" t="s">
        <v>107</v>
      </c>
      <c r="AC69" s="85" t="s">
        <v>107</v>
      </c>
      <c r="AD69" s="85" t="s">
        <v>107</v>
      </c>
      <c r="AE69" s="85" t="s">
        <v>107</v>
      </c>
      <c r="AF69" s="85" t="s">
        <v>107</v>
      </c>
      <c r="AG69" s="86">
        <v>43260</v>
      </c>
      <c r="AH69" s="85" t="s">
        <v>107</v>
      </c>
      <c r="AI69" s="85" t="s">
        <v>107</v>
      </c>
      <c r="AJ69" s="85" t="s">
        <v>107</v>
      </c>
      <c r="AK69" s="85" t="s">
        <v>107</v>
      </c>
      <c r="AL69" s="85" t="s">
        <v>107</v>
      </c>
      <c r="AM69" s="85" t="s">
        <v>107</v>
      </c>
      <c r="AN69" s="86">
        <v>43479</v>
      </c>
      <c r="AO69" s="86">
        <v>43209</v>
      </c>
      <c r="AP69" s="86">
        <v>43054</v>
      </c>
      <c r="AQ69" s="86">
        <v>42616</v>
      </c>
      <c r="AR69" s="86">
        <v>43172</v>
      </c>
      <c r="AS69" s="86">
        <v>43012</v>
      </c>
      <c r="AT69" s="86">
        <v>42957</v>
      </c>
      <c r="AU69" s="85" t="s">
        <v>107</v>
      </c>
      <c r="AV69" s="86">
        <v>43172</v>
      </c>
      <c r="AW69" s="86">
        <v>43172</v>
      </c>
    </row>
    <row r="70" spans="1:49" x14ac:dyDescent="0.2">
      <c r="A70" s="85" t="s">
        <v>333</v>
      </c>
      <c r="B70" s="85" t="s">
        <v>334</v>
      </c>
      <c r="C70" s="85" t="s">
        <v>335</v>
      </c>
      <c r="D70" s="85" t="s">
        <v>336</v>
      </c>
      <c r="E70" s="85" t="s">
        <v>121</v>
      </c>
      <c r="F70" s="85" t="s">
        <v>106</v>
      </c>
      <c r="G70" s="85" t="s">
        <v>4</v>
      </c>
      <c r="H70" s="85" t="s">
        <v>7</v>
      </c>
      <c r="I70" s="85" t="s">
        <v>107</v>
      </c>
      <c r="J70" s="86">
        <v>43167</v>
      </c>
      <c r="K70" s="86">
        <v>43164</v>
      </c>
      <c r="L70" s="85" t="s">
        <v>107</v>
      </c>
      <c r="M70" s="85" t="s">
        <v>107</v>
      </c>
      <c r="N70" s="85" t="s">
        <v>107</v>
      </c>
      <c r="O70" s="85" t="s">
        <v>107</v>
      </c>
      <c r="P70" s="85" t="s">
        <v>107</v>
      </c>
      <c r="Q70" s="86">
        <v>43532</v>
      </c>
      <c r="R70" s="85" t="s">
        <v>107</v>
      </c>
      <c r="S70" s="85" t="s">
        <v>107</v>
      </c>
      <c r="T70" s="85" t="s">
        <v>107</v>
      </c>
      <c r="U70" s="85" t="s">
        <v>107</v>
      </c>
      <c r="V70" s="85" t="s">
        <v>107</v>
      </c>
      <c r="W70" s="85" t="s">
        <v>107</v>
      </c>
      <c r="X70" s="85" t="s">
        <v>107</v>
      </c>
      <c r="Y70" s="85" t="s">
        <v>107</v>
      </c>
      <c r="Z70" s="85" t="s">
        <v>107</v>
      </c>
      <c r="AA70" s="85" t="s">
        <v>107</v>
      </c>
      <c r="AB70" s="85" t="s">
        <v>107</v>
      </c>
      <c r="AC70" s="85" t="s">
        <v>107</v>
      </c>
      <c r="AD70" s="85" t="s">
        <v>107</v>
      </c>
      <c r="AE70" s="85" t="s">
        <v>107</v>
      </c>
      <c r="AF70" s="85" t="s">
        <v>107</v>
      </c>
      <c r="AG70" s="86">
        <v>43167</v>
      </c>
      <c r="AH70" s="85" t="s">
        <v>107</v>
      </c>
      <c r="AI70" s="85" t="s">
        <v>107</v>
      </c>
      <c r="AJ70" s="85" t="s">
        <v>107</v>
      </c>
      <c r="AK70" s="85" t="s">
        <v>107</v>
      </c>
      <c r="AL70" s="85" t="s">
        <v>107</v>
      </c>
      <c r="AM70" s="85" t="s">
        <v>107</v>
      </c>
      <c r="AN70" s="86">
        <v>43398</v>
      </c>
      <c r="AO70" s="86">
        <v>43207</v>
      </c>
      <c r="AP70" s="86">
        <v>43398</v>
      </c>
      <c r="AQ70" s="86">
        <v>41937</v>
      </c>
      <c r="AR70" s="86">
        <v>43398</v>
      </c>
      <c r="AS70" s="86">
        <v>43398</v>
      </c>
      <c r="AT70" s="86">
        <v>43398</v>
      </c>
      <c r="AU70" s="85" t="s">
        <v>107</v>
      </c>
      <c r="AV70" s="86">
        <v>43398</v>
      </c>
      <c r="AW70" s="86">
        <v>43398</v>
      </c>
    </row>
    <row r="71" spans="1:49" x14ac:dyDescent="0.2">
      <c r="A71" s="85" t="s">
        <v>1829</v>
      </c>
      <c r="B71" s="85" t="s">
        <v>1830</v>
      </c>
      <c r="C71" s="85" t="s">
        <v>1831</v>
      </c>
      <c r="D71" s="85" t="s">
        <v>1506</v>
      </c>
      <c r="E71" s="85" t="s">
        <v>112</v>
      </c>
      <c r="F71" s="85" t="s">
        <v>106</v>
      </c>
      <c r="G71" s="85" t="s">
        <v>4</v>
      </c>
      <c r="H71" s="85" t="s">
        <v>7</v>
      </c>
      <c r="I71" s="85" t="s">
        <v>107</v>
      </c>
      <c r="J71" s="85" t="s">
        <v>59</v>
      </c>
      <c r="K71" s="85" t="s">
        <v>59</v>
      </c>
      <c r="L71" s="85" t="s">
        <v>107</v>
      </c>
      <c r="M71" s="85" t="s">
        <v>107</v>
      </c>
      <c r="N71" s="85" t="s">
        <v>107</v>
      </c>
      <c r="O71" s="85" t="s">
        <v>107</v>
      </c>
      <c r="P71" s="85" t="s">
        <v>107</v>
      </c>
      <c r="Q71" s="85" t="s">
        <v>59</v>
      </c>
      <c r="R71" s="85" t="s">
        <v>107</v>
      </c>
      <c r="S71" s="85" t="s">
        <v>107</v>
      </c>
      <c r="T71" s="85" t="s">
        <v>107</v>
      </c>
      <c r="U71" s="85" t="s">
        <v>107</v>
      </c>
      <c r="V71" s="85" t="s">
        <v>107</v>
      </c>
      <c r="W71" s="85" t="s">
        <v>107</v>
      </c>
      <c r="X71" s="85" t="s">
        <v>107</v>
      </c>
      <c r="Y71" s="85" t="s">
        <v>107</v>
      </c>
      <c r="Z71" s="85" t="s">
        <v>107</v>
      </c>
      <c r="AA71" s="85" t="s">
        <v>107</v>
      </c>
      <c r="AB71" s="85" t="s">
        <v>107</v>
      </c>
      <c r="AC71" s="85" t="s">
        <v>107</v>
      </c>
      <c r="AD71" s="85" t="s">
        <v>107</v>
      </c>
      <c r="AE71" s="85" t="s">
        <v>107</v>
      </c>
      <c r="AF71" s="85" t="s">
        <v>107</v>
      </c>
      <c r="AG71" s="86">
        <v>43476</v>
      </c>
      <c r="AH71" s="85" t="s">
        <v>107</v>
      </c>
      <c r="AI71" s="85" t="s">
        <v>107</v>
      </c>
      <c r="AJ71" s="85" t="s">
        <v>107</v>
      </c>
      <c r="AK71" s="85" t="s">
        <v>107</v>
      </c>
      <c r="AL71" s="85" t="s">
        <v>107</v>
      </c>
      <c r="AM71" s="85" t="s">
        <v>107</v>
      </c>
      <c r="AN71" s="86">
        <v>43472</v>
      </c>
      <c r="AO71" s="86">
        <v>43472</v>
      </c>
      <c r="AP71" s="86">
        <v>43472</v>
      </c>
      <c r="AQ71" s="86">
        <v>43472</v>
      </c>
      <c r="AR71" s="86">
        <v>43472</v>
      </c>
      <c r="AS71" s="86">
        <v>43472</v>
      </c>
      <c r="AT71" s="86">
        <v>43472</v>
      </c>
      <c r="AU71" s="85" t="s">
        <v>107</v>
      </c>
      <c r="AV71" s="86">
        <v>43472</v>
      </c>
      <c r="AW71" s="86">
        <v>43472</v>
      </c>
    </row>
    <row r="72" spans="1:49" x14ac:dyDescent="0.2">
      <c r="A72" s="85" t="s">
        <v>338</v>
      </c>
      <c r="B72" s="85" t="s">
        <v>339</v>
      </c>
      <c r="C72" s="85" t="s">
        <v>340</v>
      </c>
      <c r="D72" s="85" t="s">
        <v>341</v>
      </c>
      <c r="E72" s="85" t="s">
        <v>105</v>
      </c>
      <c r="F72" s="85" t="s">
        <v>106</v>
      </c>
      <c r="G72" s="85" t="s">
        <v>4</v>
      </c>
      <c r="H72" s="85" t="s">
        <v>8</v>
      </c>
      <c r="I72" s="85" t="s">
        <v>107</v>
      </c>
      <c r="J72" s="86">
        <v>43238</v>
      </c>
      <c r="K72" s="86">
        <v>43313</v>
      </c>
      <c r="L72" s="85" t="s">
        <v>107</v>
      </c>
      <c r="M72" s="85" t="s">
        <v>107</v>
      </c>
      <c r="N72" s="85" t="s">
        <v>107</v>
      </c>
      <c r="O72" s="85" t="s">
        <v>107</v>
      </c>
      <c r="P72" s="85" t="s">
        <v>107</v>
      </c>
      <c r="Q72" s="86">
        <v>43834</v>
      </c>
      <c r="R72" s="85" t="s">
        <v>107</v>
      </c>
      <c r="S72" s="85" t="s">
        <v>107</v>
      </c>
      <c r="T72" s="85" t="s">
        <v>107</v>
      </c>
      <c r="U72" s="85" t="s">
        <v>107</v>
      </c>
      <c r="V72" s="85" t="s">
        <v>107</v>
      </c>
      <c r="W72" s="85" t="s">
        <v>107</v>
      </c>
      <c r="X72" s="85" t="s">
        <v>107</v>
      </c>
      <c r="Y72" s="85" t="s">
        <v>107</v>
      </c>
      <c r="Z72" s="85" t="s">
        <v>107</v>
      </c>
      <c r="AA72" s="85" t="s">
        <v>107</v>
      </c>
      <c r="AB72" s="85" t="s">
        <v>107</v>
      </c>
      <c r="AC72" s="85" t="s">
        <v>107</v>
      </c>
      <c r="AD72" s="85" t="s">
        <v>107</v>
      </c>
      <c r="AE72" s="85" t="s">
        <v>107</v>
      </c>
      <c r="AF72" s="85" t="s">
        <v>107</v>
      </c>
      <c r="AG72" s="86">
        <v>43469</v>
      </c>
      <c r="AH72" s="85" t="s">
        <v>107</v>
      </c>
      <c r="AI72" s="85" t="s">
        <v>107</v>
      </c>
      <c r="AJ72" s="85" t="s">
        <v>107</v>
      </c>
      <c r="AK72" s="85" t="s">
        <v>107</v>
      </c>
      <c r="AL72" s="85" t="s">
        <v>107</v>
      </c>
      <c r="AM72" s="85" t="s">
        <v>107</v>
      </c>
      <c r="AN72" s="86">
        <v>43405</v>
      </c>
      <c r="AO72" s="86">
        <v>43235</v>
      </c>
      <c r="AP72" s="86">
        <v>43235</v>
      </c>
      <c r="AQ72" s="86">
        <v>43235</v>
      </c>
      <c r="AR72" s="86">
        <v>43235</v>
      </c>
      <c r="AS72" s="86">
        <v>43235</v>
      </c>
      <c r="AT72" s="86">
        <v>43235</v>
      </c>
      <c r="AU72" s="86" t="s">
        <v>107</v>
      </c>
      <c r="AV72" s="86">
        <v>43235</v>
      </c>
      <c r="AW72" s="86">
        <v>43235</v>
      </c>
    </row>
    <row r="73" spans="1:49" x14ac:dyDescent="0.2">
      <c r="A73" s="85" t="s">
        <v>342</v>
      </c>
      <c r="B73" s="85" t="s">
        <v>343</v>
      </c>
      <c r="C73" s="85" t="s">
        <v>344</v>
      </c>
      <c r="D73" s="85" t="s">
        <v>225</v>
      </c>
      <c r="E73" s="85" t="s">
        <v>121</v>
      </c>
      <c r="F73" s="85" t="s">
        <v>106</v>
      </c>
      <c r="G73" s="85" t="s">
        <v>4</v>
      </c>
      <c r="H73" s="85" t="s">
        <v>8</v>
      </c>
      <c r="I73" s="85" t="s">
        <v>107</v>
      </c>
      <c r="J73" s="86">
        <v>43503</v>
      </c>
      <c r="K73" s="86">
        <v>43503</v>
      </c>
      <c r="L73" s="85" t="s">
        <v>107</v>
      </c>
      <c r="M73" s="85" t="s">
        <v>107</v>
      </c>
      <c r="N73" s="85" t="s">
        <v>107</v>
      </c>
      <c r="O73" s="85" t="s">
        <v>107</v>
      </c>
      <c r="P73" s="85" t="s">
        <v>107</v>
      </c>
      <c r="Q73" s="86">
        <v>43490</v>
      </c>
      <c r="R73" s="85" t="s">
        <v>107</v>
      </c>
      <c r="S73" s="85" t="s">
        <v>107</v>
      </c>
      <c r="T73" s="85" t="s">
        <v>107</v>
      </c>
      <c r="U73" s="85" t="s">
        <v>107</v>
      </c>
      <c r="V73" s="85" t="s">
        <v>107</v>
      </c>
      <c r="W73" s="85" t="s">
        <v>107</v>
      </c>
      <c r="X73" s="85" t="s">
        <v>107</v>
      </c>
      <c r="Y73" s="85" t="s">
        <v>107</v>
      </c>
      <c r="Z73" s="85" t="s">
        <v>107</v>
      </c>
      <c r="AA73" s="85" t="s">
        <v>107</v>
      </c>
      <c r="AB73" s="85" t="s">
        <v>107</v>
      </c>
      <c r="AC73" s="85" t="s">
        <v>107</v>
      </c>
      <c r="AD73" s="85" t="s">
        <v>107</v>
      </c>
      <c r="AE73" s="85" t="s">
        <v>107</v>
      </c>
      <c r="AF73" s="85" t="s">
        <v>107</v>
      </c>
      <c r="AG73" s="86">
        <v>43125</v>
      </c>
      <c r="AH73" s="85" t="s">
        <v>1931</v>
      </c>
      <c r="AI73" s="85" t="s">
        <v>107</v>
      </c>
      <c r="AJ73" s="85" t="s">
        <v>107</v>
      </c>
      <c r="AK73" s="85" t="s">
        <v>107</v>
      </c>
      <c r="AL73" s="85" t="s">
        <v>107</v>
      </c>
      <c r="AM73" s="85" t="s">
        <v>107</v>
      </c>
      <c r="AN73" s="86">
        <v>43480</v>
      </c>
      <c r="AO73" s="86">
        <v>43213</v>
      </c>
      <c r="AP73" s="86">
        <v>43480</v>
      </c>
      <c r="AQ73" s="86">
        <v>42642</v>
      </c>
      <c r="AR73" s="86">
        <v>43480</v>
      </c>
      <c r="AS73" s="86">
        <v>43480</v>
      </c>
      <c r="AT73" s="86">
        <v>43480</v>
      </c>
      <c r="AU73" s="85" t="s">
        <v>107</v>
      </c>
      <c r="AV73" s="86">
        <v>43480</v>
      </c>
      <c r="AW73" s="86">
        <v>43480</v>
      </c>
    </row>
    <row r="74" spans="1:49" x14ac:dyDescent="0.2">
      <c r="A74" s="85" t="s">
        <v>345</v>
      </c>
      <c r="B74" s="85" t="s">
        <v>346</v>
      </c>
      <c r="C74" s="85" t="s">
        <v>347</v>
      </c>
      <c r="D74" s="85" t="s">
        <v>348</v>
      </c>
      <c r="E74" s="85"/>
      <c r="F74" s="85" t="s">
        <v>113</v>
      </c>
      <c r="G74" s="85" t="s">
        <v>4</v>
      </c>
      <c r="H74" s="85" t="s">
        <v>6</v>
      </c>
      <c r="I74" s="86">
        <v>43306</v>
      </c>
      <c r="J74" s="86">
        <v>43190</v>
      </c>
      <c r="K74" s="86">
        <v>43200</v>
      </c>
      <c r="L74" s="85" t="s">
        <v>99</v>
      </c>
      <c r="M74" s="86">
        <v>42824</v>
      </c>
      <c r="N74" s="85" t="s">
        <v>107</v>
      </c>
      <c r="O74" s="86">
        <v>42823</v>
      </c>
      <c r="P74" s="86">
        <v>43292</v>
      </c>
      <c r="Q74" s="86">
        <v>43565</v>
      </c>
      <c r="R74" s="85" t="s">
        <v>1652</v>
      </c>
      <c r="S74" s="86">
        <v>43344</v>
      </c>
      <c r="T74" s="85" t="s">
        <v>1652</v>
      </c>
      <c r="U74" s="86">
        <v>43347</v>
      </c>
      <c r="V74" s="86">
        <v>43555</v>
      </c>
      <c r="W74" s="85" t="s">
        <v>1657</v>
      </c>
      <c r="X74" s="85" t="s">
        <v>114</v>
      </c>
      <c r="Y74" s="85">
        <v>1</v>
      </c>
      <c r="Z74" s="85" t="s">
        <v>114</v>
      </c>
      <c r="AA74" s="85"/>
      <c r="AB74" s="85" t="s">
        <v>211</v>
      </c>
      <c r="AC74" s="85" t="s">
        <v>114</v>
      </c>
      <c r="AD74" s="85" t="s">
        <v>211</v>
      </c>
      <c r="AE74" s="85" t="s">
        <v>1656</v>
      </c>
      <c r="AF74" s="86">
        <v>43571</v>
      </c>
      <c r="AG74" s="86">
        <v>43195</v>
      </c>
      <c r="AH74" s="85" t="s">
        <v>107</v>
      </c>
      <c r="AI74" s="85"/>
      <c r="AJ74" s="85"/>
      <c r="AK74" s="86">
        <v>42824</v>
      </c>
      <c r="AL74" s="85" t="s">
        <v>107</v>
      </c>
      <c r="AM74" s="85" t="s">
        <v>107</v>
      </c>
      <c r="AN74" s="85"/>
      <c r="AO74" s="86">
        <v>43209</v>
      </c>
      <c r="AP74" s="86">
        <v>43046</v>
      </c>
      <c r="AQ74" s="86">
        <v>42163</v>
      </c>
      <c r="AR74" s="86">
        <v>43175</v>
      </c>
      <c r="AS74" s="86">
        <v>43181</v>
      </c>
      <c r="AT74" s="86">
        <v>43175</v>
      </c>
      <c r="AU74" s="86">
        <v>43175</v>
      </c>
      <c r="AV74" s="86">
        <v>43175</v>
      </c>
      <c r="AW74" s="86">
        <v>43175</v>
      </c>
    </row>
    <row r="75" spans="1:49" x14ac:dyDescent="0.2">
      <c r="A75" s="85" t="s">
        <v>352</v>
      </c>
      <c r="B75" s="85" t="s">
        <v>353</v>
      </c>
      <c r="C75" s="85" t="s">
        <v>351</v>
      </c>
      <c r="D75" s="85" t="s">
        <v>354</v>
      </c>
      <c r="E75" s="85" t="s">
        <v>119</v>
      </c>
      <c r="F75" s="85" t="s">
        <v>113</v>
      </c>
      <c r="G75" s="85" t="s">
        <v>4</v>
      </c>
      <c r="H75" s="85" t="s">
        <v>12</v>
      </c>
      <c r="I75" s="86">
        <v>43180</v>
      </c>
      <c r="J75" s="86">
        <v>43493</v>
      </c>
      <c r="K75" s="86">
        <v>43494</v>
      </c>
      <c r="L75" s="85" t="s">
        <v>99</v>
      </c>
      <c r="M75" s="86">
        <v>42430</v>
      </c>
      <c r="N75" s="85" t="s">
        <v>107</v>
      </c>
      <c r="O75" s="86">
        <v>43125</v>
      </c>
      <c r="P75" s="86">
        <v>43213</v>
      </c>
      <c r="Q75" s="86">
        <v>43490</v>
      </c>
      <c r="R75" s="85" t="s">
        <v>1652</v>
      </c>
      <c r="S75" s="86">
        <v>43525</v>
      </c>
      <c r="T75" s="85" t="s">
        <v>1652</v>
      </c>
      <c r="U75" s="86">
        <v>43493</v>
      </c>
      <c r="V75" s="86">
        <v>43861</v>
      </c>
      <c r="W75" s="85" t="s">
        <v>1653</v>
      </c>
      <c r="X75" s="85" t="s">
        <v>114</v>
      </c>
      <c r="Y75" s="85">
        <v>1</v>
      </c>
      <c r="Z75" s="85" t="s">
        <v>114</v>
      </c>
      <c r="AA75" s="85"/>
      <c r="AB75" s="85" t="s">
        <v>211</v>
      </c>
      <c r="AC75" s="85" t="s">
        <v>114</v>
      </c>
      <c r="AD75" s="85" t="s">
        <v>211</v>
      </c>
      <c r="AE75" s="85" t="s">
        <v>1656</v>
      </c>
      <c r="AF75" s="86">
        <v>43512</v>
      </c>
      <c r="AG75" s="86">
        <v>43227</v>
      </c>
      <c r="AH75" s="85" t="s">
        <v>107</v>
      </c>
      <c r="AI75" s="86">
        <v>42743</v>
      </c>
      <c r="AJ75" s="86">
        <v>43219</v>
      </c>
      <c r="AK75" s="86">
        <v>43125</v>
      </c>
      <c r="AL75" s="85" t="s">
        <v>107</v>
      </c>
      <c r="AM75" s="85" t="s">
        <v>107</v>
      </c>
      <c r="AN75" s="86">
        <v>43480</v>
      </c>
      <c r="AO75" s="86">
        <v>43213</v>
      </c>
      <c r="AP75" s="86">
        <v>43480</v>
      </c>
      <c r="AQ75" s="86">
        <v>42762</v>
      </c>
      <c r="AR75" s="86">
        <v>43480</v>
      </c>
      <c r="AS75" s="86">
        <v>43480</v>
      </c>
      <c r="AT75" s="86">
        <v>43480</v>
      </c>
      <c r="AU75" s="86">
        <v>43480</v>
      </c>
      <c r="AV75" s="86">
        <v>43480</v>
      </c>
      <c r="AW75" s="86">
        <v>43480</v>
      </c>
    </row>
    <row r="76" spans="1:49" x14ac:dyDescent="0.2">
      <c r="A76" s="85" t="s">
        <v>355</v>
      </c>
      <c r="B76" s="85" t="s">
        <v>356</v>
      </c>
      <c r="C76" s="85" t="s">
        <v>357</v>
      </c>
      <c r="D76" s="85" t="s">
        <v>180</v>
      </c>
      <c r="E76" s="85"/>
      <c r="F76" s="85" t="s">
        <v>122</v>
      </c>
      <c r="G76" s="85" t="s">
        <v>4</v>
      </c>
      <c r="H76" s="85" t="s">
        <v>13</v>
      </c>
      <c r="I76" s="86">
        <v>43368</v>
      </c>
      <c r="J76" s="86">
        <v>43355</v>
      </c>
      <c r="K76" s="85"/>
      <c r="L76" s="85"/>
      <c r="M76" s="85"/>
      <c r="N76" s="85" t="s">
        <v>107</v>
      </c>
      <c r="O76" s="85"/>
      <c r="P76" s="86">
        <v>43256</v>
      </c>
      <c r="Q76" s="86">
        <v>365</v>
      </c>
      <c r="R76" s="85" t="s">
        <v>1652</v>
      </c>
      <c r="S76" s="86">
        <v>44075</v>
      </c>
      <c r="T76" s="85" t="s">
        <v>1652</v>
      </c>
      <c r="U76" s="86">
        <v>43397</v>
      </c>
      <c r="V76" s="86">
        <v>43585</v>
      </c>
      <c r="W76" s="85" t="s">
        <v>1655</v>
      </c>
      <c r="X76" s="85" t="s">
        <v>114</v>
      </c>
      <c r="Y76" s="85">
        <v>2</v>
      </c>
      <c r="Z76" s="85" t="s">
        <v>114</v>
      </c>
      <c r="AA76" s="85"/>
      <c r="AB76" s="85" t="s">
        <v>114</v>
      </c>
      <c r="AC76" s="85" t="s">
        <v>114</v>
      </c>
      <c r="AD76" s="85" t="s">
        <v>114</v>
      </c>
      <c r="AE76" s="85"/>
      <c r="AF76" s="85"/>
      <c r="AG76" s="86">
        <v>43272</v>
      </c>
      <c r="AH76" s="85" t="s">
        <v>1932</v>
      </c>
      <c r="AI76" s="85"/>
      <c r="AJ76" s="85"/>
      <c r="AK76" s="85"/>
      <c r="AL76" s="85" t="s">
        <v>107</v>
      </c>
      <c r="AM76" s="85" t="s">
        <v>107</v>
      </c>
      <c r="AN76" s="86">
        <v>43510</v>
      </c>
      <c r="AO76" s="86">
        <v>43251</v>
      </c>
      <c r="AP76" s="86">
        <v>43510</v>
      </c>
      <c r="AQ76" s="86">
        <v>43251</v>
      </c>
      <c r="AR76" s="86">
        <v>43510</v>
      </c>
      <c r="AS76" s="86">
        <v>43510</v>
      </c>
      <c r="AT76" s="86">
        <v>43510</v>
      </c>
      <c r="AU76" s="86">
        <v>43510</v>
      </c>
      <c r="AV76" s="86">
        <v>43510</v>
      </c>
      <c r="AW76" s="86">
        <v>43510</v>
      </c>
    </row>
    <row r="77" spans="1:49" x14ac:dyDescent="0.2">
      <c r="A77" s="85" t="s">
        <v>358</v>
      </c>
      <c r="B77" s="85" t="s">
        <v>359</v>
      </c>
      <c r="C77" s="85" t="s">
        <v>360</v>
      </c>
      <c r="D77" s="85" t="s">
        <v>290</v>
      </c>
      <c r="E77" s="85" t="s">
        <v>141</v>
      </c>
      <c r="F77" s="85" t="s">
        <v>106</v>
      </c>
      <c r="G77" s="85" t="s">
        <v>4</v>
      </c>
      <c r="H77" s="85" t="s">
        <v>5</v>
      </c>
      <c r="I77" s="85" t="s">
        <v>107</v>
      </c>
      <c r="J77" s="86">
        <v>43444</v>
      </c>
      <c r="K77" s="86">
        <v>43482</v>
      </c>
      <c r="L77" s="85" t="s">
        <v>107</v>
      </c>
      <c r="M77" s="85" t="s">
        <v>107</v>
      </c>
      <c r="N77" s="85" t="s">
        <v>107</v>
      </c>
      <c r="O77" s="85" t="s">
        <v>107</v>
      </c>
      <c r="P77" s="85" t="s">
        <v>107</v>
      </c>
      <c r="Q77" s="86">
        <v>43490</v>
      </c>
      <c r="R77" s="85" t="s">
        <v>107</v>
      </c>
      <c r="S77" s="85" t="s">
        <v>107</v>
      </c>
      <c r="T77" s="85" t="s">
        <v>107</v>
      </c>
      <c r="U77" s="85" t="s">
        <v>107</v>
      </c>
      <c r="V77" s="85" t="s">
        <v>107</v>
      </c>
      <c r="W77" s="85" t="s">
        <v>107</v>
      </c>
      <c r="X77" s="85" t="s">
        <v>107</v>
      </c>
      <c r="Y77" s="85" t="s">
        <v>107</v>
      </c>
      <c r="Z77" s="85" t="s">
        <v>107</v>
      </c>
      <c r="AA77" s="85" t="s">
        <v>107</v>
      </c>
      <c r="AB77" s="85" t="s">
        <v>107</v>
      </c>
      <c r="AC77" s="85" t="s">
        <v>107</v>
      </c>
      <c r="AD77" s="85" t="s">
        <v>107</v>
      </c>
      <c r="AE77" s="85" t="s">
        <v>107</v>
      </c>
      <c r="AF77" s="85" t="s">
        <v>107</v>
      </c>
      <c r="AG77" s="85" t="s">
        <v>59</v>
      </c>
      <c r="AH77" s="85" t="s">
        <v>107</v>
      </c>
      <c r="AI77" s="85" t="s">
        <v>107</v>
      </c>
      <c r="AJ77" s="85" t="s">
        <v>107</v>
      </c>
      <c r="AK77" s="85" t="s">
        <v>107</v>
      </c>
      <c r="AL77" s="85" t="s">
        <v>107</v>
      </c>
      <c r="AM77" s="85" t="s">
        <v>107</v>
      </c>
      <c r="AN77" s="86">
        <v>43409</v>
      </c>
      <c r="AO77" s="86">
        <v>43409</v>
      </c>
      <c r="AP77" s="86">
        <v>43409</v>
      </c>
      <c r="AQ77" s="86">
        <v>42355</v>
      </c>
      <c r="AR77" s="86">
        <v>43409</v>
      </c>
      <c r="AS77" s="86">
        <v>43409</v>
      </c>
      <c r="AT77" s="86">
        <v>43409</v>
      </c>
      <c r="AU77" s="85" t="s">
        <v>107</v>
      </c>
      <c r="AV77" s="86">
        <v>43409</v>
      </c>
      <c r="AW77" s="86">
        <v>43409</v>
      </c>
    </row>
    <row r="78" spans="1:49" x14ac:dyDescent="0.2">
      <c r="A78" s="85" t="s">
        <v>361</v>
      </c>
      <c r="B78" s="85" t="s">
        <v>362</v>
      </c>
      <c r="C78" s="85" t="s">
        <v>363</v>
      </c>
      <c r="D78" s="85" t="s">
        <v>364</v>
      </c>
      <c r="E78" s="85" t="s">
        <v>201</v>
      </c>
      <c r="F78" s="85" t="s">
        <v>106</v>
      </c>
      <c r="G78" s="85" t="s">
        <v>4</v>
      </c>
      <c r="H78" s="85" t="s">
        <v>5</v>
      </c>
      <c r="I78" s="85" t="s">
        <v>107</v>
      </c>
      <c r="J78" s="86">
        <v>43297</v>
      </c>
      <c r="K78" s="86">
        <v>43297</v>
      </c>
      <c r="L78" s="85" t="s">
        <v>107</v>
      </c>
      <c r="M78" s="85" t="s">
        <v>107</v>
      </c>
      <c r="N78" s="85" t="s">
        <v>107</v>
      </c>
      <c r="O78" s="85" t="s">
        <v>107</v>
      </c>
      <c r="P78" s="85" t="s">
        <v>107</v>
      </c>
      <c r="Q78" s="86">
        <v>43849</v>
      </c>
      <c r="R78" s="85" t="s">
        <v>107</v>
      </c>
      <c r="S78" s="85" t="s">
        <v>107</v>
      </c>
      <c r="T78" s="85" t="s">
        <v>107</v>
      </c>
      <c r="U78" s="85" t="s">
        <v>107</v>
      </c>
      <c r="V78" s="85" t="s">
        <v>107</v>
      </c>
      <c r="W78" s="85" t="s">
        <v>107</v>
      </c>
      <c r="X78" s="85" t="s">
        <v>107</v>
      </c>
      <c r="Y78" s="85" t="s">
        <v>107</v>
      </c>
      <c r="Z78" s="85" t="s">
        <v>107</v>
      </c>
      <c r="AA78" s="85" t="s">
        <v>107</v>
      </c>
      <c r="AB78" s="85" t="s">
        <v>107</v>
      </c>
      <c r="AC78" s="85" t="s">
        <v>107</v>
      </c>
      <c r="AD78" s="85" t="s">
        <v>107</v>
      </c>
      <c r="AE78" s="85" t="s">
        <v>107</v>
      </c>
      <c r="AF78" s="85" t="s">
        <v>107</v>
      </c>
      <c r="AG78" s="86">
        <v>43409</v>
      </c>
      <c r="AH78" s="85" t="s">
        <v>107</v>
      </c>
      <c r="AI78" s="85" t="s">
        <v>107</v>
      </c>
      <c r="AJ78" s="85" t="s">
        <v>107</v>
      </c>
      <c r="AK78" s="85" t="s">
        <v>107</v>
      </c>
      <c r="AL78" s="85" t="s">
        <v>107</v>
      </c>
      <c r="AM78" s="85" t="s">
        <v>107</v>
      </c>
      <c r="AN78" s="86">
        <v>43375</v>
      </c>
      <c r="AO78" s="86">
        <v>43213</v>
      </c>
      <c r="AP78" s="86">
        <v>43053</v>
      </c>
      <c r="AQ78" s="86">
        <v>43119</v>
      </c>
      <c r="AR78" s="86">
        <v>43119</v>
      </c>
      <c r="AS78" s="86">
        <v>43132</v>
      </c>
      <c r="AT78" s="86">
        <v>43119</v>
      </c>
      <c r="AU78" s="85" t="s">
        <v>107</v>
      </c>
      <c r="AV78" s="86">
        <v>43119</v>
      </c>
      <c r="AW78" s="86">
        <v>43119</v>
      </c>
    </row>
    <row r="79" spans="1:49" x14ac:dyDescent="0.2">
      <c r="A79" s="85" t="s">
        <v>365</v>
      </c>
      <c r="B79" s="85" t="s">
        <v>366</v>
      </c>
      <c r="C79" s="85" t="s">
        <v>367</v>
      </c>
      <c r="D79" s="85" t="s">
        <v>368</v>
      </c>
      <c r="E79" s="85" t="s">
        <v>126</v>
      </c>
      <c r="F79" s="85" t="s">
        <v>106</v>
      </c>
      <c r="G79" s="85" t="s">
        <v>4</v>
      </c>
      <c r="H79" s="85" t="s">
        <v>12</v>
      </c>
      <c r="I79" s="85" t="s">
        <v>107</v>
      </c>
      <c r="J79" s="86">
        <v>43368</v>
      </c>
      <c r="K79" s="86">
        <v>43270</v>
      </c>
      <c r="L79" s="85" t="s">
        <v>107</v>
      </c>
      <c r="M79" s="85" t="s">
        <v>107</v>
      </c>
      <c r="N79" s="85" t="s">
        <v>107</v>
      </c>
      <c r="O79" s="85" t="s">
        <v>107</v>
      </c>
      <c r="P79" s="85" t="s">
        <v>107</v>
      </c>
      <c r="Q79" s="86">
        <v>43635</v>
      </c>
      <c r="R79" s="85" t="s">
        <v>107</v>
      </c>
      <c r="S79" s="85" t="s">
        <v>107</v>
      </c>
      <c r="T79" s="85" t="s">
        <v>107</v>
      </c>
      <c r="U79" s="85" t="s">
        <v>107</v>
      </c>
      <c r="V79" s="85" t="s">
        <v>107</v>
      </c>
      <c r="W79" s="85" t="s">
        <v>107</v>
      </c>
      <c r="X79" s="85" t="s">
        <v>107</v>
      </c>
      <c r="Y79" s="85" t="s">
        <v>107</v>
      </c>
      <c r="Z79" s="85" t="s">
        <v>107</v>
      </c>
      <c r="AA79" s="85" t="s">
        <v>107</v>
      </c>
      <c r="AB79" s="85" t="s">
        <v>107</v>
      </c>
      <c r="AC79" s="85" t="s">
        <v>107</v>
      </c>
      <c r="AD79" s="85" t="s">
        <v>107</v>
      </c>
      <c r="AE79" s="85" t="s">
        <v>107</v>
      </c>
      <c r="AF79" s="85" t="s">
        <v>107</v>
      </c>
      <c r="AG79" s="86">
        <v>43375</v>
      </c>
      <c r="AH79" s="85" t="s">
        <v>107</v>
      </c>
      <c r="AI79" s="85" t="s">
        <v>107</v>
      </c>
      <c r="AJ79" s="85" t="s">
        <v>107</v>
      </c>
      <c r="AK79" s="85" t="s">
        <v>107</v>
      </c>
      <c r="AL79" s="85" t="s">
        <v>107</v>
      </c>
      <c r="AM79" s="85" t="s">
        <v>107</v>
      </c>
      <c r="AN79" s="86">
        <v>43376</v>
      </c>
      <c r="AO79" s="86">
        <v>43213</v>
      </c>
      <c r="AP79" s="86">
        <v>43060</v>
      </c>
      <c r="AQ79" s="86">
        <v>42299</v>
      </c>
      <c r="AR79" s="86">
        <v>43122</v>
      </c>
      <c r="AS79" s="86">
        <v>43187</v>
      </c>
      <c r="AT79" s="86">
        <v>43122</v>
      </c>
      <c r="AU79" s="85" t="s">
        <v>107</v>
      </c>
      <c r="AV79" s="86">
        <v>43121</v>
      </c>
      <c r="AW79" s="86">
        <v>43122</v>
      </c>
    </row>
    <row r="80" spans="1:49" x14ac:dyDescent="0.2">
      <c r="A80" s="85" t="s">
        <v>369</v>
      </c>
      <c r="B80" s="85" t="s">
        <v>370</v>
      </c>
      <c r="C80" s="85" t="s">
        <v>371</v>
      </c>
      <c r="D80" s="85" t="s">
        <v>239</v>
      </c>
      <c r="E80" s="85" t="s">
        <v>163</v>
      </c>
      <c r="F80" s="85" t="s">
        <v>113</v>
      </c>
      <c r="G80" s="85" t="s">
        <v>4</v>
      </c>
      <c r="H80" s="85" t="s">
        <v>8</v>
      </c>
      <c r="I80" s="86">
        <v>43460</v>
      </c>
      <c r="J80" s="86">
        <v>43348</v>
      </c>
      <c r="K80" s="86">
        <v>43479</v>
      </c>
      <c r="L80" s="85" t="s">
        <v>99</v>
      </c>
      <c r="M80" s="86">
        <v>42989</v>
      </c>
      <c r="N80" s="85" t="s">
        <v>107</v>
      </c>
      <c r="O80" s="86">
        <v>43315</v>
      </c>
      <c r="P80" s="86">
        <v>43269</v>
      </c>
      <c r="Q80" s="86">
        <v>43844</v>
      </c>
      <c r="R80" s="85" t="s">
        <v>1652</v>
      </c>
      <c r="S80" s="86">
        <v>43525</v>
      </c>
      <c r="T80" s="85" t="s">
        <v>1652</v>
      </c>
      <c r="U80" s="86">
        <v>43410</v>
      </c>
      <c r="V80" s="86">
        <v>43616</v>
      </c>
      <c r="W80" s="85" t="s">
        <v>1657</v>
      </c>
      <c r="X80" s="85" t="s">
        <v>114</v>
      </c>
      <c r="Y80" s="85">
        <v>1</v>
      </c>
      <c r="Z80" s="85" t="s">
        <v>114</v>
      </c>
      <c r="AA80" s="85"/>
      <c r="AB80" s="85" t="s">
        <v>114</v>
      </c>
      <c r="AC80" s="85" t="s">
        <v>114</v>
      </c>
      <c r="AD80" s="85" t="s">
        <v>114</v>
      </c>
      <c r="AE80" s="85"/>
      <c r="AF80" s="85"/>
      <c r="AG80" s="86">
        <v>43479</v>
      </c>
      <c r="AH80" s="85" t="s">
        <v>1933</v>
      </c>
      <c r="AI80" s="86">
        <v>41944</v>
      </c>
      <c r="AJ80" s="86">
        <v>43377</v>
      </c>
      <c r="AK80" s="86">
        <v>42118</v>
      </c>
      <c r="AL80" s="85" t="s">
        <v>107</v>
      </c>
      <c r="AM80" s="85" t="s">
        <v>107</v>
      </c>
      <c r="AN80" s="86">
        <v>43405</v>
      </c>
      <c r="AO80" s="86">
        <v>43461</v>
      </c>
      <c r="AP80" s="86">
        <v>43461</v>
      </c>
      <c r="AQ80" s="86">
        <v>42293</v>
      </c>
      <c r="AR80" s="86">
        <v>43461</v>
      </c>
      <c r="AS80" s="86">
        <v>43461</v>
      </c>
      <c r="AT80" s="86">
        <v>43461</v>
      </c>
      <c r="AU80" s="86">
        <v>43461</v>
      </c>
      <c r="AV80" s="86">
        <v>43461</v>
      </c>
      <c r="AW80" s="86">
        <v>43461</v>
      </c>
    </row>
    <row r="81" spans="1:49" x14ac:dyDescent="0.2">
      <c r="A81" s="85" t="s">
        <v>1597</v>
      </c>
      <c r="B81" s="85" t="s">
        <v>1598</v>
      </c>
      <c r="C81" s="85" t="s">
        <v>1599</v>
      </c>
      <c r="D81" s="85" t="s">
        <v>226</v>
      </c>
      <c r="E81" s="85" t="s">
        <v>206</v>
      </c>
      <c r="F81" s="85" t="s">
        <v>106</v>
      </c>
      <c r="G81" s="85" t="s">
        <v>4</v>
      </c>
      <c r="H81" s="85" t="s">
        <v>5</v>
      </c>
      <c r="I81" s="85" t="s">
        <v>107</v>
      </c>
      <c r="J81" s="86">
        <v>43361</v>
      </c>
      <c r="K81" s="86">
        <v>43434</v>
      </c>
      <c r="L81" s="85" t="s">
        <v>107</v>
      </c>
      <c r="M81" s="85" t="s">
        <v>107</v>
      </c>
      <c r="N81" s="85" t="s">
        <v>107</v>
      </c>
      <c r="O81" s="85" t="s">
        <v>107</v>
      </c>
      <c r="P81" s="85" t="s">
        <v>107</v>
      </c>
      <c r="Q81" s="86">
        <v>43706</v>
      </c>
      <c r="R81" s="85" t="s">
        <v>107</v>
      </c>
      <c r="S81" s="85" t="s">
        <v>107</v>
      </c>
      <c r="T81" s="85" t="s">
        <v>107</v>
      </c>
      <c r="U81" s="85" t="s">
        <v>107</v>
      </c>
      <c r="V81" s="85" t="s">
        <v>107</v>
      </c>
      <c r="W81" s="85" t="s">
        <v>107</v>
      </c>
      <c r="X81" s="85" t="s">
        <v>107</v>
      </c>
      <c r="Y81" s="85" t="s">
        <v>107</v>
      </c>
      <c r="Z81" s="85" t="s">
        <v>107</v>
      </c>
      <c r="AA81" s="85" t="s">
        <v>107</v>
      </c>
      <c r="AB81" s="85" t="s">
        <v>107</v>
      </c>
      <c r="AC81" s="85" t="s">
        <v>107</v>
      </c>
      <c r="AD81" s="85" t="s">
        <v>107</v>
      </c>
      <c r="AE81" s="85" t="s">
        <v>107</v>
      </c>
      <c r="AF81" s="85" t="s">
        <v>107</v>
      </c>
      <c r="AG81" s="86">
        <v>43342</v>
      </c>
      <c r="AH81" s="85" t="s">
        <v>1934</v>
      </c>
      <c r="AI81" s="85" t="s">
        <v>107</v>
      </c>
      <c r="AJ81" s="85" t="s">
        <v>107</v>
      </c>
      <c r="AK81" s="85" t="s">
        <v>107</v>
      </c>
      <c r="AL81" s="85" t="s">
        <v>107</v>
      </c>
      <c r="AM81" s="85" t="s">
        <v>107</v>
      </c>
      <c r="AN81" s="85"/>
      <c r="AO81" s="86">
        <v>43340</v>
      </c>
      <c r="AP81" s="86">
        <v>43340</v>
      </c>
      <c r="AQ81" s="86">
        <v>43340</v>
      </c>
      <c r="AR81" s="86">
        <v>43340</v>
      </c>
      <c r="AS81" s="86">
        <v>43340</v>
      </c>
      <c r="AT81" s="86">
        <v>43340</v>
      </c>
      <c r="AU81" s="85" t="s">
        <v>107</v>
      </c>
      <c r="AV81" s="86">
        <v>43340</v>
      </c>
      <c r="AW81" s="86">
        <v>43340</v>
      </c>
    </row>
    <row r="82" spans="1:49" x14ac:dyDescent="0.2">
      <c r="A82" s="85" t="s">
        <v>1778</v>
      </c>
      <c r="B82" s="85" t="s">
        <v>1779</v>
      </c>
      <c r="C82" s="85" t="s">
        <v>1780</v>
      </c>
      <c r="D82" s="85" t="s">
        <v>1781</v>
      </c>
      <c r="E82" s="85" t="s">
        <v>714</v>
      </c>
      <c r="F82" s="85" t="s">
        <v>106</v>
      </c>
      <c r="G82" s="85" t="s">
        <v>4</v>
      </c>
      <c r="H82" s="85" t="s">
        <v>8</v>
      </c>
      <c r="I82" s="85" t="s">
        <v>107</v>
      </c>
      <c r="J82" s="86">
        <v>43467</v>
      </c>
      <c r="K82" s="86">
        <v>43467</v>
      </c>
      <c r="L82" s="85" t="s">
        <v>107</v>
      </c>
      <c r="M82" s="85" t="s">
        <v>107</v>
      </c>
      <c r="N82" s="85" t="s">
        <v>107</v>
      </c>
      <c r="O82" s="85" t="s">
        <v>107</v>
      </c>
      <c r="P82" s="85" t="s">
        <v>107</v>
      </c>
      <c r="Q82" s="85" t="s">
        <v>59</v>
      </c>
      <c r="R82" s="85" t="s">
        <v>107</v>
      </c>
      <c r="S82" s="85" t="s">
        <v>107</v>
      </c>
      <c r="T82" s="85" t="s">
        <v>107</v>
      </c>
      <c r="U82" s="85" t="s">
        <v>107</v>
      </c>
      <c r="V82" s="85" t="s">
        <v>107</v>
      </c>
      <c r="W82" s="85" t="s">
        <v>107</v>
      </c>
      <c r="X82" s="85" t="s">
        <v>107</v>
      </c>
      <c r="Y82" s="85" t="s">
        <v>107</v>
      </c>
      <c r="Z82" s="85" t="s">
        <v>107</v>
      </c>
      <c r="AA82" s="85" t="s">
        <v>107</v>
      </c>
      <c r="AB82" s="85" t="s">
        <v>107</v>
      </c>
      <c r="AC82" s="85" t="s">
        <v>107</v>
      </c>
      <c r="AD82" s="85" t="s">
        <v>107</v>
      </c>
      <c r="AE82" s="85" t="s">
        <v>107</v>
      </c>
      <c r="AF82" s="85" t="s">
        <v>107</v>
      </c>
      <c r="AG82" s="85" t="s">
        <v>59</v>
      </c>
      <c r="AH82" s="85" t="s">
        <v>107</v>
      </c>
      <c r="AI82" s="85" t="s">
        <v>107</v>
      </c>
      <c r="AJ82" s="85" t="s">
        <v>107</v>
      </c>
      <c r="AK82" s="85" t="s">
        <v>107</v>
      </c>
      <c r="AL82" s="85" t="s">
        <v>107</v>
      </c>
      <c r="AM82" s="85" t="s">
        <v>107</v>
      </c>
      <c r="AN82" s="86">
        <v>43452</v>
      </c>
      <c r="AO82" s="86">
        <v>43452</v>
      </c>
      <c r="AP82" s="86">
        <v>43452</v>
      </c>
      <c r="AQ82" s="86">
        <v>43452</v>
      </c>
      <c r="AR82" s="86">
        <v>43452</v>
      </c>
      <c r="AS82" s="86">
        <v>43452</v>
      </c>
      <c r="AT82" s="86">
        <v>43452</v>
      </c>
      <c r="AU82" s="86" t="s">
        <v>107</v>
      </c>
      <c r="AV82" s="86">
        <v>43452</v>
      </c>
      <c r="AW82" s="86">
        <v>43452</v>
      </c>
    </row>
    <row r="83" spans="1:49" x14ac:dyDescent="0.2">
      <c r="A83" s="85" t="s">
        <v>1792</v>
      </c>
      <c r="B83" s="85" t="s">
        <v>1793</v>
      </c>
      <c r="C83" s="85" t="s">
        <v>1794</v>
      </c>
      <c r="D83" s="85" t="s">
        <v>1795</v>
      </c>
      <c r="E83" s="85" t="s">
        <v>126</v>
      </c>
      <c r="F83" s="85" t="s">
        <v>127</v>
      </c>
      <c r="G83" s="85" t="s">
        <v>4</v>
      </c>
      <c r="H83" s="85" t="s">
        <v>13</v>
      </c>
      <c r="I83" s="86">
        <v>43328</v>
      </c>
      <c r="J83" s="86">
        <v>43382</v>
      </c>
      <c r="K83" s="86">
        <v>43382</v>
      </c>
      <c r="L83" s="85" t="s">
        <v>99</v>
      </c>
      <c r="M83" s="86">
        <v>43010</v>
      </c>
      <c r="N83" s="85" t="s">
        <v>107</v>
      </c>
      <c r="O83" s="86">
        <v>43010</v>
      </c>
      <c r="P83" s="86">
        <v>43292</v>
      </c>
      <c r="Q83" s="86">
        <v>365</v>
      </c>
      <c r="R83" s="85" t="s">
        <v>1658</v>
      </c>
      <c r="S83" s="86">
        <v>43617</v>
      </c>
      <c r="T83" s="85" t="s">
        <v>1652</v>
      </c>
      <c r="U83" s="86">
        <v>43150</v>
      </c>
      <c r="V83" s="86">
        <v>43524</v>
      </c>
      <c r="W83" s="85" t="s">
        <v>1653</v>
      </c>
      <c r="X83" s="85" t="s">
        <v>114</v>
      </c>
      <c r="Y83" s="85">
        <v>1</v>
      </c>
      <c r="Z83" s="85" t="s">
        <v>114</v>
      </c>
      <c r="AA83" s="85"/>
      <c r="AB83" s="85" t="s">
        <v>114</v>
      </c>
      <c r="AC83" s="85" t="s">
        <v>114</v>
      </c>
      <c r="AD83" s="85" t="s">
        <v>114</v>
      </c>
      <c r="AE83" s="85"/>
      <c r="AF83" s="85"/>
      <c r="AG83" s="86">
        <v>43467</v>
      </c>
      <c r="AH83" s="85" t="s">
        <v>107</v>
      </c>
      <c r="AI83" s="85" t="s">
        <v>59</v>
      </c>
      <c r="AJ83" s="85" t="s">
        <v>59</v>
      </c>
      <c r="AK83" s="85" t="s">
        <v>59</v>
      </c>
      <c r="AL83" s="85" t="s">
        <v>107</v>
      </c>
      <c r="AM83" s="85" t="s">
        <v>107</v>
      </c>
      <c r="AN83" s="86">
        <v>43432</v>
      </c>
      <c r="AO83" s="86">
        <v>43432</v>
      </c>
      <c r="AP83" s="86">
        <v>43432</v>
      </c>
      <c r="AQ83" s="86">
        <v>43432</v>
      </c>
      <c r="AR83" s="86">
        <v>43432</v>
      </c>
      <c r="AS83" s="86">
        <v>43432</v>
      </c>
      <c r="AT83" s="86">
        <v>43432</v>
      </c>
      <c r="AU83" s="86">
        <v>43432</v>
      </c>
      <c r="AV83" s="86">
        <v>43432</v>
      </c>
      <c r="AW83" s="86">
        <v>43432</v>
      </c>
    </row>
    <row r="84" spans="1:49" x14ac:dyDescent="0.2">
      <c r="A84" s="85" t="s">
        <v>372</v>
      </c>
      <c r="B84" s="85" t="s">
        <v>373</v>
      </c>
      <c r="C84" s="85" t="s">
        <v>374</v>
      </c>
      <c r="D84" s="85" t="s">
        <v>375</v>
      </c>
      <c r="E84" s="85" t="s">
        <v>141</v>
      </c>
      <c r="F84" s="85" t="s">
        <v>106</v>
      </c>
      <c r="G84" s="85" t="s">
        <v>4</v>
      </c>
      <c r="H84" s="85" t="s">
        <v>12</v>
      </c>
      <c r="I84" s="85" t="s">
        <v>107</v>
      </c>
      <c r="J84" s="86">
        <v>43484</v>
      </c>
      <c r="K84" s="86">
        <v>43484</v>
      </c>
      <c r="L84" s="85" t="s">
        <v>107</v>
      </c>
      <c r="M84" s="85" t="s">
        <v>107</v>
      </c>
      <c r="N84" s="85" t="s">
        <v>107</v>
      </c>
      <c r="O84" s="85" t="s">
        <v>107</v>
      </c>
      <c r="P84" s="85" t="s">
        <v>107</v>
      </c>
      <c r="Q84" s="86">
        <v>43490</v>
      </c>
      <c r="R84" s="85" t="s">
        <v>107</v>
      </c>
      <c r="S84" s="85" t="s">
        <v>107</v>
      </c>
      <c r="T84" s="85" t="s">
        <v>107</v>
      </c>
      <c r="U84" s="85" t="s">
        <v>107</v>
      </c>
      <c r="V84" s="85" t="s">
        <v>107</v>
      </c>
      <c r="W84" s="85" t="s">
        <v>107</v>
      </c>
      <c r="X84" s="85" t="s">
        <v>107</v>
      </c>
      <c r="Y84" s="85" t="s">
        <v>107</v>
      </c>
      <c r="Z84" s="85" t="s">
        <v>107</v>
      </c>
      <c r="AA84" s="85" t="s">
        <v>107</v>
      </c>
      <c r="AB84" s="85" t="s">
        <v>107</v>
      </c>
      <c r="AC84" s="85" t="s">
        <v>107</v>
      </c>
      <c r="AD84" s="85" t="s">
        <v>107</v>
      </c>
      <c r="AE84" s="85" t="s">
        <v>107</v>
      </c>
      <c r="AF84" s="85" t="s">
        <v>107</v>
      </c>
      <c r="AG84" s="86">
        <v>43178</v>
      </c>
      <c r="AH84" s="85" t="s">
        <v>107</v>
      </c>
      <c r="AI84" s="85" t="s">
        <v>107</v>
      </c>
      <c r="AJ84" s="85" t="s">
        <v>107</v>
      </c>
      <c r="AK84" s="85" t="s">
        <v>107</v>
      </c>
      <c r="AL84" s="85" t="s">
        <v>107</v>
      </c>
      <c r="AM84" s="85" t="s">
        <v>107</v>
      </c>
      <c r="AN84" s="86">
        <v>43376</v>
      </c>
      <c r="AO84" s="86">
        <v>43213</v>
      </c>
      <c r="AP84" s="86">
        <v>43157</v>
      </c>
      <c r="AQ84" s="86">
        <v>41649</v>
      </c>
      <c r="AR84" s="86">
        <v>43125</v>
      </c>
      <c r="AS84" s="86">
        <v>43022</v>
      </c>
      <c r="AT84" s="86">
        <v>43125</v>
      </c>
      <c r="AU84" s="85" t="s">
        <v>107</v>
      </c>
      <c r="AV84" s="86">
        <v>43125</v>
      </c>
      <c r="AW84" s="86">
        <v>43125</v>
      </c>
    </row>
    <row r="85" spans="1:49" x14ac:dyDescent="0.2">
      <c r="A85" s="85" t="s">
        <v>1684</v>
      </c>
      <c r="B85" s="85" t="s">
        <v>1685</v>
      </c>
      <c r="C85" s="85" t="s">
        <v>1686</v>
      </c>
      <c r="D85" s="85" t="s">
        <v>875</v>
      </c>
      <c r="E85" s="85" t="s">
        <v>222</v>
      </c>
      <c r="F85" s="85" t="s">
        <v>106</v>
      </c>
      <c r="G85" s="85" t="s">
        <v>4</v>
      </c>
      <c r="H85" s="85" t="s">
        <v>5</v>
      </c>
      <c r="I85" s="85" t="s">
        <v>107</v>
      </c>
      <c r="J85" s="85" t="s">
        <v>59</v>
      </c>
      <c r="K85" s="85" t="s">
        <v>59</v>
      </c>
      <c r="L85" s="85" t="s">
        <v>107</v>
      </c>
      <c r="M85" s="85" t="s">
        <v>107</v>
      </c>
      <c r="N85" s="85" t="s">
        <v>107</v>
      </c>
      <c r="O85" s="85" t="s">
        <v>107</v>
      </c>
      <c r="P85" s="85" t="s">
        <v>107</v>
      </c>
      <c r="Q85" s="85" t="s">
        <v>59</v>
      </c>
      <c r="R85" s="85" t="s">
        <v>107</v>
      </c>
      <c r="S85" s="85" t="s">
        <v>107</v>
      </c>
      <c r="T85" s="85" t="s">
        <v>107</v>
      </c>
      <c r="U85" s="85" t="s">
        <v>107</v>
      </c>
      <c r="V85" s="85" t="s">
        <v>107</v>
      </c>
      <c r="W85" s="85" t="s">
        <v>107</v>
      </c>
      <c r="X85" s="85" t="s">
        <v>107</v>
      </c>
      <c r="Y85" s="85" t="s">
        <v>107</v>
      </c>
      <c r="Z85" s="85" t="s">
        <v>107</v>
      </c>
      <c r="AA85" s="85" t="s">
        <v>107</v>
      </c>
      <c r="AB85" s="85" t="s">
        <v>107</v>
      </c>
      <c r="AC85" s="85" t="s">
        <v>107</v>
      </c>
      <c r="AD85" s="85" t="s">
        <v>107</v>
      </c>
      <c r="AE85" s="85" t="s">
        <v>107</v>
      </c>
      <c r="AF85" s="85" t="s">
        <v>107</v>
      </c>
      <c r="AG85" s="85" t="s">
        <v>59</v>
      </c>
      <c r="AH85" s="85" t="s">
        <v>107</v>
      </c>
      <c r="AI85" s="85" t="s">
        <v>107</v>
      </c>
      <c r="AJ85" s="85" t="s">
        <v>107</v>
      </c>
      <c r="AK85" s="85" t="s">
        <v>107</v>
      </c>
      <c r="AL85" s="85" t="s">
        <v>107</v>
      </c>
      <c r="AM85" s="85" t="s">
        <v>107</v>
      </c>
      <c r="AN85" s="86">
        <v>43385</v>
      </c>
      <c r="AO85" s="86">
        <v>43385</v>
      </c>
      <c r="AP85" s="86">
        <v>43385</v>
      </c>
      <c r="AQ85" s="86">
        <v>43385</v>
      </c>
      <c r="AR85" s="86">
        <v>43385</v>
      </c>
      <c r="AS85" s="86">
        <v>43385</v>
      </c>
      <c r="AT85" s="86">
        <v>43385</v>
      </c>
      <c r="AU85" s="86" t="s">
        <v>107</v>
      </c>
      <c r="AV85" s="86">
        <v>43385</v>
      </c>
      <c r="AW85" s="86">
        <v>43385</v>
      </c>
    </row>
    <row r="86" spans="1:49" x14ac:dyDescent="0.2">
      <c r="A86" s="85" t="s">
        <v>376</v>
      </c>
      <c r="B86" s="85" t="s">
        <v>377</v>
      </c>
      <c r="C86" s="85" t="s">
        <v>378</v>
      </c>
      <c r="D86" s="85" t="s">
        <v>379</v>
      </c>
      <c r="E86" s="85" t="s">
        <v>126</v>
      </c>
      <c r="F86" s="85" t="s">
        <v>113</v>
      </c>
      <c r="G86" s="85" t="s">
        <v>4</v>
      </c>
      <c r="H86" s="85" t="s">
        <v>6</v>
      </c>
      <c r="I86" s="86">
        <v>43425</v>
      </c>
      <c r="J86" s="86">
        <v>43364</v>
      </c>
      <c r="K86" s="86">
        <v>43425</v>
      </c>
      <c r="L86" s="85" t="s">
        <v>99</v>
      </c>
      <c r="M86" s="86">
        <v>42866</v>
      </c>
      <c r="N86" s="85" t="s">
        <v>107</v>
      </c>
      <c r="O86" s="86">
        <v>42778</v>
      </c>
      <c r="P86" s="86">
        <v>43207</v>
      </c>
      <c r="Q86" s="85" t="s">
        <v>59</v>
      </c>
      <c r="R86" s="85" t="s">
        <v>1652</v>
      </c>
      <c r="S86" s="86">
        <v>43739</v>
      </c>
      <c r="T86" s="85" t="s">
        <v>1652</v>
      </c>
      <c r="U86" s="86">
        <v>43270</v>
      </c>
      <c r="V86" s="86">
        <v>43646</v>
      </c>
      <c r="W86" s="85" t="s">
        <v>1653</v>
      </c>
      <c r="X86" s="85" t="s">
        <v>114</v>
      </c>
      <c r="Y86" s="85">
        <v>1</v>
      </c>
      <c r="Z86" s="85" t="s">
        <v>114</v>
      </c>
      <c r="AA86" s="85"/>
      <c r="AB86" s="85" t="s">
        <v>114</v>
      </c>
      <c r="AC86" s="85" t="s">
        <v>114</v>
      </c>
      <c r="AD86" s="85" t="s">
        <v>114</v>
      </c>
      <c r="AE86" s="85"/>
      <c r="AF86" s="85"/>
      <c r="AG86" s="86">
        <v>43500</v>
      </c>
      <c r="AH86" s="85" t="s">
        <v>107</v>
      </c>
      <c r="AI86" s="85"/>
      <c r="AJ86" s="85"/>
      <c r="AK86" s="86">
        <v>42629</v>
      </c>
      <c r="AL86" s="86">
        <v>42278</v>
      </c>
      <c r="AM86" s="86">
        <v>42278</v>
      </c>
      <c r="AN86" s="85"/>
      <c r="AO86" s="86">
        <v>43210</v>
      </c>
      <c r="AP86" s="86">
        <v>43146</v>
      </c>
      <c r="AQ86" s="86">
        <v>43146</v>
      </c>
      <c r="AR86" s="86">
        <v>43146</v>
      </c>
      <c r="AS86" s="86">
        <v>43146</v>
      </c>
      <c r="AT86" s="86">
        <v>43146</v>
      </c>
      <c r="AU86" s="86">
        <v>43146</v>
      </c>
      <c r="AV86" s="86">
        <v>43146</v>
      </c>
      <c r="AW86" s="86">
        <v>43146</v>
      </c>
    </row>
    <row r="87" spans="1:49" x14ac:dyDescent="0.2">
      <c r="A87" s="85" t="s">
        <v>1549</v>
      </c>
      <c r="B87" s="85" t="s">
        <v>1550</v>
      </c>
      <c r="C87" s="85" t="s">
        <v>1551</v>
      </c>
      <c r="D87" s="85" t="s">
        <v>142</v>
      </c>
      <c r="E87" s="85" t="s">
        <v>158</v>
      </c>
      <c r="F87" s="85" t="s">
        <v>113</v>
      </c>
      <c r="G87" s="85" t="s">
        <v>4</v>
      </c>
      <c r="H87" s="85" t="s">
        <v>8</v>
      </c>
      <c r="I87" s="86">
        <v>43441</v>
      </c>
      <c r="J87" s="86">
        <v>43327</v>
      </c>
      <c r="K87" s="86">
        <v>43497</v>
      </c>
      <c r="L87" s="85" t="s">
        <v>99</v>
      </c>
      <c r="M87" s="86">
        <v>43221</v>
      </c>
      <c r="N87" s="85" t="s">
        <v>107</v>
      </c>
      <c r="O87" s="86">
        <v>43497</v>
      </c>
      <c r="P87" s="86">
        <v>43418</v>
      </c>
      <c r="Q87" s="86">
        <v>43862</v>
      </c>
      <c r="R87" s="85" t="s">
        <v>1652</v>
      </c>
      <c r="S87" s="86">
        <v>43709</v>
      </c>
      <c r="T87" s="85" t="s">
        <v>1652</v>
      </c>
      <c r="U87" s="86">
        <v>43420</v>
      </c>
      <c r="V87" s="86">
        <v>43616</v>
      </c>
      <c r="W87" s="85" t="s">
        <v>1655</v>
      </c>
      <c r="X87" s="85" t="s">
        <v>114</v>
      </c>
      <c r="Y87" s="85">
        <v>1</v>
      </c>
      <c r="Z87" s="85" t="s">
        <v>114</v>
      </c>
      <c r="AA87" s="85"/>
      <c r="AB87" s="85" t="s">
        <v>114</v>
      </c>
      <c r="AC87" s="85" t="s">
        <v>114</v>
      </c>
      <c r="AD87" s="85" t="s">
        <v>114</v>
      </c>
      <c r="AE87" s="85"/>
      <c r="AF87" s="85"/>
      <c r="AG87" s="86">
        <v>43340</v>
      </c>
      <c r="AH87" s="85" t="s">
        <v>1935</v>
      </c>
      <c r="AI87" s="85"/>
      <c r="AJ87" s="85" t="s">
        <v>1765</v>
      </c>
      <c r="AK87" s="86">
        <v>42362</v>
      </c>
      <c r="AL87" s="85"/>
      <c r="AM87" s="85"/>
      <c r="AN87" s="86">
        <v>43479</v>
      </c>
      <c r="AO87" s="86">
        <v>43325</v>
      </c>
      <c r="AP87" s="86">
        <v>43325</v>
      </c>
      <c r="AQ87" s="86">
        <v>43325</v>
      </c>
      <c r="AR87" s="86">
        <v>43325</v>
      </c>
      <c r="AS87" s="86">
        <v>43325</v>
      </c>
      <c r="AT87" s="86">
        <v>43325</v>
      </c>
      <c r="AU87" s="86">
        <v>43325</v>
      </c>
      <c r="AV87" s="86">
        <v>43325</v>
      </c>
      <c r="AW87" s="86">
        <v>43325</v>
      </c>
    </row>
    <row r="88" spans="1:49" x14ac:dyDescent="0.2">
      <c r="A88" s="85" t="s">
        <v>380</v>
      </c>
      <c r="B88" s="85" t="s">
        <v>381</v>
      </c>
      <c r="C88" s="85" t="s">
        <v>382</v>
      </c>
      <c r="D88" s="85" t="s">
        <v>383</v>
      </c>
      <c r="E88" s="85" t="s">
        <v>119</v>
      </c>
      <c r="F88" s="85" t="s">
        <v>100</v>
      </c>
      <c r="G88" s="85" t="s">
        <v>4</v>
      </c>
      <c r="H88" s="85" t="s">
        <v>9</v>
      </c>
      <c r="I88" s="86">
        <v>43476</v>
      </c>
      <c r="J88" s="86">
        <v>43430</v>
      </c>
      <c r="K88" s="86">
        <v>43419</v>
      </c>
      <c r="L88" s="85" t="s">
        <v>99</v>
      </c>
      <c r="M88" s="86">
        <v>43223</v>
      </c>
      <c r="N88" s="86">
        <v>43223</v>
      </c>
      <c r="O88" s="86">
        <v>42915</v>
      </c>
      <c r="P88" s="86">
        <v>43277</v>
      </c>
      <c r="Q88" s="86">
        <v>43587</v>
      </c>
      <c r="R88" s="85" t="s">
        <v>1652</v>
      </c>
      <c r="S88" s="86">
        <v>44501</v>
      </c>
      <c r="T88" s="85" t="s">
        <v>1652</v>
      </c>
      <c r="U88" s="85" t="s">
        <v>107</v>
      </c>
      <c r="V88" s="85" t="s">
        <v>107</v>
      </c>
      <c r="W88" s="85" t="s">
        <v>107</v>
      </c>
      <c r="X88" s="85" t="s">
        <v>107</v>
      </c>
      <c r="Y88" s="85" t="s">
        <v>107</v>
      </c>
      <c r="Z88" s="85" t="s">
        <v>107</v>
      </c>
      <c r="AA88" s="85" t="s">
        <v>107</v>
      </c>
      <c r="AB88" s="85" t="s">
        <v>107</v>
      </c>
      <c r="AC88" s="85" t="s">
        <v>107</v>
      </c>
      <c r="AD88" s="85" t="s">
        <v>107</v>
      </c>
      <c r="AE88" s="85" t="s">
        <v>107</v>
      </c>
      <c r="AF88" s="85" t="s">
        <v>107</v>
      </c>
      <c r="AG88" s="86">
        <v>43315</v>
      </c>
      <c r="AH88" s="85" t="s">
        <v>107</v>
      </c>
      <c r="AI88" s="85" t="s">
        <v>107</v>
      </c>
      <c r="AJ88" s="85" t="s">
        <v>107</v>
      </c>
      <c r="AK88" s="86">
        <v>42063</v>
      </c>
      <c r="AL88" s="85" t="s">
        <v>107</v>
      </c>
      <c r="AM88" s="85" t="s">
        <v>107</v>
      </c>
      <c r="AN88" s="86">
        <v>43480</v>
      </c>
      <c r="AO88" s="86">
        <v>43214</v>
      </c>
      <c r="AP88" s="86">
        <v>43480</v>
      </c>
      <c r="AQ88" s="86">
        <v>43475</v>
      </c>
      <c r="AR88" s="86">
        <v>43480</v>
      </c>
      <c r="AS88" s="86">
        <v>43480</v>
      </c>
      <c r="AT88" s="86">
        <v>43480</v>
      </c>
      <c r="AU88" s="86">
        <v>43480</v>
      </c>
      <c r="AV88" s="86">
        <v>43480</v>
      </c>
      <c r="AW88" s="86">
        <v>43480</v>
      </c>
    </row>
    <row r="89" spans="1:49" x14ac:dyDescent="0.2">
      <c r="A89" s="85" t="s">
        <v>384</v>
      </c>
      <c r="B89" s="85" t="s">
        <v>385</v>
      </c>
      <c r="C89" s="85" t="s">
        <v>386</v>
      </c>
      <c r="D89" s="85" t="s">
        <v>387</v>
      </c>
      <c r="E89" s="85" t="s">
        <v>105</v>
      </c>
      <c r="F89" s="85" t="s">
        <v>122</v>
      </c>
      <c r="G89" s="85" t="s">
        <v>4</v>
      </c>
      <c r="H89" s="85" t="s">
        <v>12</v>
      </c>
      <c r="I89" s="86">
        <v>43194</v>
      </c>
      <c r="J89" s="86">
        <v>43220</v>
      </c>
      <c r="K89" s="86">
        <v>43220</v>
      </c>
      <c r="L89" s="85" t="s">
        <v>99</v>
      </c>
      <c r="M89" s="86">
        <v>43273</v>
      </c>
      <c r="N89" s="85" t="s">
        <v>107</v>
      </c>
      <c r="O89" s="86">
        <v>43220</v>
      </c>
      <c r="P89" s="86">
        <v>43213</v>
      </c>
      <c r="Q89" s="86">
        <v>43581</v>
      </c>
      <c r="R89" s="85" t="s">
        <v>1652</v>
      </c>
      <c r="S89" s="86">
        <v>43770</v>
      </c>
      <c r="T89" s="85" t="s">
        <v>1652</v>
      </c>
      <c r="U89" s="86">
        <v>43487</v>
      </c>
      <c r="V89" s="86">
        <v>43677</v>
      </c>
      <c r="W89" s="85" t="s">
        <v>1655</v>
      </c>
      <c r="X89" s="85" t="s">
        <v>114</v>
      </c>
      <c r="Y89" s="85">
        <v>1</v>
      </c>
      <c r="Z89" s="85" t="s">
        <v>114</v>
      </c>
      <c r="AA89" s="85"/>
      <c r="AB89" s="85" t="s">
        <v>114</v>
      </c>
      <c r="AC89" s="85" t="s">
        <v>114</v>
      </c>
      <c r="AD89" s="85" t="s">
        <v>114</v>
      </c>
      <c r="AE89" s="85"/>
      <c r="AF89" s="85"/>
      <c r="AG89" s="86">
        <v>43216</v>
      </c>
      <c r="AH89" s="85" t="s">
        <v>107</v>
      </c>
      <c r="AI89" s="86">
        <v>42896</v>
      </c>
      <c r="AJ89" s="86">
        <v>43219</v>
      </c>
      <c r="AK89" s="86">
        <v>43220</v>
      </c>
      <c r="AL89" s="85" t="s">
        <v>107</v>
      </c>
      <c r="AM89" s="85" t="s">
        <v>107</v>
      </c>
      <c r="AN89" s="85"/>
      <c r="AO89" s="86">
        <v>43216</v>
      </c>
      <c r="AP89" s="86">
        <v>43157</v>
      </c>
      <c r="AQ89" s="86">
        <v>42927</v>
      </c>
      <c r="AR89" s="86">
        <v>43125</v>
      </c>
      <c r="AS89" s="86">
        <v>43259</v>
      </c>
      <c r="AT89" s="86">
        <v>43125</v>
      </c>
      <c r="AU89" s="86">
        <v>43125</v>
      </c>
      <c r="AV89" s="86">
        <v>43125</v>
      </c>
      <c r="AW89" s="86">
        <v>43125</v>
      </c>
    </row>
    <row r="90" spans="1:49" x14ac:dyDescent="0.2">
      <c r="A90" s="85" t="s">
        <v>388</v>
      </c>
      <c r="B90" s="85" t="s">
        <v>389</v>
      </c>
      <c r="C90" s="85" t="s">
        <v>390</v>
      </c>
      <c r="D90" s="85" t="s">
        <v>391</v>
      </c>
      <c r="E90" s="85" t="s">
        <v>141</v>
      </c>
      <c r="F90" s="85" t="s">
        <v>106</v>
      </c>
      <c r="G90" s="85" t="s">
        <v>4</v>
      </c>
      <c r="H90" s="85" t="s">
        <v>12</v>
      </c>
      <c r="I90" s="85" t="s">
        <v>107</v>
      </c>
      <c r="J90" s="85" t="s">
        <v>59</v>
      </c>
      <c r="K90" s="85" t="s">
        <v>59</v>
      </c>
      <c r="L90" s="85" t="s">
        <v>107</v>
      </c>
      <c r="M90" s="85" t="s">
        <v>107</v>
      </c>
      <c r="N90" s="85" t="s">
        <v>107</v>
      </c>
      <c r="O90" s="85" t="s">
        <v>107</v>
      </c>
      <c r="P90" s="85" t="s">
        <v>107</v>
      </c>
      <c r="Q90" s="85" t="s">
        <v>59</v>
      </c>
      <c r="R90" s="85" t="s">
        <v>107</v>
      </c>
      <c r="S90" s="85" t="s">
        <v>107</v>
      </c>
      <c r="T90" s="85" t="s">
        <v>107</v>
      </c>
      <c r="U90" s="85" t="s">
        <v>107</v>
      </c>
      <c r="V90" s="85" t="s">
        <v>107</v>
      </c>
      <c r="W90" s="85" t="s">
        <v>107</v>
      </c>
      <c r="X90" s="85" t="s">
        <v>107</v>
      </c>
      <c r="Y90" s="85" t="s">
        <v>107</v>
      </c>
      <c r="Z90" s="85" t="s">
        <v>107</v>
      </c>
      <c r="AA90" s="85" t="s">
        <v>107</v>
      </c>
      <c r="AB90" s="85" t="s">
        <v>107</v>
      </c>
      <c r="AC90" s="85" t="s">
        <v>107</v>
      </c>
      <c r="AD90" s="85" t="s">
        <v>107</v>
      </c>
      <c r="AE90" s="85" t="s">
        <v>107</v>
      </c>
      <c r="AF90" s="85" t="s">
        <v>107</v>
      </c>
      <c r="AG90" s="86">
        <v>43191</v>
      </c>
      <c r="AH90" s="85" t="s">
        <v>107</v>
      </c>
      <c r="AI90" s="85" t="s">
        <v>107</v>
      </c>
      <c r="AJ90" s="85" t="s">
        <v>107</v>
      </c>
      <c r="AK90" s="85" t="s">
        <v>107</v>
      </c>
      <c r="AL90" s="85" t="s">
        <v>107</v>
      </c>
      <c r="AM90" s="85" t="s">
        <v>107</v>
      </c>
      <c r="AN90" s="85"/>
      <c r="AO90" s="85"/>
      <c r="AP90" s="86">
        <v>43046</v>
      </c>
      <c r="AQ90" s="86">
        <v>42900</v>
      </c>
      <c r="AR90" s="85"/>
      <c r="AS90" s="85"/>
      <c r="AT90" s="86">
        <v>42900</v>
      </c>
      <c r="AU90" s="85" t="s">
        <v>107</v>
      </c>
      <c r="AV90" s="85"/>
      <c r="AW90" s="85"/>
    </row>
    <row r="91" spans="1:49" x14ac:dyDescent="0.2">
      <c r="A91" s="85" t="s">
        <v>392</v>
      </c>
      <c r="B91" s="85" t="s">
        <v>393</v>
      </c>
      <c r="C91" s="85" t="s">
        <v>394</v>
      </c>
      <c r="D91" s="85" t="s">
        <v>395</v>
      </c>
      <c r="E91" s="85" t="s">
        <v>105</v>
      </c>
      <c r="F91" s="85" t="s">
        <v>122</v>
      </c>
      <c r="G91" s="85" t="s">
        <v>4</v>
      </c>
      <c r="H91" s="85" t="s">
        <v>10</v>
      </c>
      <c r="I91" s="86">
        <v>43500</v>
      </c>
      <c r="J91" s="86">
        <v>43258</v>
      </c>
      <c r="K91" s="86">
        <v>43351</v>
      </c>
      <c r="L91" s="85" t="s">
        <v>99</v>
      </c>
      <c r="M91" s="86">
        <v>42675</v>
      </c>
      <c r="N91" s="85" t="s">
        <v>107</v>
      </c>
      <c r="O91" s="86">
        <v>42584</v>
      </c>
      <c r="P91" s="86">
        <v>43325</v>
      </c>
      <c r="Q91" s="86">
        <v>43490</v>
      </c>
      <c r="R91" s="85" t="s">
        <v>1652</v>
      </c>
      <c r="S91" s="86">
        <v>43709</v>
      </c>
      <c r="T91" s="85" t="s">
        <v>1652</v>
      </c>
      <c r="U91" s="86">
        <v>43265</v>
      </c>
      <c r="V91" s="86">
        <v>43646</v>
      </c>
      <c r="W91" s="85" t="s">
        <v>1653</v>
      </c>
      <c r="X91" s="85" t="s">
        <v>114</v>
      </c>
      <c r="Y91" s="85">
        <v>2</v>
      </c>
      <c r="Z91" s="85" t="s">
        <v>114</v>
      </c>
      <c r="AA91" s="85"/>
      <c r="AB91" s="85" t="s">
        <v>211</v>
      </c>
      <c r="AC91" s="85" t="s">
        <v>114</v>
      </c>
      <c r="AD91" s="85" t="s">
        <v>211</v>
      </c>
      <c r="AE91" s="85" t="s">
        <v>1666</v>
      </c>
      <c r="AF91" s="86">
        <v>43590</v>
      </c>
      <c r="AG91" s="86">
        <v>43165</v>
      </c>
      <c r="AH91" s="85" t="s">
        <v>107</v>
      </c>
      <c r="AI91" s="86">
        <v>43380</v>
      </c>
      <c r="AJ91" s="86">
        <v>43380</v>
      </c>
      <c r="AK91" s="86">
        <v>42675</v>
      </c>
      <c r="AL91" s="85" t="s">
        <v>107</v>
      </c>
      <c r="AM91" s="85" t="s">
        <v>107</v>
      </c>
      <c r="AN91" s="86">
        <v>43403</v>
      </c>
      <c r="AO91" s="86">
        <v>43210</v>
      </c>
      <c r="AP91" s="86">
        <v>43046</v>
      </c>
      <c r="AQ91" s="86">
        <v>42758</v>
      </c>
      <c r="AR91" s="86">
        <v>43509</v>
      </c>
      <c r="AS91" s="86">
        <v>43509</v>
      </c>
      <c r="AT91" s="86">
        <v>43509</v>
      </c>
      <c r="AU91" s="86">
        <v>43509</v>
      </c>
      <c r="AV91" s="86">
        <v>43509</v>
      </c>
      <c r="AW91" s="86">
        <v>43509</v>
      </c>
    </row>
    <row r="92" spans="1:49" x14ac:dyDescent="0.2">
      <c r="A92" s="85" t="s">
        <v>396</v>
      </c>
      <c r="B92" s="85" t="s">
        <v>397</v>
      </c>
      <c r="C92" s="85" t="s">
        <v>398</v>
      </c>
      <c r="D92" s="85" t="s">
        <v>399</v>
      </c>
      <c r="E92" s="85" t="s">
        <v>143</v>
      </c>
      <c r="F92" s="85" t="s">
        <v>122</v>
      </c>
      <c r="G92" s="85" t="s">
        <v>4</v>
      </c>
      <c r="H92" s="85" t="s">
        <v>8</v>
      </c>
      <c r="I92" s="86">
        <v>43367</v>
      </c>
      <c r="J92" s="86">
        <v>43498</v>
      </c>
      <c r="K92" s="86">
        <v>43498</v>
      </c>
      <c r="L92" s="85" t="s">
        <v>99</v>
      </c>
      <c r="M92" s="86">
        <v>43136</v>
      </c>
      <c r="N92" s="85" t="s">
        <v>107</v>
      </c>
      <c r="O92" s="86">
        <v>43275</v>
      </c>
      <c r="P92" s="86">
        <v>43158</v>
      </c>
      <c r="Q92" s="86">
        <v>43502</v>
      </c>
      <c r="R92" s="85" t="s">
        <v>1652</v>
      </c>
      <c r="S92" s="86">
        <v>44013</v>
      </c>
      <c r="T92" s="85" t="s">
        <v>1652</v>
      </c>
      <c r="U92" s="86">
        <v>43470</v>
      </c>
      <c r="V92" s="86">
        <v>43677</v>
      </c>
      <c r="W92" s="85" t="s">
        <v>1655</v>
      </c>
      <c r="X92" s="85" t="s">
        <v>114</v>
      </c>
      <c r="Y92" s="85">
        <v>2</v>
      </c>
      <c r="Z92" s="85" t="s">
        <v>114</v>
      </c>
      <c r="AA92" s="85"/>
      <c r="AB92" s="85" t="s">
        <v>114</v>
      </c>
      <c r="AC92" s="85" t="s">
        <v>114</v>
      </c>
      <c r="AD92" s="85" t="s">
        <v>114</v>
      </c>
      <c r="AE92" s="85"/>
      <c r="AF92" s="85"/>
      <c r="AG92" s="86">
        <v>43325</v>
      </c>
      <c r="AH92" s="85" t="s">
        <v>107</v>
      </c>
      <c r="AI92" s="86">
        <v>43130</v>
      </c>
      <c r="AJ92" s="86">
        <v>43377</v>
      </c>
      <c r="AK92" s="86">
        <v>43137</v>
      </c>
      <c r="AL92" s="85" t="s">
        <v>107</v>
      </c>
      <c r="AM92" s="85" t="s">
        <v>107</v>
      </c>
      <c r="AN92" s="86">
        <v>43502</v>
      </c>
      <c r="AO92" s="86">
        <v>43207</v>
      </c>
      <c r="AP92" s="86">
        <v>43502</v>
      </c>
      <c r="AQ92" s="86">
        <v>43136</v>
      </c>
      <c r="AR92" s="86">
        <v>43502</v>
      </c>
      <c r="AS92" s="86">
        <v>43502</v>
      </c>
      <c r="AT92" s="86">
        <v>43502</v>
      </c>
      <c r="AU92" s="86">
        <v>43502</v>
      </c>
      <c r="AV92" s="86">
        <v>43502</v>
      </c>
      <c r="AW92" s="86">
        <v>43502</v>
      </c>
    </row>
    <row r="93" spans="1:49" x14ac:dyDescent="0.2">
      <c r="A93" s="85" t="s">
        <v>1600</v>
      </c>
      <c r="B93" s="85" t="s">
        <v>1601</v>
      </c>
      <c r="C93" s="85" t="s">
        <v>1602</v>
      </c>
      <c r="D93" s="85" t="s">
        <v>656</v>
      </c>
      <c r="E93" s="85" t="s">
        <v>143</v>
      </c>
      <c r="F93" s="85" t="s">
        <v>127</v>
      </c>
      <c r="G93" s="85" t="s">
        <v>4</v>
      </c>
      <c r="H93" s="85" t="s">
        <v>12</v>
      </c>
      <c r="I93" s="86">
        <v>43353</v>
      </c>
      <c r="J93" s="86">
        <v>43318</v>
      </c>
      <c r="K93" s="86">
        <v>42992</v>
      </c>
      <c r="L93" s="85" t="s">
        <v>99</v>
      </c>
      <c r="M93" s="86">
        <v>42758</v>
      </c>
      <c r="N93" s="85" t="s">
        <v>107</v>
      </c>
      <c r="O93" s="86">
        <v>42594</v>
      </c>
      <c r="P93" s="86">
        <v>43377</v>
      </c>
      <c r="Q93" s="86">
        <v>365</v>
      </c>
      <c r="R93" s="85" t="s">
        <v>1652</v>
      </c>
      <c r="S93" s="86">
        <v>43586</v>
      </c>
      <c r="T93" s="85" t="s">
        <v>1652</v>
      </c>
      <c r="U93" s="86">
        <v>43403</v>
      </c>
      <c r="V93" s="86">
        <v>43585</v>
      </c>
      <c r="W93" s="85" t="s">
        <v>1657</v>
      </c>
      <c r="X93" s="85" t="s">
        <v>114</v>
      </c>
      <c r="Y93" s="85">
        <v>1</v>
      </c>
      <c r="Z93" s="85" t="s">
        <v>114</v>
      </c>
      <c r="AA93" s="85"/>
      <c r="AB93" s="85" t="s">
        <v>114</v>
      </c>
      <c r="AC93" s="85" t="s">
        <v>114</v>
      </c>
      <c r="AD93" s="85" t="s">
        <v>114</v>
      </c>
      <c r="AE93" s="85"/>
      <c r="AF93" s="85"/>
      <c r="AG93" s="86">
        <v>43340</v>
      </c>
      <c r="AH93" s="85" t="s">
        <v>107</v>
      </c>
      <c r="AI93" s="85"/>
      <c r="AJ93" s="85" t="s">
        <v>1768</v>
      </c>
      <c r="AK93" s="86">
        <v>42892</v>
      </c>
      <c r="AL93" s="86">
        <v>42474</v>
      </c>
      <c r="AM93" s="86">
        <v>42474</v>
      </c>
      <c r="AN93" s="85"/>
      <c r="AO93" s="86">
        <v>43314</v>
      </c>
      <c r="AP93" s="86">
        <v>43314</v>
      </c>
      <c r="AQ93" s="86">
        <v>43314</v>
      </c>
      <c r="AR93" s="86">
        <v>43314</v>
      </c>
      <c r="AS93" s="86">
        <v>43314</v>
      </c>
      <c r="AT93" s="86">
        <v>43314</v>
      </c>
      <c r="AU93" s="86">
        <v>43314</v>
      </c>
      <c r="AV93" s="86">
        <v>43314</v>
      </c>
      <c r="AW93" s="86">
        <v>43314</v>
      </c>
    </row>
    <row r="94" spans="1:49" x14ac:dyDescent="0.2">
      <c r="A94" s="85" t="s">
        <v>401</v>
      </c>
      <c r="B94" s="85" t="s">
        <v>402</v>
      </c>
      <c r="C94" s="85" t="s">
        <v>403</v>
      </c>
      <c r="D94" s="85" t="s">
        <v>404</v>
      </c>
      <c r="E94" s="85"/>
      <c r="F94" s="85" t="s">
        <v>144</v>
      </c>
      <c r="G94" s="85" t="s">
        <v>4</v>
      </c>
      <c r="H94" s="85" t="s">
        <v>5</v>
      </c>
      <c r="I94" s="86">
        <v>43477</v>
      </c>
      <c r="J94" s="86">
        <v>43477</v>
      </c>
      <c r="K94" s="86">
        <v>43495</v>
      </c>
      <c r="L94" s="85" t="s">
        <v>99</v>
      </c>
      <c r="M94" s="86">
        <v>43379</v>
      </c>
      <c r="N94" s="85" t="s">
        <v>107</v>
      </c>
      <c r="O94" s="86">
        <v>42804</v>
      </c>
      <c r="P94" s="86">
        <v>43271</v>
      </c>
      <c r="Q94" s="86">
        <v>43512</v>
      </c>
      <c r="R94" s="85" t="s">
        <v>1652</v>
      </c>
      <c r="S94" s="86">
        <v>43922</v>
      </c>
      <c r="T94" s="85" t="s">
        <v>1652</v>
      </c>
      <c r="U94" s="86">
        <v>43398</v>
      </c>
      <c r="V94" s="86">
        <v>43585</v>
      </c>
      <c r="W94" s="85" t="s">
        <v>1655</v>
      </c>
      <c r="X94" s="85" t="s">
        <v>114</v>
      </c>
      <c r="Y94" s="85">
        <v>1</v>
      </c>
      <c r="Z94" s="85" t="s">
        <v>211</v>
      </c>
      <c r="AA94" s="85"/>
      <c r="AB94" s="85" t="s">
        <v>114</v>
      </c>
      <c r="AC94" s="85" t="s">
        <v>114</v>
      </c>
      <c r="AD94" s="85" t="s">
        <v>211</v>
      </c>
      <c r="AE94" s="85" t="s">
        <v>1661</v>
      </c>
      <c r="AF94" s="86">
        <v>43587</v>
      </c>
      <c r="AG94" s="86">
        <v>43514</v>
      </c>
      <c r="AH94" s="85" t="s">
        <v>107</v>
      </c>
      <c r="AI94" s="85"/>
      <c r="AJ94" s="85"/>
      <c r="AK94" s="86">
        <v>41959</v>
      </c>
      <c r="AL94" s="86">
        <v>42131</v>
      </c>
      <c r="AM94" s="86">
        <v>42131</v>
      </c>
      <c r="AN94" s="86">
        <v>43375</v>
      </c>
      <c r="AO94" s="86">
        <v>43207</v>
      </c>
      <c r="AP94" s="86">
        <v>43044</v>
      </c>
      <c r="AQ94" s="86">
        <v>42972</v>
      </c>
      <c r="AR94" s="86">
        <v>43147</v>
      </c>
      <c r="AS94" s="86">
        <v>43147</v>
      </c>
      <c r="AT94" s="86">
        <v>43147</v>
      </c>
      <c r="AU94" s="86">
        <v>43147</v>
      </c>
      <c r="AV94" s="86">
        <v>43147</v>
      </c>
      <c r="AW94" s="86">
        <v>43147</v>
      </c>
    </row>
    <row r="95" spans="1:49" x14ac:dyDescent="0.2">
      <c r="A95" s="85" t="s">
        <v>405</v>
      </c>
      <c r="B95" s="85" t="s">
        <v>406</v>
      </c>
      <c r="C95" s="85" t="s">
        <v>403</v>
      </c>
      <c r="D95" s="85" t="s">
        <v>407</v>
      </c>
      <c r="E95" s="85" t="s">
        <v>149</v>
      </c>
      <c r="F95" s="85" t="s">
        <v>144</v>
      </c>
      <c r="G95" s="85" t="s">
        <v>4</v>
      </c>
      <c r="H95" s="85" t="s">
        <v>7</v>
      </c>
      <c r="I95" s="86">
        <v>43341</v>
      </c>
      <c r="J95" s="86">
        <v>43385</v>
      </c>
      <c r="K95" s="86">
        <v>43113</v>
      </c>
      <c r="L95" s="85" t="s">
        <v>99</v>
      </c>
      <c r="M95" s="86">
        <v>42273</v>
      </c>
      <c r="N95" s="85" t="s">
        <v>107</v>
      </c>
      <c r="O95" s="86">
        <v>42890</v>
      </c>
      <c r="P95" s="86">
        <v>43207</v>
      </c>
      <c r="Q95" s="85" t="s">
        <v>59</v>
      </c>
      <c r="R95" s="85" t="s">
        <v>1652</v>
      </c>
      <c r="S95" s="86">
        <v>43739</v>
      </c>
      <c r="T95" s="85" t="s">
        <v>1652</v>
      </c>
      <c r="U95" s="86">
        <v>43326</v>
      </c>
      <c r="V95" s="86">
        <v>43708</v>
      </c>
      <c r="W95" s="85" t="s">
        <v>1653</v>
      </c>
      <c r="X95" s="85" t="s">
        <v>114</v>
      </c>
      <c r="Y95" s="85">
        <v>1</v>
      </c>
      <c r="Z95" s="85" t="s">
        <v>114</v>
      </c>
      <c r="AA95" s="85" t="s">
        <v>1659</v>
      </c>
      <c r="AB95" s="85" t="s">
        <v>114</v>
      </c>
      <c r="AC95" s="85" t="s">
        <v>114</v>
      </c>
      <c r="AD95" s="85" t="s">
        <v>114</v>
      </c>
      <c r="AE95" s="85" t="s">
        <v>1668</v>
      </c>
      <c r="AF95" s="85"/>
      <c r="AG95" s="86">
        <v>43238</v>
      </c>
      <c r="AH95" s="85" t="s">
        <v>107</v>
      </c>
      <c r="AI95" s="85"/>
      <c r="AJ95" s="85"/>
      <c r="AK95" s="86">
        <v>42467</v>
      </c>
      <c r="AL95" s="85"/>
      <c r="AM95" s="85"/>
      <c r="AN95" s="85"/>
      <c r="AO95" s="86">
        <v>43227</v>
      </c>
      <c r="AP95" s="86">
        <v>43201</v>
      </c>
      <c r="AQ95" s="86">
        <v>43201</v>
      </c>
      <c r="AR95" s="86">
        <v>43201</v>
      </c>
      <c r="AS95" s="86">
        <v>43201</v>
      </c>
      <c r="AT95" s="86">
        <v>43201</v>
      </c>
      <c r="AU95" s="86">
        <v>43201</v>
      </c>
      <c r="AV95" s="86">
        <v>43201</v>
      </c>
      <c r="AW95" s="86">
        <v>43201</v>
      </c>
    </row>
    <row r="96" spans="1:49" x14ac:dyDescent="0.2">
      <c r="A96" s="85" t="s">
        <v>408</v>
      </c>
      <c r="B96" s="85" t="s">
        <v>409</v>
      </c>
      <c r="C96" s="85" t="s">
        <v>410</v>
      </c>
      <c r="D96" s="85" t="s">
        <v>411</v>
      </c>
      <c r="E96" s="85" t="s">
        <v>149</v>
      </c>
      <c r="F96" s="85" t="s">
        <v>113</v>
      </c>
      <c r="G96" s="85" t="s">
        <v>4</v>
      </c>
      <c r="H96" s="85" t="s">
        <v>7</v>
      </c>
      <c r="I96" s="86">
        <v>43408</v>
      </c>
      <c r="J96" s="86">
        <v>43167</v>
      </c>
      <c r="K96" s="86">
        <v>43164</v>
      </c>
      <c r="L96" s="85" t="s">
        <v>99</v>
      </c>
      <c r="M96" s="86">
        <v>43251</v>
      </c>
      <c r="N96" s="85" t="s">
        <v>107</v>
      </c>
      <c r="O96" s="86">
        <v>43164</v>
      </c>
      <c r="P96" s="86">
        <v>43244</v>
      </c>
      <c r="Q96" s="86">
        <v>43532</v>
      </c>
      <c r="R96" s="85" t="s">
        <v>1652</v>
      </c>
      <c r="S96" s="86">
        <v>43709</v>
      </c>
      <c r="T96" s="85" t="s">
        <v>1652</v>
      </c>
      <c r="U96" s="86">
        <v>43188</v>
      </c>
      <c r="V96" s="86">
        <v>43555</v>
      </c>
      <c r="W96" s="85" t="s">
        <v>1653</v>
      </c>
      <c r="X96" s="85" t="s">
        <v>114</v>
      </c>
      <c r="Y96" s="85">
        <v>2</v>
      </c>
      <c r="Z96" s="85" t="s">
        <v>114</v>
      </c>
      <c r="AA96" s="85"/>
      <c r="AB96" s="85" t="s">
        <v>114</v>
      </c>
      <c r="AC96" s="85" t="s">
        <v>114</v>
      </c>
      <c r="AD96" s="85" t="s">
        <v>114</v>
      </c>
      <c r="AE96" s="85"/>
      <c r="AF96" s="85"/>
      <c r="AG96" s="86">
        <v>43167</v>
      </c>
      <c r="AH96" s="85" t="s">
        <v>107</v>
      </c>
      <c r="AI96" s="86">
        <v>42522</v>
      </c>
      <c r="AJ96" s="86">
        <v>43411</v>
      </c>
      <c r="AK96" s="86">
        <v>43164</v>
      </c>
      <c r="AL96" s="85" t="s">
        <v>107</v>
      </c>
      <c r="AM96" s="85" t="s">
        <v>107</v>
      </c>
      <c r="AN96" s="86">
        <v>43398</v>
      </c>
      <c r="AO96" s="86">
        <v>43207</v>
      </c>
      <c r="AP96" s="86">
        <v>43048</v>
      </c>
      <c r="AQ96" s="86">
        <v>43118</v>
      </c>
      <c r="AR96" s="86">
        <v>43118</v>
      </c>
      <c r="AS96" s="86">
        <v>43182</v>
      </c>
      <c r="AT96" s="86">
        <v>43118</v>
      </c>
      <c r="AU96" s="86">
        <v>43118</v>
      </c>
      <c r="AV96" s="86">
        <v>43118</v>
      </c>
      <c r="AW96" s="86">
        <v>43118</v>
      </c>
    </row>
    <row r="97" spans="1:49" x14ac:dyDescent="0.2">
      <c r="A97" s="85" t="s">
        <v>412</v>
      </c>
      <c r="B97" s="85" t="s">
        <v>413</v>
      </c>
      <c r="C97" s="85" t="s">
        <v>414</v>
      </c>
      <c r="D97" s="85" t="s">
        <v>157</v>
      </c>
      <c r="E97" s="85" t="s">
        <v>121</v>
      </c>
      <c r="F97" s="85" t="s">
        <v>106</v>
      </c>
      <c r="G97" s="85" t="s">
        <v>4</v>
      </c>
      <c r="H97" s="85" t="s">
        <v>13</v>
      </c>
      <c r="I97" s="85" t="s">
        <v>107</v>
      </c>
      <c r="J97" s="85" t="s">
        <v>59</v>
      </c>
      <c r="K97" s="85" t="s">
        <v>59</v>
      </c>
      <c r="L97" s="85" t="s">
        <v>107</v>
      </c>
      <c r="M97" s="85" t="s">
        <v>107</v>
      </c>
      <c r="N97" s="85" t="s">
        <v>107</v>
      </c>
      <c r="O97" s="85" t="s">
        <v>107</v>
      </c>
      <c r="P97" s="85" t="s">
        <v>107</v>
      </c>
      <c r="Q97" s="85" t="s">
        <v>59</v>
      </c>
      <c r="R97" s="85" t="s">
        <v>107</v>
      </c>
      <c r="S97" s="85" t="s">
        <v>107</v>
      </c>
      <c r="T97" s="85" t="s">
        <v>107</v>
      </c>
      <c r="U97" s="85" t="s">
        <v>107</v>
      </c>
      <c r="V97" s="85" t="s">
        <v>107</v>
      </c>
      <c r="W97" s="85" t="s">
        <v>107</v>
      </c>
      <c r="X97" s="85" t="s">
        <v>107</v>
      </c>
      <c r="Y97" s="85" t="s">
        <v>107</v>
      </c>
      <c r="Z97" s="85" t="s">
        <v>107</v>
      </c>
      <c r="AA97" s="85" t="s">
        <v>107</v>
      </c>
      <c r="AB97" s="85" t="s">
        <v>107</v>
      </c>
      <c r="AC97" s="85" t="s">
        <v>107</v>
      </c>
      <c r="AD97" s="85" t="s">
        <v>107</v>
      </c>
      <c r="AE97" s="85" t="s">
        <v>107</v>
      </c>
      <c r="AF97" s="85" t="s">
        <v>107</v>
      </c>
      <c r="AG97" s="86">
        <v>43159</v>
      </c>
      <c r="AH97" s="85" t="s">
        <v>107</v>
      </c>
      <c r="AI97" s="85" t="s">
        <v>107</v>
      </c>
      <c r="AJ97" s="85" t="s">
        <v>107</v>
      </c>
      <c r="AK97" s="85" t="s">
        <v>107</v>
      </c>
      <c r="AL97" s="85" t="s">
        <v>107</v>
      </c>
      <c r="AM97" s="85" t="s">
        <v>107</v>
      </c>
      <c r="AN97" s="86">
        <v>43507</v>
      </c>
      <c r="AO97" s="86">
        <v>43207</v>
      </c>
      <c r="AP97" s="86">
        <v>43507</v>
      </c>
      <c r="AQ97" s="86">
        <v>40338</v>
      </c>
      <c r="AR97" s="86">
        <v>43507</v>
      </c>
      <c r="AS97" s="86">
        <v>43507</v>
      </c>
      <c r="AT97" s="86">
        <v>43507</v>
      </c>
      <c r="AU97" s="85" t="s">
        <v>107</v>
      </c>
      <c r="AV97" s="86">
        <v>43507</v>
      </c>
      <c r="AW97" s="86">
        <v>43507</v>
      </c>
    </row>
    <row r="98" spans="1:49" x14ac:dyDescent="0.2">
      <c r="A98" s="85" t="s">
        <v>415</v>
      </c>
      <c r="B98" s="85" t="s">
        <v>416</v>
      </c>
      <c r="C98" s="85" t="s">
        <v>417</v>
      </c>
      <c r="D98" s="85" t="s">
        <v>418</v>
      </c>
      <c r="E98" s="85" t="s">
        <v>126</v>
      </c>
      <c r="F98" s="85" t="s">
        <v>144</v>
      </c>
      <c r="G98" s="85" t="s">
        <v>4</v>
      </c>
      <c r="H98" s="85" t="s">
        <v>8</v>
      </c>
      <c r="I98" s="86">
        <v>43374</v>
      </c>
      <c r="J98" s="86">
        <v>43167</v>
      </c>
      <c r="K98" s="86">
        <v>43167</v>
      </c>
      <c r="L98" s="85" t="s">
        <v>99</v>
      </c>
      <c r="M98" s="86">
        <v>43329</v>
      </c>
      <c r="N98" s="85" t="s">
        <v>107</v>
      </c>
      <c r="O98" s="86">
        <v>43167</v>
      </c>
      <c r="P98" s="86">
        <v>43269</v>
      </c>
      <c r="Q98" s="86">
        <v>43532</v>
      </c>
      <c r="R98" s="85" t="s">
        <v>1652</v>
      </c>
      <c r="S98" s="86">
        <v>43617</v>
      </c>
      <c r="T98" s="85" t="s">
        <v>1652</v>
      </c>
      <c r="U98" s="86">
        <v>43370</v>
      </c>
      <c r="V98" s="86">
        <v>43555</v>
      </c>
      <c r="W98" s="85" t="s">
        <v>1657</v>
      </c>
      <c r="X98" s="85" t="s">
        <v>114</v>
      </c>
      <c r="Y98" s="85">
        <v>1</v>
      </c>
      <c r="Z98" s="85" t="s">
        <v>114</v>
      </c>
      <c r="AA98" s="85"/>
      <c r="AB98" s="85" t="s">
        <v>114</v>
      </c>
      <c r="AC98" s="85" t="s">
        <v>114</v>
      </c>
      <c r="AD98" s="85" t="s">
        <v>114</v>
      </c>
      <c r="AE98" s="85" t="s">
        <v>1660</v>
      </c>
      <c r="AF98" s="85"/>
      <c r="AG98" s="86">
        <v>43199</v>
      </c>
      <c r="AH98" s="85" t="s">
        <v>107</v>
      </c>
      <c r="AI98" s="86">
        <v>41456</v>
      </c>
      <c r="AJ98" s="86">
        <v>43177</v>
      </c>
      <c r="AK98" s="86">
        <v>43167</v>
      </c>
      <c r="AL98" s="85" t="s">
        <v>107</v>
      </c>
      <c r="AM98" s="85" t="s">
        <v>107</v>
      </c>
      <c r="AN98" s="86">
        <v>43405</v>
      </c>
      <c r="AO98" s="86">
        <v>43215</v>
      </c>
      <c r="AP98" s="86">
        <v>43271</v>
      </c>
      <c r="AQ98" s="86">
        <v>43271</v>
      </c>
      <c r="AR98" s="86">
        <v>43271</v>
      </c>
      <c r="AS98" s="86">
        <v>43271</v>
      </c>
      <c r="AT98" s="86">
        <v>43271</v>
      </c>
      <c r="AU98" s="86">
        <v>43271</v>
      </c>
      <c r="AV98" s="86">
        <v>43271</v>
      </c>
      <c r="AW98" s="86">
        <v>43271</v>
      </c>
    </row>
    <row r="99" spans="1:49" x14ac:dyDescent="0.2">
      <c r="A99" s="85" t="s">
        <v>419</v>
      </c>
      <c r="B99" s="85" t="s">
        <v>420</v>
      </c>
      <c r="C99" s="85" t="s">
        <v>417</v>
      </c>
      <c r="D99" s="85" t="s">
        <v>421</v>
      </c>
      <c r="E99" s="85" t="s">
        <v>141</v>
      </c>
      <c r="F99" s="85" t="s">
        <v>245</v>
      </c>
      <c r="G99" s="85" t="s">
        <v>4</v>
      </c>
      <c r="H99" s="85" t="s">
        <v>8</v>
      </c>
      <c r="I99" s="86">
        <v>43475</v>
      </c>
      <c r="J99" s="86">
        <v>43455</v>
      </c>
      <c r="K99" s="86">
        <v>43185</v>
      </c>
      <c r="L99" s="85" t="s">
        <v>99</v>
      </c>
      <c r="M99" s="86">
        <v>42948</v>
      </c>
      <c r="N99" s="85" t="s">
        <v>107</v>
      </c>
      <c r="O99" s="86">
        <v>42781</v>
      </c>
      <c r="P99" s="86">
        <v>43186</v>
      </c>
      <c r="Q99" s="86">
        <v>43550</v>
      </c>
      <c r="R99" s="85" t="s">
        <v>1652</v>
      </c>
      <c r="S99" s="86">
        <v>43586</v>
      </c>
      <c r="T99" s="85" t="s">
        <v>1652</v>
      </c>
      <c r="U99" s="86">
        <v>43493</v>
      </c>
      <c r="V99" s="86">
        <v>43583</v>
      </c>
      <c r="W99" s="85" t="s">
        <v>1791</v>
      </c>
      <c r="X99" s="85" t="s">
        <v>114</v>
      </c>
      <c r="Y99" s="85">
        <v>2</v>
      </c>
      <c r="Z99" s="85" t="s">
        <v>114</v>
      </c>
      <c r="AA99" s="85"/>
      <c r="AB99" s="85" t="s">
        <v>114</v>
      </c>
      <c r="AC99" s="85" t="s">
        <v>114</v>
      </c>
      <c r="AD99" s="85" t="s">
        <v>114</v>
      </c>
      <c r="AE99" s="85" t="s">
        <v>1668</v>
      </c>
      <c r="AF99" s="85"/>
      <c r="AG99" s="86">
        <v>43203</v>
      </c>
      <c r="AH99" s="85" t="s">
        <v>107</v>
      </c>
      <c r="AI99" s="86">
        <v>43220</v>
      </c>
      <c r="AJ99" s="86">
        <v>43377</v>
      </c>
      <c r="AK99" s="86">
        <v>42781</v>
      </c>
      <c r="AL99" s="85" t="s">
        <v>107</v>
      </c>
      <c r="AM99" s="85" t="s">
        <v>107</v>
      </c>
      <c r="AN99" s="86">
        <v>43502</v>
      </c>
      <c r="AO99" s="86">
        <v>43339</v>
      </c>
      <c r="AP99" s="86">
        <v>43502</v>
      </c>
      <c r="AQ99" s="86">
        <v>43179</v>
      </c>
      <c r="AR99" s="86">
        <v>43502</v>
      </c>
      <c r="AS99" s="86">
        <v>43502</v>
      </c>
      <c r="AT99" s="86">
        <v>43502</v>
      </c>
      <c r="AU99" s="86">
        <v>43502</v>
      </c>
      <c r="AV99" s="86">
        <v>43502</v>
      </c>
      <c r="AW99" s="86">
        <v>43502</v>
      </c>
    </row>
    <row r="100" spans="1:49" x14ac:dyDescent="0.2">
      <c r="A100" s="85" t="s">
        <v>422</v>
      </c>
      <c r="B100" s="85" t="s">
        <v>423</v>
      </c>
      <c r="C100" s="85" t="s">
        <v>417</v>
      </c>
      <c r="D100" s="85" t="s">
        <v>171</v>
      </c>
      <c r="E100" s="85" t="s">
        <v>291</v>
      </c>
      <c r="F100" s="85" t="s">
        <v>144</v>
      </c>
      <c r="G100" s="85" t="s">
        <v>4</v>
      </c>
      <c r="H100" s="85" t="s">
        <v>7</v>
      </c>
      <c r="I100" s="86">
        <v>43463</v>
      </c>
      <c r="J100" s="86">
        <v>43262</v>
      </c>
      <c r="K100" s="86">
        <v>43315</v>
      </c>
      <c r="L100" s="85" t="s">
        <v>99</v>
      </c>
      <c r="M100" s="86">
        <v>42893</v>
      </c>
      <c r="N100" s="85" t="s">
        <v>107</v>
      </c>
      <c r="O100" s="86">
        <v>43315</v>
      </c>
      <c r="P100" s="86">
        <v>43276</v>
      </c>
      <c r="Q100" s="86">
        <v>43680</v>
      </c>
      <c r="R100" s="85" t="s">
        <v>1652</v>
      </c>
      <c r="S100" s="86">
        <v>43800</v>
      </c>
      <c r="T100" s="85" t="s">
        <v>1652</v>
      </c>
      <c r="U100" s="86">
        <v>43464</v>
      </c>
      <c r="V100" s="86">
        <v>43646</v>
      </c>
      <c r="W100" s="85" t="s">
        <v>1655</v>
      </c>
      <c r="X100" s="85" t="s">
        <v>114</v>
      </c>
      <c r="Y100" s="85">
        <v>1</v>
      </c>
      <c r="Z100" s="85" t="s">
        <v>114</v>
      </c>
      <c r="AA100" s="85"/>
      <c r="AB100" s="85" t="s">
        <v>114</v>
      </c>
      <c r="AC100" s="85" t="s">
        <v>114</v>
      </c>
      <c r="AD100" s="85" t="s">
        <v>114</v>
      </c>
      <c r="AE100" s="85"/>
      <c r="AF100" s="85"/>
      <c r="AG100" s="86">
        <v>43276</v>
      </c>
      <c r="AH100" s="85" t="s">
        <v>107</v>
      </c>
      <c r="AI100" s="85"/>
      <c r="AJ100" s="85"/>
      <c r="AK100" s="86">
        <v>42890</v>
      </c>
      <c r="AL100" s="85" t="s">
        <v>107</v>
      </c>
      <c r="AM100" s="85" t="s">
        <v>107</v>
      </c>
      <c r="AN100" s="86">
        <v>43398</v>
      </c>
      <c r="AO100" s="86">
        <v>43207</v>
      </c>
      <c r="AP100" s="86">
        <v>43398</v>
      </c>
      <c r="AQ100" s="86">
        <v>43398</v>
      </c>
      <c r="AR100" s="86">
        <v>43398</v>
      </c>
      <c r="AS100" s="86">
        <v>43398</v>
      </c>
      <c r="AT100" s="86">
        <v>43398</v>
      </c>
      <c r="AU100" s="86">
        <v>43398</v>
      </c>
      <c r="AV100" s="86">
        <v>43398</v>
      </c>
      <c r="AW100" s="86">
        <v>43398</v>
      </c>
    </row>
    <row r="101" spans="1:49" x14ac:dyDescent="0.2">
      <c r="A101" s="85" t="s">
        <v>424</v>
      </c>
      <c r="B101" s="85" t="s">
        <v>425</v>
      </c>
      <c r="C101" s="85" t="s">
        <v>417</v>
      </c>
      <c r="D101" s="85" t="s">
        <v>329</v>
      </c>
      <c r="E101" s="85" t="s">
        <v>105</v>
      </c>
      <c r="F101" s="85" t="s">
        <v>106</v>
      </c>
      <c r="G101" s="85" t="s">
        <v>4</v>
      </c>
      <c r="H101" s="85" t="s">
        <v>7</v>
      </c>
      <c r="I101" s="85" t="s">
        <v>107</v>
      </c>
      <c r="J101" s="86">
        <v>43167</v>
      </c>
      <c r="K101" s="86">
        <v>43164</v>
      </c>
      <c r="L101" s="85" t="s">
        <v>107</v>
      </c>
      <c r="M101" s="85" t="s">
        <v>107</v>
      </c>
      <c r="N101" s="85" t="s">
        <v>107</v>
      </c>
      <c r="O101" s="85" t="s">
        <v>107</v>
      </c>
      <c r="P101" s="85" t="s">
        <v>107</v>
      </c>
      <c r="Q101" s="86">
        <v>43532</v>
      </c>
      <c r="R101" s="85" t="s">
        <v>107</v>
      </c>
      <c r="S101" s="85" t="s">
        <v>107</v>
      </c>
      <c r="T101" s="85" t="s">
        <v>107</v>
      </c>
      <c r="U101" s="85" t="s">
        <v>107</v>
      </c>
      <c r="V101" s="85" t="s">
        <v>107</v>
      </c>
      <c r="W101" s="85" t="s">
        <v>107</v>
      </c>
      <c r="X101" s="85" t="s">
        <v>107</v>
      </c>
      <c r="Y101" s="85" t="s">
        <v>107</v>
      </c>
      <c r="Z101" s="85" t="s">
        <v>107</v>
      </c>
      <c r="AA101" s="85" t="s">
        <v>107</v>
      </c>
      <c r="AB101" s="85" t="s">
        <v>107</v>
      </c>
      <c r="AC101" s="85" t="s">
        <v>107</v>
      </c>
      <c r="AD101" s="85" t="s">
        <v>107</v>
      </c>
      <c r="AE101" s="85" t="s">
        <v>107</v>
      </c>
      <c r="AF101" s="85" t="s">
        <v>107</v>
      </c>
      <c r="AG101" s="86">
        <v>43507</v>
      </c>
      <c r="AH101" s="85" t="s">
        <v>107</v>
      </c>
      <c r="AI101" s="85" t="s">
        <v>107</v>
      </c>
      <c r="AJ101" s="85" t="s">
        <v>107</v>
      </c>
      <c r="AK101" s="85" t="s">
        <v>107</v>
      </c>
      <c r="AL101" s="85" t="s">
        <v>107</v>
      </c>
      <c r="AM101" s="85" t="s">
        <v>107</v>
      </c>
      <c r="AN101" s="86">
        <v>43398</v>
      </c>
      <c r="AO101" s="86">
        <v>43207</v>
      </c>
      <c r="AP101" s="86">
        <v>43047</v>
      </c>
      <c r="AQ101" s="86">
        <v>42671</v>
      </c>
      <c r="AR101" s="86">
        <v>43378</v>
      </c>
      <c r="AS101" s="86">
        <v>43403</v>
      </c>
      <c r="AT101" s="86">
        <v>43378</v>
      </c>
      <c r="AU101" s="85" t="s">
        <v>107</v>
      </c>
      <c r="AV101" s="86">
        <v>43378</v>
      </c>
      <c r="AW101" s="86">
        <v>43378</v>
      </c>
    </row>
    <row r="102" spans="1:49" x14ac:dyDescent="0.2">
      <c r="A102" s="85" t="s">
        <v>427</v>
      </c>
      <c r="B102" s="85" t="s">
        <v>428</v>
      </c>
      <c r="C102" s="85" t="s">
        <v>417</v>
      </c>
      <c r="D102" s="85" t="s">
        <v>429</v>
      </c>
      <c r="E102" s="85" t="s">
        <v>141</v>
      </c>
      <c r="F102" s="85" t="s">
        <v>144</v>
      </c>
      <c r="G102" s="85" t="s">
        <v>4</v>
      </c>
      <c r="H102" s="85" t="s">
        <v>7</v>
      </c>
      <c r="I102" s="86">
        <v>43408</v>
      </c>
      <c r="J102" s="86">
        <v>43501</v>
      </c>
      <c r="K102" s="86">
        <v>43505</v>
      </c>
      <c r="L102" s="85" t="s">
        <v>99</v>
      </c>
      <c r="M102" s="86">
        <v>43060</v>
      </c>
      <c r="N102" s="85" t="s">
        <v>107</v>
      </c>
      <c r="O102" s="86">
        <v>42885</v>
      </c>
      <c r="P102" s="86">
        <v>43207</v>
      </c>
      <c r="Q102" s="85" t="s">
        <v>59</v>
      </c>
      <c r="R102" s="85" t="s">
        <v>1652</v>
      </c>
      <c r="S102" s="86">
        <v>43770</v>
      </c>
      <c r="T102" s="85" t="s">
        <v>1652</v>
      </c>
      <c r="U102" s="86">
        <v>43420</v>
      </c>
      <c r="V102" s="86">
        <v>43616</v>
      </c>
      <c r="W102" s="85" t="s">
        <v>1655</v>
      </c>
      <c r="X102" s="85" t="s">
        <v>114</v>
      </c>
      <c r="Y102" s="85">
        <v>1</v>
      </c>
      <c r="Z102" s="85" t="s">
        <v>114</v>
      </c>
      <c r="AA102" s="85"/>
      <c r="AB102" s="85" t="s">
        <v>114</v>
      </c>
      <c r="AC102" s="85" t="s">
        <v>114</v>
      </c>
      <c r="AD102" s="85" t="s">
        <v>114</v>
      </c>
      <c r="AE102" s="85"/>
      <c r="AF102" s="85"/>
      <c r="AG102" s="85" t="s">
        <v>59</v>
      </c>
      <c r="AH102" s="85" t="s">
        <v>107</v>
      </c>
      <c r="AI102" s="86">
        <v>43282</v>
      </c>
      <c r="AJ102" s="86">
        <v>43411</v>
      </c>
      <c r="AK102" s="86">
        <v>43060</v>
      </c>
      <c r="AL102" s="85"/>
      <c r="AM102" s="85"/>
      <c r="AN102" s="86">
        <v>43398</v>
      </c>
      <c r="AO102" s="86">
        <v>43209</v>
      </c>
      <c r="AP102" s="86">
        <v>43209</v>
      </c>
      <c r="AQ102" s="86">
        <v>43209</v>
      </c>
      <c r="AR102" s="86">
        <v>43209</v>
      </c>
      <c r="AS102" s="86">
        <v>43209</v>
      </c>
      <c r="AT102" s="86">
        <v>43209</v>
      </c>
      <c r="AU102" s="86">
        <v>43209</v>
      </c>
      <c r="AV102" s="86">
        <v>43209</v>
      </c>
      <c r="AW102" s="86">
        <v>43209</v>
      </c>
    </row>
    <row r="103" spans="1:49" x14ac:dyDescent="0.2">
      <c r="A103" s="85" t="s">
        <v>430</v>
      </c>
      <c r="B103" s="85" t="s">
        <v>431</v>
      </c>
      <c r="C103" s="85" t="s">
        <v>417</v>
      </c>
      <c r="D103" s="85" t="s">
        <v>399</v>
      </c>
      <c r="E103" s="85" t="s">
        <v>112</v>
      </c>
      <c r="F103" s="85" t="s">
        <v>144</v>
      </c>
      <c r="G103" s="85" t="s">
        <v>4</v>
      </c>
      <c r="H103" s="85" t="s">
        <v>6</v>
      </c>
      <c r="I103" s="86">
        <v>43428</v>
      </c>
      <c r="J103" s="86">
        <v>43508</v>
      </c>
      <c r="K103" s="86">
        <v>43174</v>
      </c>
      <c r="L103" s="85" t="s">
        <v>99</v>
      </c>
      <c r="M103" s="86">
        <v>43164</v>
      </c>
      <c r="N103" s="85" t="s">
        <v>107</v>
      </c>
      <c r="O103" s="86">
        <v>43174</v>
      </c>
      <c r="P103" s="86">
        <v>43276</v>
      </c>
      <c r="Q103" s="86">
        <v>43526</v>
      </c>
      <c r="R103" s="85" t="s">
        <v>1652</v>
      </c>
      <c r="S103" s="86">
        <v>43525</v>
      </c>
      <c r="T103" s="85" t="s">
        <v>1652</v>
      </c>
      <c r="U103" s="86">
        <v>43388</v>
      </c>
      <c r="V103" s="86">
        <v>43585</v>
      </c>
      <c r="W103" s="85" t="s">
        <v>1657</v>
      </c>
      <c r="X103" s="85" t="s">
        <v>114</v>
      </c>
      <c r="Y103" s="85">
        <v>3</v>
      </c>
      <c r="Z103" s="85" t="s">
        <v>114</v>
      </c>
      <c r="AA103" s="85"/>
      <c r="AB103" s="85" t="s">
        <v>114</v>
      </c>
      <c r="AC103" s="85" t="s">
        <v>114</v>
      </c>
      <c r="AD103" s="85" t="s">
        <v>119</v>
      </c>
      <c r="AE103" s="85"/>
      <c r="AF103" s="85"/>
      <c r="AG103" s="86">
        <v>43508</v>
      </c>
      <c r="AH103" s="85" t="s">
        <v>107</v>
      </c>
      <c r="AI103" s="86">
        <v>42521</v>
      </c>
      <c r="AJ103" s="86">
        <v>43201</v>
      </c>
      <c r="AK103" s="86">
        <v>43174</v>
      </c>
      <c r="AL103" s="85" t="s">
        <v>107</v>
      </c>
      <c r="AM103" s="85" t="s">
        <v>107</v>
      </c>
      <c r="AN103" s="86">
        <v>43375</v>
      </c>
      <c r="AO103" s="86">
        <v>43207</v>
      </c>
      <c r="AP103" s="86">
        <v>43053</v>
      </c>
      <c r="AQ103" s="86">
        <v>42069</v>
      </c>
      <c r="AR103" s="86">
        <v>43197</v>
      </c>
      <c r="AS103" s="86">
        <v>43077</v>
      </c>
      <c r="AT103" s="86">
        <v>42803</v>
      </c>
      <c r="AU103" s="86">
        <v>43197</v>
      </c>
      <c r="AV103" s="86">
        <v>43197</v>
      </c>
      <c r="AW103" s="86">
        <v>43197</v>
      </c>
    </row>
    <row r="104" spans="1:49" x14ac:dyDescent="0.2">
      <c r="A104" s="85" t="s">
        <v>432</v>
      </c>
      <c r="B104" s="85" t="s">
        <v>433</v>
      </c>
      <c r="C104" s="85" t="s">
        <v>434</v>
      </c>
      <c r="D104" s="85" t="s">
        <v>435</v>
      </c>
      <c r="E104" s="85" t="s">
        <v>121</v>
      </c>
      <c r="F104" s="85" t="s">
        <v>127</v>
      </c>
      <c r="G104" s="85" t="s">
        <v>4</v>
      </c>
      <c r="H104" s="85" t="s">
        <v>12</v>
      </c>
      <c r="I104" s="86">
        <v>43432</v>
      </c>
      <c r="J104" s="86">
        <v>43314</v>
      </c>
      <c r="K104" s="86">
        <v>43314</v>
      </c>
      <c r="L104" s="85" t="s">
        <v>99</v>
      </c>
      <c r="M104" s="86">
        <v>42958</v>
      </c>
      <c r="N104" s="85" t="s">
        <v>107</v>
      </c>
      <c r="O104" s="86">
        <v>42472</v>
      </c>
      <c r="P104" s="86">
        <v>43377</v>
      </c>
      <c r="Q104" s="86">
        <v>43609</v>
      </c>
      <c r="R104" s="85" t="s">
        <v>1652</v>
      </c>
      <c r="S104" s="86">
        <v>43891</v>
      </c>
      <c r="T104" s="85" t="s">
        <v>1652</v>
      </c>
      <c r="U104" s="86">
        <v>43328</v>
      </c>
      <c r="V104" s="86">
        <v>43708</v>
      </c>
      <c r="W104" s="85" t="s">
        <v>1653</v>
      </c>
      <c r="X104" s="85" t="s">
        <v>114</v>
      </c>
      <c r="Y104" s="85">
        <v>1</v>
      </c>
      <c r="Z104" s="85" t="s">
        <v>114</v>
      </c>
      <c r="AA104" s="85"/>
      <c r="AB104" s="85" t="s">
        <v>114</v>
      </c>
      <c r="AC104" s="85" t="s">
        <v>114</v>
      </c>
      <c r="AD104" s="85" t="s">
        <v>114</v>
      </c>
      <c r="AE104" s="85"/>
      <c r="AF104" s="85"/>
      <c r="AG104" s="86">
        <v>43344</v>
      </c>
      <c r="AH104" s="85" t="s">
        <v>1922</v>
      </c>
      <c r="AI104" s="86">
        <v>42005</v>
      </c>
      <c r="AJ104" s="86">
        <v>43219</v>
      </c>
      <c r="AK104" s="86">
        <v>41603</v>
      </c>
      <c r="AL104" s="85" t="s">
        <v>107</v>
      </c>
      <c r="AM104" s="85" t="s">
        <v>107</v>
      </c>
      <c r="AN104" s="86">
        <v>43376</v>
      </c>
      <c r="AO104" s="86">
        <v>43213</v>
      </c>
      <c r="AP104" s="86">
        <v>43157</v>
      </c>
      <c r="AQ104" s="86">
        <v>42299</v>
      </c>
      <c r="AR104" s="86">
        <v>43157</v>
      </c>
      <c r="AS104" s="86">
        <v>43187</v>
      </c>
      <c r="AT104" s="86">
        <v>43157</v>
      </c>
      <c r="AU104" s="86">
        <v>43157</v>
      </c>
      <c r="AV104" s="86">
        <v>43157</v>
      </c>
      <c r="AW104" s="86">
        <v>43157</v>
      </c>
    </row>
    <row r="105" spans="1:49" x14ac:dyDescent="0.2">
      <c r="A105" s="85" t="s">
        <v>436</v>
      </c>
      <c r="B105" s="85" t="s">
        <v>437</v>
      </c>
      <c r="C105" s="85" t="s">
        <v>438</v>
      </c>
      <c r="D105" s="85" t="s">
        <v>379</v>
      </c>
      <c r="E105" s="85" t="s">
        <v>105</v>
      </c>
      <c r="F105" s="85" t="s">
        <v>127</v>
      </c>
      <c r="G105" s="85" t="s">
        <v>4</v>
      </c>
      <c r="H105" s="85" t="s">
        <v>9</v>
      </c>
      <c r="I105" s="86">
        <v>43430</v>
      </c>
      <c r="J105" s="86">
        <v>43480</v>
      </c>
      <c r="K105" s="86">
        <v>43199</v>
      </c>
      <c r="L105" s="85" t="s">
        <v>99</v>
      </c>
      <c r="M105" s="86">
        <v>43411</v>
      </c>
      <c r="N105" s="85" t="s">
        <v>107</v>
      </c>
      <c r="O105" s="86">
        <v>43199</v>
      </c>
      <c r="P105" s="86">
        <v>43186</v>
      </c>
      <c r="Q105" s="86">
        <v>43564</v>
      </c>
      <c r="R105" s="85" t="s">
        <v>1652</v>
      </c>
      <c r="S105" s="86">
        <v>43709</v>
      </c>
      <c r="T105" s="85" t="s">
        <v>1652</v>
      </c>
      <c r="U105" s="86">
        <v>43368</v>
      </c>
      <c r="V105" s="86">
        <v>43555</v>
      </c>
      <c r="W105" s="85" t="s">
        <v>1655</v>
      </c>
      <c r="X105" s="85" t="s">
        <v>114</v>
      </c>
      <c r="Y105" s="85">
        <v>1</v>
      </c>
      <c r="Z105" s="85" t="s">
        <v>114</v>
      </c>
      <c r="AA105" s="85"/>
      <c r="AB105" s="85" t="s">
        <v>114</v>
      </c>
      <c r="AC105" s="85" t="s">
        <v>114</v>
      </c>
      <c r="AD105" s="85" t="s">
        <v>114</v>
      </c>
      <c r="AE105" s="85"/>
      <c r="AF105" s="85"/>
      <c r="AG105" s="86">
        <v>43369</v>
      </c>
      <c r="AH105" s="85" t="s">
        <v>107</v>
      </c>
      <c r="AI105" s="86">
        <v>41080</v>
      </c>
      <c r="AJ105" s="86">
        <v>43178</v>
      </c>
      <c r="AK105" s="86">
        <v>43195</v>
      </c>
      <c r="AL105" s="85" t="s">
        <v>107</v>
      </c>
      <c r="AM105" s="85" t="s">
        <v>107</v>
      </c>
      <c r="AN105" s="86">
        <v>43375</v>
      </c>
      <c r="AO105" s="86">
        <v>43214</v>
      </c>
      <c r="AP105" s="86">
        <v>43046</v>
      </c>
      <c r="AQ105" s="86">
        <v>41635</v>
      </c>
      <c r="AR105" s="86">
        <v>43306</v>
      </c>
      <c r="AS105" s="86">
        <v>43118</v>
      </c>
      <c r="AT105" s="86">
        <v>43306</v>
      </c>
      <c r="AU105" s="86">
        <v>43306</v>
      </c>
      <c r="AV105" s="86">
        <v>43306</v>
      </c>
      <c r="AW105" s="86">
        <v>43306</v>
      </c>
    </row>
    <row r="106" spans="1:49" x14ac:dyDescent="0.2">
      <c r="A106" s="85" t="s">
        <v>439</v>
      </c>
      <c r="B106" s="85" t="s">
        <v>440</v>
      </c>
      <c r="C106" s="85" t="s">
        <v>441</v>
      </c>
      <c r="D106" s="85" t="s">
        <v>239</v>
      </c>
      <c r="E106" s="85" t="s">
        <v>222</v>
      </c>
      <c r="F106" s="85" t="s">
        <v>144</v>
      </c>
      <c r="G106" s="85" t="s">
        <v>4</v>
      </c>
      <c r="H106" s="85" t="s">
        <v>8</v>
      </c>
      <c r="I106" s="86">
        <v>43475</v>
      </c>
      <c r="J106" s="86">
        <v>43498</v>
      </c>
      <c r="K106" s="86">
        <v>43498</v>
      </c>
      <c r="L106" s="85" t="s">
        <v>99</v>
      </c>
      <c r="M106" s="86">
        <v>42940</v>
      </c>
      <c r="N106" s="85" t="s">
        <v>107</v>
      </c>
      <c r="O106" s="86">
        <v>43145</v>
      </c>
      <c r="P106" s="86">
        <v>43172</v>
      </c>
      <c r="Q106" s="86">
        <v>43834</v>
      </c>
      <c r="R106" s="85" t="s">
        <v>1652</v>
      </c>
      <c r="S106" s="86">
        <v>43739</v>
      </c>
      <c r="T106" s="85" t="s">
        <v>1652</v>
      </c>
      <c r="U106" s="86">
        <v>43479</v>
      </c>
      <c r="V106" s="86">
        <v>43677</v>
      </c>
      <c r="W106" s="85" t="s">
        <v>1657</v>
      </c>
      <c r="X106" s="85" t="s">
        <v>114</v>
      </c>
      <c r="Y106" s="85">
        <v>2</v>
      </c>
      <c r="Z106" s="85" t="s">
        <v>114</v>
      </c>
      <c r="AA106" s="85"/>
      <c r="AB106" s="85" t="s">
        <v>114</v>
      </c>
      <c r="AC106" s="85" t="s">
        <v>114</v>
      </c>
      <c r="AD106" s="85" t="s">
        <v>114</v>
      </c>
      <c r="AE106" s="85"/>
      <c r="AF106" s="85"/>
      <c r="AG106" s="85" t="s">
        <v>59</v>
      </c>
      <c r="AH106" s="85" t="s">
        <v>1936</v>
      </c>
      <c r="AI106" s="86">
        <v>42919</v>
      </c>
      <c r="AJ106" s="86">
        <v>43177</v>
      </c>
      <c r="AK106" s="86">
        <v>43145</v>
      </c>
      <c r="AL106" s="85" t="s">
        <v>107</v>
      </c>
      <c r="AM106" s="85" t="s">
        <v>107</v>
      </c>
      <c r="AN106" s="86">
        <v>43479</v>
      </c>
      <c r="AO106" s="86">
        <v>43209</v>
      </c>
      <c r="AP106" s="86">
        <v>43068</v>
      </c>
      <c r="AQ106" s="86">
        <v>42940</v>
      </c>
      <c r="AR106" s="86">
        <v>43172</v>
      </c>
      <c r="AS106" s="86">
        <v>42940</v>
      </c>
      <c r="AT106" s="86">
        <v>42940</v>
      </c>
      <c r="AU106" s="86">
        <v>43172</v>
      </c>
      <c r="AV106" s="86">
        <v>43172</v>
      </c>
      <c r="AW106" s="86">
        <v>43172</v>
      </c>
    </row>
    <row r="107" spans="1:49" x14ac:dyDescent="0.2">
      <c r="A107" s="85" t="s">
        <v>442</v>
      </c>
      <c r="B107" s="85" t="s">
        <v>443</v>
      </c>
      <c r="C107" s="85" t="s">
        <v>444</v>
      </c>
      <c r="D107" s="85" t="s">
        <v>312</v>
      </c>
      <c r="E107" s="85" t="s">
        <v>126</v>
      </c>
      <c r="F107" s="85" t="s">
        <v>144</v>
      </c>
      <c r="G107" s="85" t="s">
        <v>4</v>
      </c>
      <c r="H107" s="85" t="s">
        <v>8</v>
      </c>
      <c r="I107" s="86">
        <v>43273</v>
      </c>
      <c r="J107" s="86">
        <v>43431</v>
      </c>
      <c r="K107" s="86">
        <v>43167</v>
      </c>
      <c r="L107" s="85" t="s">
        <v>99</v>
      </c>
      <c r="M107" s="86">
        <v>43185</v>
      </c>
      <c r="N107" s="85" t="s">
        <v>107</v>
      </c>
      <c r="O107" s="86">
        <v>43167</v>
      </c>
      <c r="P107" s="86">
        <v>43172</v>
      </c>
      <c r="Q107" s="86">
        <v>43532</v>
      </c>
      <c r="R107" s="85" t="s">
        <v>1652</v>
      </c>
      <c r="S107" s="86">
        <v>43647</v>
      </c>
      <c r="T107" s="85" t="s">
        <v>1652</v>
      </c>
      <c r="U107" s="86">
        <v>43437</v>
      </c>
      <c r="V107" s="86">
        <v>43573</v>
      </c>
      <c r="W107" s="85" t="s">
        <v>1662</v>
      </c>
      <c r="X107" s="85" t="s">
        <v>119</v>
      </c>
      <c r="Y107" s="85">
        <v>1</v>
      </c>
      <c r="Z107" s="85" t="s">
        <v>114</v>
      </c>
      <c r="AA107" s="85"/>
      <c r="AB107" s="85" t="s">
        <v>114</v>
      </c>
      <c r="AC107" s="85" t="s">
        <v>114</v>
      </c>
      <c r="AD107" s="85" t="s">
        <v>119</v>
      </c>
      <c r="AE107" s="85" t="s">
        <v>1665</v>
      </c>
      <c r="AF107" s="85"/>
      <c r="AG107" s="86">
        <v>43185</v>
      </c>
      <c r="AH107" s="85" t="s">
        <v>107</v>
      </c>
      <c r="AI107" s="86">
        <v>41974</v>
      </c>
      <c r="AJ107" s="86">
        <v>43177</v>
      </c>
      <c r="AK107" s="86">
        <v>43167</v>
      </c>
      <c r="AL107" s="85" t="s">
        <v>107</v>
      </c>
      <c r="AM107" s="85" t="s">
        <v>107</v>
      </c>
      <c r="AN107" s="86">
        <v>43405</v>
      </c>
      <c r="AO107" s="86">
        <v>43297</v>
      </c>
      <c r="AP107" s="86">
        <v>43158</v>
      </c>
      <c r="AQ107" s="86">
        <v>42293</v>
      </c>
      <c r="AR107" s="86">
        <v>43158</v>
      </c>
      <c r="AS107" s="86">
        <v>43158</v>
      </c>
      <c r="AT107" s="86">
        <v>43158</v>
      </c>
      <c r="AU107" s="86">
        <v>43158</v>
      </c>
      <c r="AV107" s="86">
        <v>43158</v>
      </c>
      <c r="AW107" s="86">
        <v>43158</v>
      </c>
    </row>
    <row r="108" spans="1:49" x14ac:dyDescent="0.2">
      <c r="A108" s="85" t="s">
        <v>445</v>
      </c>
      <c r="B108" s="85" t="s">
        <v>446</v>
      </c>
      <c r="C108" s="85" t="s">
        <v>447</v>
      </c>
      <c r="D108" s="85" t="s">
        <v>448</v>
      </c>
      <c r="E108" s="85" t="s">
        <v>121</v>
      </c>
      <c r="F108" s="85" t="s">
        <v>100</v>
      </c>
      <c r="G108" s="85" t="s">
        <v>4</v>
      </c>
      <c r="H108" s="85" t="s">
        <v>17</v>
      </c>
      <c r="I108" s="86">
        <v>43503</v>
      </c>
      <c r="J108" s="86">
        <v>43196</v>
      </c>
      <c r="K108" s="86">
        <v>43272</v>
      </c>
      <c r="L108" s="85" t="s">
        <v>99</v>
      </c>
      <c r="M108" s="86">
        <v>43019</v>
      </c>
      <c r="N108" s="86">
        <v>43503</v>
      </c>
      <c r="O108" s="86">
        <v>42678</v>
      </c>
      <c r="P108" s="86">
        <v>43277</v>
      </c>
      <c r="Q108" s="86">
        <v>43397</v>
      </c>
      <c r="R108" s="85" t="s">
        <v>1652</v>
      </c>
      <c r="S108" s="86">
        <v>43647</v>
      </c>
      <c r="T108" s="85" t="s">
        <v>1652</v>
      </c>
      <c r="U108" s="85" t="s">
        <v>107</v>
      </c>
      <c r="V108" s="85" t="s">
        <v>107</v>
      </c>
      <c r="W108" s="85" t="s">
        <v>107</v>
      </c>
      <c r="X108" s="85" t="s">
        <v>107</v>
      </c>
      <c r="Y108" s="85" t="s">
        <v>107</v>
      </c>
      <c r="Z108" s="85" t="s">
        <v>107</v>
      </c>
      <c r="AA108" s="85" t="s">
        <v>107</v>
      </c>
      <c r="AB108" s="85" t="s">
        <v>107</v>
      </c>
      <c r="AC108" s="85" t="s">
        <v>107</v>
      </c>
      <c r="AD108" s="85" t="s">
        <v>107</v>
      </c>
      <c r="AE108" s="85" t="s">
        <v>107</v>
      </c>
      <c r="AF108" s="85" t="s">
        <v>107</v>
      </c>
      <c r="AG108" s="86">
        <v>43409</v>
      </c>
      <c r="AH108" s="85" t="s">
        <v>107</v>
      </c>
      <c r="AI108" s="85" t="s">
        <v>107</v>
      </c>
      <c r="AJ108" s="85" t="s">
        <v>107</v>
      </c>
      <c r="AK108" s="86">
        <v>42062</v>
      </c>
      <c r="AL108" s="85" t="s">
        <v>107</v>
      </c>
      <c r="AM108" s="85" t="s">
        <v>107</v>
      </c>
      <c r="AN108" s="86">
        <v>43503</v>
      </c>
      <c r="AO108" s="86">
        <v>43503</v>
      </c>
      <c r="AP108" s="86">
        <v>43046</v>
      </c>
      <c r="AQ108" s="86">
        <v>42292</v>
      </c>
      <c r="AR108" s="86">
        <v>43503</v>
      </c>
      <c r="AS108" s="86">
        <v>43503</v>
      </c>
      <c r="AT108" s="86">
        <v>43503</v>
      </c>
      <c r="AU108" s="86">
        <v>43503</v>
      </c>
      <c r="AV108" s="86">
        <v>43503</v>
      </c>
      <c r="AW108" s="86">
        <v>43503</v>
      </c>
    </row>
    <row r="109" spans="1:49" x14ac:dyDescent="0.2">
      <c r="A109" s="85" t="s">
        <v>449</v>
      </c>
      <c r="B109" s="85" t="s">
        <v>450</v>
      </c>
      <c r="C109" s="85" t="s">
        <v>451</v>
      </c>
      <c r="D109" s="85" t="s">
        <v>452</v>
      </c>
      <c r="E109" s="85" t="s">
        <v>222</v>
      </c>
      <c r="F109" s="85" t="s">
        <v>106</v>
      </c>
      <c r="G109" s="85" t="s">
        <v>4</v>
      </c>
      <c r="H109" s="85" t="s">
        <v>7</v>
      </c>
      <c r="I109" s="85" t="s">
        <v>107</v>
      </c>
      <c r="J109" s="86">
        <v>43508</v>
      </c>
      <c r="K109" s="86">
        <v>43254</v>
      </c>
      <c r="L109" s="85" t="s">
        <v>107</v>
      </c>
      <c r="M109" s="85" t="s">
        <v>107</v>
      </c>
      <c r="N109" s="85" t="s">
        <v>107</v>
      </c>
      <c r="O109" s="85" t="s">
        <v>107</v>
      </c>
      <c r="P109" s="85" t="s">
        <v>107</v>
      </c>
      <c r="Q109" s="86">
        <v>43532</v>
      </c>
      <c r="R109" s="85" t="s">
        <v>107</v>
      </c>
      <c r="S109" s="85" t="s">
        <v>107</v>
      </c>
      <c r="T109" s="85" t="s">
        <v>107</v>
      </c>
      <c r="U109" s="85" t="s">
        <v>107</v>
      </c>
      <c r="V109" s="85" t="s">
        <v>107</v>
      </c>
      <c r="W109" s="85" t="s">
        <v>107</v>
      </c>
      <c r="X109" s="85" t="s">
        <v>107</v>
      </c>
      <c r="Y109" s="85" t="s">
        <v>107</v>
      </c>
      <c r="Z109" s="85" t="s">
        <v>107</v>
      </c>
      <c r="AA109" s="85" t="s">
        <v>107</v>
      </c>
      <c r="AB109" s="85" t="s">
        <v>107</v>
      </c>
      <c r="AC109" s="85" t="s">
        <v>107</v>
      </c>
      <c r="AD109" s="85" t="s">
        <v>107</v>
      </c>
      <c r="AE109" s="85" t="s">
        <v>107</v>
      </c>
      <c r="AF109" s="85" t="s">
        <v>107</v>
      </c>
      <c r="AG109" s="86">
        <v>43266</v>
      </c>
      <c r="AH109" s="85" t="s">
        <v>107</v>
      </c>
      <c r="AI109" s="85" t="s">
        <v>107</v>
      </c>
      <c r="AJ109" s="85" t="s">
        <v>107</v>
      </c>
      <c r="AK109" s="85" t="s">
        <v>107</v>
      </c>
      <c r="AL109" s="85" t="s">
        <v>107</v>
      </c>
      <c r="AM109" s="85" t="s">
        <v>107</v>
      </c>
      <c r="AN109" s="86">
        <v>43398</v>
      </c>
      <c r="AO109" s="86">
        <v>43207</v>
      </c>
      <c r="AP109" s="86">
        <v>43364</v>
      </c>
      <c r="AQ109" s="86">
        <v>42987</v>
      </c>
      <c r="AR109" s="86">
        <v>43364</v>
      </c>
      <c r="AS109" s="86">
        <v>43364</v>
      </c>
      <c r="AT109" s="86">
        <v>43364</v>
      </c>
      <c r="AU109" s="85" t="s">
        <v>107</v>
      </c>
      <c r="AV109" s="86">
        <v>43364</v>
      </c>
      <c r="AW109" s="86">
        <v>43364</v>
      </c>
    </row>
    <row r="110" spans="1:49" x14ac:dyDescent="0.2">
      <c r="A110" s="85" t="s">
        <v>453</v>
      </c>
      <c r="B110" s="85" t="s">
        <v>454</v>
      </c>
      <c r="C110" s="85" t="s">
        <v>455</v>
      </c>
      <c r="D110" s="85" t="s">
        <v>456</v>
      </c>
      <c r="E110" s="85" t="s">
        <v>201</v>
      </c>
      <c r="F110" s="85" t="s">
        <v>127</v>
      </c>
      <c r="G110" s="85" t="s">
        <v>4</v>
      </c>
      <c r="H110" s="85" t="s">
        <v>7</v>
      </c>
      <c r="I110" s="86">
        <v>43464</v>
      </c>
      <c r="J110" s="86">
        <v>43417</v>
      </c>
      <c r="K110" s="86">
        <v>43180</v>
      </c>
      <c r="L110" s="85" t="s">
        <v>99</v>
      </c>
      <c r="M110" s="86">
        <v>42884</v>
      </c>
      <c r="N110" s="85" t="s">
        <v>107</v>
      </c>
      <c r="O110" s="86">
        <v>42534</v>
      </c>
      <c r="P110" s="86">
        <v>43221</v>
      </c>
      <c r="Q110" s="85" t="s">
        <v>59</v>
      </c>
      <c r="R110" s="85" t="s">
        <v>1652</v>
      </c>
      <c r="S110" s="86">
        <v>43647</v>
      </c>
      <c r="T110" s="85" t="s">
        <v>1652</v>
      </c>
      <c r="U110" s="86">
        <v>43181</v>
      </c>
      <c r="V110" s="86">
        <v>43555</v>
      </c>
      <c r="W110" s="85" t="s">
        <v>1653</v>
      </c>
      <c r="X110" s="85" t="s">
        <v>114</v>
      </c>
      <c r="Y110" s="85">
        <v>1</v>
      </c>
      <c r="Z110" s="85" t="s">
        <v>114</v>
      </c>
      <c r="AA110" s="85"/>
      <c r="AB110" s="85" t="s">
        <v>114</v>
      </c>
      <c r="AC110" s="85" t="s">
        <v>114</v>
      </c>
      <c r="AD110" s="85" t="s">
        <v>114</v>
      </c>
      <c r="AE110" s="85"/>
      <c r="AF110" s="85"/>
      <c r="AG110" s="86">
        <v>43238</v>
      </c>
      <c r="AH110" s="85" t="s">
        <v>107</v>
      </c>
      <c r="AI110" s="86">
        <v>43282</v>
      </c>
      <c r="AJ110" s="86">
        <v>43282</v>
      </c>
      <c r="AK110" s="86">
        <v>42055</v>
      </c>
      <c r="AL110" s="85"/>
      <c r="AM110" s="85"/>
      <c r="AN110" s="86">
        <v>43398</v>
      </c>
      <c r="AO110" s="86">
        <v>43237</v>
      </c>
      <c r="AP110" s="86">
        <v>43237</v>
      </c>
      <c r="AQ110" s="86">
        <v>43237</v>
      </c>
      <c r="AR110" s="86">
        <v>43237</v>
      </c>
      <c r="AS110" s="86">
        <v>43237</v>
      </c>
      <c r="AT110" s="86">
        <v>43237</v>
      </c>
      <c r="AU110" s="86">
        <v>43237</v>
      </c>
      <c r="AV110" s="86">
        <v>43237</v>
      </c>
      <c r="AW110" s="86">
        <v>43237</v>
      </c>
    </row>
    <row r="111" spans="1:49" x14ac:dyDescent="0.2">
      <c r="A111" s="85" t="s">
        <v>457</v>
      </c>
      <c r="B111" s="85" t="s">
        <v>458</v>
      </c>
      <c r="C111" s="85" t="s">
        <v>459</v>
      </c>
      <c r="D111" s="85" t="s">
        <v>460</v>
      </c>
      <c r="E111" s="85" t="s">
        <v>105</v>
      </c>
      <c r="F111" s="85" t="s">
        <v>122</v>
      </c>
      <c r="G111" s="85" t="s">
        <v>4</v>
      </c>
      <c r="H111" s="85" t="s">
        <v>7</v>
      </c>
      <c r="I111" s="86">
        <v>43342</v>
      </c>
      <c r="J111" s="86">
        <v>43489</v>
      </c>
      <c r="K111" s="86">
        <v>43368</v>
      </c>
      <c r="L111" s="85" t="s">
        <v>99</v>
      </c>
      <c r="M111" s="86">
        <v>43314</v>
      </c>
      <c r="N111" s="85" t="s">
        <v>107</v>
      </c>
      <c r="O111" s="86">
        <v>43368</v>
      </c>
      <c r="P111" s="86">
        <v>43243</v>
      </c>
      <c r="Q111" s="86">
        <v>43636</v>
      </c>
      <c r="R111" s="85" t="s">
        <v>1652</v>
      </c>
      <c r="S111" s="86">
        <v>43497</v>
      </c>
      <c r="T111" s="85" t="s">
        <v>1652</v>
      </c>
      <c r="U111" s="86">
        <v>43209</v>
      </c>
      <c r="V111" s="86">
        <v>43585</v>
      </c>
      <c r="W111" s="85" t="s">
        <v>1653</v>
      </c>
      <c r="X111" s="85" t="s">
        <v>211</v>
      </c>
      <c r="Y111" s="85">
        <v>1</v>
      </c>
      <c r="Z111" s="85" t="s">
        <v>211</v>
      </c>
      <c r="AA111" s="85"/>
      <c r="AB111" s="85" t="s">
        <v>114</v>
      </c>
      <c r="AC111" s="85" t="s">
        <v>114</v>
      </c>
      <c r="AD111" s="85" t="s">
        <v>211</v>
      </c>
      <c r="AE111" s="85" t="s">
        <v>1937</v>
      </c>
      <c r="AF111" s="86">
        <v>43522</v>
      </c>
      <c r="AG111" s="86">
        <v>43480</v>
      </c>
      <c r="AH111" s="85" t="s">
        <v>107</v>
      </c>
      <c r="AI111" s="85"/>
      <c r="AJ111" s="85"/>
      <c r="AK111" s="86">
        <v>42817</v>
      </c>
      <c r="AL111" s="85" t="s">
        <v>107</v>
      </c>
      <c r="AM111" s="85" t="s">
        <v>107</v>
      </c>
      <c r="AN111" s="86">
        <v>43510</v>
      </c>
      <c r="AO111" s="86">
        <v>43207</v>
      </c>
      <c r="AP111" s="86">
        <v>43510</v>
      </c>
      <c r="AQ111" s="86">
        <v>43510</v>
      </c>
      <c r="AR111" s="86">
        <v>43510</v>
      </c>
      <c r="AS111" s="86">
        <v>43510</v>
      </c>
      <c r="AT111" s="86">
        <v>43510</v>
      </c>
      <c r="AU111" s="86">
        <v>43510</v>
      </c>
      <c r="AV111" s="86">
        <v>43510</v>
      </c>
      <c r="AW111" s="86">
        <v>43510</v>
      </c>
    </row>
    <row r="112" spans="1:49" x14ac:dyDescent="0.2">
      <c r="A112" s="85" t="s">
        <v>461</v>
      </c>
      <c r="B112" s="85" t="s">
        <v>462</v>
      </c>
      <c r="C112" s="85" t="s">
        <v>459</v>
      </c>
      <c r="D112" s="85" t="s">
        <v>463</v>
      </c>
      <c r="E112" s="85" t="s">
        <v>126</v>
      </c>
      <c r="F112" s="85" t="s">
        <v>113</v>
      </c>
      <c r="G112" s="85" t="s">
        <v>4</v>
      </c>
      <c r="H112" s="85" t="s">
        <v>7</v>
      </c>
      <c r="I112" s="86">
        <v>43473</v>
      </c>
      <c r="J112" s="86">
        <v>43473</v>
      </c>
      <c r="K112" s="86">
        <v>43254</v>
      </c>
      <c r="L112" s="85" t="s">
        <v>99</v>
      </c>
      <c r="M112" s="86">
        <v>42955</v>
      </c>
      <c r="N112" s="85" t="s">
        <v>107</v>
      </c>
      <c r="O112" s="86">
        <v>43271</v>
      </c>
      <c r="P112" s="86">
        <v>43305</v>
      </c>
      <c r="Q112" s="86">
        <v>43726</v>
      </c>
      <c r="R112" s="85" t="s">
        <v>1652</v>
      </c>
      <c r="S112" s="86">
        <v>45108</v>
      </c>
      <c r="T112" s="85" t="s">
        <v>1652</v>
      </c>
      <c r="U112" s="86">
        <v>43487</v>
      </c>
      <c r="V112" s="86">
        <v>43677</v>
      </c>
      <c r="W112" s="85" t="s">
        <v>1655</v>
      </c>
      <c r="X112" s="85" t="s">
        <v>114</v>
      </c>
      <c r="Y112" s="85">
        <v>1</v>
      </c>
      <c r="Z112" s="85" t="s">
        <v>114</v>
      </c>
      <c r="AA112" s="85"/>
      <c r="AB112" s="85" t="s">
        <v>114</v>
      </c>
      <c r="AC112" s="85" t="s">
        <v>114</v>
      </c>
      <c r="AD112" s="85" t="s">
        <v>114</v>
      </c>
      <c r="AE112" s="85"/>
      <c r="AF112" s="85"/>
      <c r="AG112" s="86">
        <v>43266</v>
      </c>
      <c r="AH112" s="85" t="s">
        <v>107</v>
      </c>
      <c r="AI112" s="85"/>
      <c r="AJ112" s="85"/>
      <c r="AK112" s="86">
        <v>42837</v>
      </c>
      <c r="AL112" s="85" t="s">
        <v>107</v>
      </c>
      <c r="AM112" s="85" t="s">
        <v>107</v>
      </c>
      <c r="AN112" s="86">
        <v>43398</v>
      </c>
      <c r="AO112" s="86">
        <v>43364</v>
      </c>
      <c r="AP112" s="86">
        <v>43315</v>
      </c>
      <c r="AQ112" s="86">
        <v>43315</v>
      </c>
      <c r="AR112" s="86">
        <v>43315</v>
      </c>
      <c r="AS112" s="86">
        <v>43315</v>
      </c>
      <c r="AT112" s="86">
        <v>43315</v>
      </c>
      <c r="AU112" s="86">
        <v>43315</v>
      </c>
      <c r="AV112" s="86">
        <v>43315</v>
      </c>
      <c r="AW112" s="86">
        <v>43315</v>
      </c>
    </row>
    <row r="113" spans="1:49" x14ac:dyDescent="0.2">
      <c r="A113" s="85" t="s">
        <v>464</v>
      </c>
      <c r="B113" s="85" t="s">
        <v>465</v>
      </c>
      <c r="C113" s="85" t="s">
        <v>466</v>
      </c>
      <c r="D113" s="85" t="s">
        <v>463</v>
      </c>
      <c r="E113" s="85" t="s">
        <v>105</v>
      </c>
      <c r="F113" s="85" t="s">
        <v>127</v>
      </c>
      <c r="G113" s="85" t="s">
        <v>4</v>
      </c>
      <c r="H113" s="85" t="s">
        <v>12</v>
      </c>
      <c r="I113" s="86">
        <v>43371</v>
      </c>
      <c r="J113" s="86">
        <v>43484</v>
      </c>
      <c r="K113" s="86">
        <v>43481</v>
      </c>
      <c r="L113" s="85" t="s">
        <v>99</v>
      </c>
      <c r="M113" s="86">
        <v>43372</v>
      </c>
      <c r="N113" s="85" t="s">
        <v>107</v>
      </c>
      <c r="O113" s="86">
        <v>42825</v>
      </c>
      <c r="P113" s="86">
        <v>43305</v>
      </c>
      <c r="Q113" s="86">
        <v>43390</v>
      </c>
      <c r="R113" s="85" t="s">
        <v>1652</v>
      </c>
      <c r="S113" s="86">
        <v>43891</v>
      </c>
      <c r="T113" s="85" t="s">
        <v>1652</v>
      </c>
      <c r="U113" s="86">
        <v>43174</v>
      </c>
      <c r="V113" s="86">
        <v>43555</v>
      </c>
      <c r="W113" s="85" t="s">
        <v>1653</v>
      </c>
      <c r="X113" s="85" t="s">
        <v>114</v>
      </c>
      <c r="Y113" s="85">
        <v>1</v>
      </c>
      <c r="Z113" s="85" t="s">
        <v>114</v>
      </c>
      <c r="AA113" s="85"/>
      <c r="AB113" s="85" t="s">
        <v>211</v>
      </c>
      <c r="AC113" s="85" t="s">
        <v>114</v>
      </c>
      <c r="AD113" s="85" t="s">
        <v>211</v>
      </c>
      <c r="AE113" s="85" t="s">
        <v>1667</v>
      </c>
      <c r="AF113" s="86">
        <v>43579</v>
      </c>
      <c r="AG113" s="86">
        <v>43494</v>
      </c>
      <c r="AH113" s="85" t="s">
        <v>1938</v>
      </c>
      <c r="AI113" s="86">
        <v>43396</v>
      </c>
      <c r="AJ113" s="86">
        <v>43396</v>
      </c>
      <c r="AK113" s="86">
        <v>42480</v>
      </c>
      <c r="AL113" s="85" t="s">
        <v>107</v>
      </c>
      <c r="AM113" s="85" t="s">
        <v>107</v>
      </c>
      <c r="AN113" s="86">
        <v>43480</v>
      </c>
      <c r="AO113" s="86">
        <v>43480</v>
      </c>
      <c r="AP113" s="86">
        <v>43480</v>
      </c>
      <c r="AQ113" s="86">
        <v>42479</v>
      </c>
      <c r="AR113" s="86">
        <v>43480</v>
      </c>
      <c r="AS113" s="86">
        <v>43480</v>
      </c>
      <c r="AT113" s="86">
        <v>43480</v>
      </c>
      <c r="AU113" s="86">
        <v>43480</v>
      </c>
      <c r="AV113" s="86">
        <v>43480</v>
      </c>
      <c r="AW113" s="86">
        <v>43480</v>
      </c>
    </row>
    <row r="114" spans="1:49" x14ac:dyDescent="0.2">
      <c r="A114" s="85" t="s">
        <v>467</v>
      </c>
      <c r="B114" s="85" t="s">
        <v>468</v>
      </c>
      <c r="C114" s="85" t="s">
        <v>469</v>
      </c>
      <c r="D114" s="85" t="s">
        <v>470</v>
      </c>
      <c r="E114" s="85" t="s">
        <v>126</v>
      </c>
      <c r="F114" s="85" t="s">
        <v>106</v>
      </c>
      <c r="G114" s="85" t="s">
        <v>4</v>
      </c>
      <c r="H114" s="85" t="s">
        <v>7</v>
      </c>
      <c r="I114" s="85" t="s">
        <v>107</v>
      </c>
      <c r="J114" s="85" t="s">
        <v>59</v>
      </c>
      <c r="K114" s="85" t="s">
        <v>59</v>
      </c>
      <c r="L114" s="85" t="s">
        <v>107</v>
      </c>
      <c r="M114" s="85" t="s">
        <v>107</v>
      </c>
      <c r="N114" s="85" t="s">
        <v>107</v>
      </c>
      <c r="O114" s="85" t="s">
        <v>107</v>
      </c>
      <c r="P114" s="85" t="s">
        <v>107</v>
      </c>
      <c r="Q114" s="85" t="s">
        <v>59</v>
      </c>
      <c r="R114" s="85" t="s">
        <v>107</v>
      </c>
      <c r="S114" s="85" t="s">
        <v>107</v>
      </c>
      <c r="T114" s="85" t="s">
        <v>107</v>
      </c>
      <c r="U114" s="85" t="s">
        <v>107</v>
      </c>
      <c r="V114" s="85" t="s">
        <v>107</v>
      </c>
      <c r="W114" s="85" t="s">
        <v>107</v>
      </c>
      <c r="X114" s="85" t="s">
        <v>107</v>
      </c>
      <c r="Y114" s="85" t="s">
        <v>107</v>
      </c>
      <c r="Z114" s="85" t="s">
        <v>107</v>
      </c>
      <c r="AA114" s="85" t="s">
        <v>107</v>
      </c>
      <c r="AB114" s="85" t="s">
        <v>107</v>
      </c>
      <c r="AC114" s="85" t="s">
        <v>107</v>
      </c>
      <c r="AD114" s="85" t="s">
        <v>107</v>
      </c>
      <c r="AE114" s="85" t="s">
        <v>107</v>
      </c>
      <c r="AF114" s="85" t="s">
        <v>107</v>
      </c>
      <c r="AG114" s="86">
        <v>43203</v>
      </c>
      <c r="AH114" s="85" t="s">
        <v>107</v>
      </c>
      <c r="AI114" s="85" t="s">
        <v>107</v>
      </c>
      <c r="AJ114" s="85" t="s">
        <v>107</v>
      </c>
      <c r="AK114" s="85" t="s">
        <v>107</v>
      </c>
      <c r="AL114" s="85" t="s">
        <v>107</v>
      </c>
      <c r="AM114" s="85" t="s">
        <v>107</v>
      </c>
      <c r="AN114" s="86">
        <v>43398</v>
      </c>
      <c r="AO114" s="85"/>
      <c r="AP114" s="86">
        <v>43200</v>
      </c>
      <c r="AQ114" s="86">
        <v>43200</v>
      </c>
      <c r="AR114" s="86">
        <v>43200</v>
      </c>
      <c r="AS114" s="86">
        <v>43200</v>
      </c>
      <c r="AT114" s="86">
        <v>43200</v>
      </c>
      <c r="AU114" s="86" t="s">
        <v>107</v>
      </c>
      <c r="AV114" s="86">
        <v>43200</v>
      </c>
      <c r="AW114" s="86">
        <v>43200</v>
      </c>
    </row>
    <row r="115" spans="1:49" x14ac:dyDescent="0.2">
      <c r="A115" s="85" t="s">
        <v>471</v>
      </c>
      <c r="B115" s="85" t="s">
        <v>472</v>
      </c>
      <c r="C115" s="85" t="s">
        <v>473</v>
      </c>
      <c r="D115" s="85" t="s">
        <v>225</v>
      </c>
      <c r="E115" s="85" t="s">
        <v>291</v>
      </c>
      <c r="F115" s="85" t="s">
        <v>144</v>
      </c>
      <c r="G115" s="85" t="s">
        <v>4</v>
      </c>
      <c r="H115" s="85" t="s">
        <v>10</v>
      </c>
      <c r="I115" s="86">
        <v>43399</v>
      </c>
      <c r="J115" s="86">
        <v>43467</v>
      </c>
      <c r="K115" s="86">
        <v>43467</v>
      </c>
      <c r="L115" s="85" t="s">
        <v>99</v>
      </c>
      <c r="M115" s="86">
        <v>42984</v>
      </c>
      <c r="N115" s="85" t="s">
        <v>107</v>
      </c>
      <c r="O115" s="86">
        <v>42648</v>
      </c>
      <c r="P115" s="86">
        <v>43172</v>
      </c>
      <c r="Q115" s="86">
        <v>43490</v>
      </c>
      <c r="R115" s="85" t="s">
        <v>1652</v>
      </c>
      <c r="S115" s="86">
        <v>44348</v>
      </c>
      <c r="T115" s="85" t="s">
        <v>1652</v>
      </c>
      <c r="U115" s="86">
        <v>43164</v>
      </c>
      <c r="V115" s="86">
        <v>43555</v>
      </c>
      <c r="W115" s="85" t="s">
        <v>1653</v>
      </c>
      <c r="X115" s="85" t="s">
        <v>114</v>
      </c>
      <c r="Y115" s="85">
        <v>1</v>
      </c>
      <c r="Z115" s="85" t="s">
        <v>114</v>
      </c>
      <c r="AA115" s="85"/>
      <c r="AB115" s="85" t="s">
        <v>114</v>
      </c>
      <c r="AC115" s="85" t="s">
        <v>114</v>
      </c>
      <c r="AD115" s="85" t="s">
        <v>114</v>
      </c>
      <c r="AE115" s="85"/>
      <c r="AF115" s="85"/>
      <c r="AG115" s="86">
        <v>43448</v>
      </c>
      <c r="AH115" s="85" t="s">
        <v>107</v>
      </c>
      <c r="AI115" s="86">
        <v>43376</v>
      </c>
      <c r="AJ115" s="86">
        <v>43376</v>
      </c>
      <c r="AK115" s="86">
        <v>42984</v>
      </c>
      <c r="AL115" s="85" t="s">
        <v>107</v>
      </c>
      <c r="AM115" s="85" t="s">
        <v>107</v>
      </c>
      <c r="AN115" s="86">
        <v>43489</v>
      </c>
      <c r="AO115" s="86">
        <v>43489</v>
      </c>
      <c r="AP115" s="86">
        <v>43046</v>
      </c>
      <c r="AQ115" s="86">
        <v>42648</v>
      </c>
      <c r="AR115" s="86">
        <v>43489</v>
      </c>
      <c r="AS115" s="86">
        <v>43489</v>
      </c>
      <c r="AT115" s="86">
        <v>43489</v>
      </c>
      <c r="AU115" s="86">
        <v>43489</v>
      </c>
      <c r="AV115" s="86">
        <v>43489</v>
      </c>
      <c r="AW115" s="86">
        <v>43489</v>
      </c>
    </row>
    <row r="116" spans="1:49" x14ac:dyDescent="0.2">
      <c r="A116" s="85" t="s">
        <v>474</v>
      </c>
      <c r="B116" s="85" t="s">
        <v>475</v>
      </c>
      <c r="C116" s="85" t="s">
        <v>476</v>
      </c>
      <c r="D116" s="85" t="s">
        <v>200</v>
      </c>
      <c r="E116" s="85" t="s">
        <v>222</v>
      </c>
      <c r="F116" s="85" t="s">
        <v>113</v>
      </c>
      <c r="G116" s="85" t="s">
        <v>4</v>
      </c>
      <c r="H116" s="85" t="s">
        <v>8</v>
      </c>
      <c r="I116" s="86">
        <v>43433</v>
      </c>
      <c r="J116" s="86">
        <v>43484</v>
      </c>
      <c r="K116" s="86">
        <v>43145</v>
      </c>
      <c r="L116" s="85" t="s">
        <v>99</v>
      </c>
      <c r="M116" s="86">
        <v>42528</v>
      </c>
      <c r="N116" s="85" t="s">
        <v>107</v>
      </c>
      <c r="O116" s="86">
        <v>43145</v>
      </c>
      <c r="P116" s="86">
        <v>43418</v>
      </c>
      <c r="Q116" s="86">
        <v>43509</v>
      </c>
      <c r="R116" s="85" t="s">
        <v>1652</v>
      </c>
      <c r="S116" s="86">
        <v>43497</v>
      </c>
      <c r="T116" s="85" t="s">
        <v>1652</v>
      </c>
      <c r="U116" s="86">
        <v>43481</v>
      </c>
      <c r="V116" s="86">
        <v>43780</v>
      </c>
      <c r="W116" s="85" t="s">
        <v>1662</v>
      </c>
      <c r="X116" s="85" t="s">
        <v>114</v>
      </c>
      <c r="Y116" s="85">
        <v>1</v>
      </c>
      <c r="Z116" s="85" t="s">
        <v>114</v>
      </c>
      <c r="AA116" s="85" t="s">
        <v>1659</v>
      </c>
      <c r="AB116" s="85" t="s">
        <v>114</v>
      </c>
      <c r="AC116" s="85" t="s">
        <v>114</v>
      </c>
      <c r="AD116" s="85" t="s">
        <v>114</v>
      </c>
      <c r="AE116" s="85"/>
      <c r="AF116" s="85"/>
      <c r="AG116" s="86">
        <v>43493</v>
      </c>
      <c r="AH116" s="85" t="s">
        <v>107</v>
      </c>
      <c r="AI116" s="86">
        <v>42461</v>
      </c>
      <c r="AJ116" s="86">
        <v>43177</v>
      </c>
      <c r="AK116" s="86">
        <v>43145</v>
      </c>
      <c r="AL116" s="85" t="s">
        <v>107</v>
      </c>
      <c r="AM116" s="85" t="s">
        <v>107</v>
      </c>
      <c r="AN116" s="86">
        <v>43376</v>
      </c>
      <c r="AO116" s="86">
        <v>43330</v>
      </c>
      <c r="AP116" s="86">
        <v>43143</v>
      </c>
      <c r="AQ116" s="86">
        <v>42793</v>
      </c>
      <c r="AR116" s="86">
        <v>43143</v>
      </c>
      <c r="AS116" s="86">
        <v>43143</v>
      </c>
      <c r="AT116" s="86">
        <v>43330</v>
      </c>
      <c r="AU116" s="86">
        <v>43143</v>
      </c>
      <c r="AV116" s="86">
        <v>43143</v>
      </c>
      <c r="AW116" s="86">
        <v>43143</v>
      </c>
    </row>
    <row r="117" spans="1:49" x14ac:dyDescent="0.2">
      <c r="A117" s="85" t="s">
        <v>479</v>
      </c>
      <c r="B117" s="85" t="s">
        <v>480</v>
      </c>
      <c r="C117" s="85" t="s">
        <v>477</v>
      </c>
      <c r="D117" s="85" t="s">
        <v>481</v>
      </c>
      <c r="E117" s="85" t="s">
        <v>143</v>
      </c>
      <c r="F117" s="85" t="s">
        <v>122</v>
      </c>
      <c r="G117" s="85" t="s">
        <v>4</v>
      </c>
      <c r="H117" s="85" t="s">
        <v>7</v>
      </c>
      <c r="I117" s="86">
        <v>43468</v>
      </c>
      <c r="J117" s="86">
        <v>43501</v>
      </c>
      <c r="K117" s="86">
        <v>43501</v>
      </c>
      <c r="L117" s="85" t="s">
        <v>99</v>
      </c>
      <c r="M117" s="86">
        <v>42932</v>
      </c>
      <c r="N117" s="85" t="s">
        <v>107</v>
      </c>
      <c r="O117" s="86">
        <v>43164</v>
      </c>
      <c r="P117" s="86">
        <v>43213</v>
      </c>
      <c r="Q117" s="86">
        <v>43532</v>
      </c>
      <c r="R117" s="85" t="s">
        <v>1652</v>
      </c>
      <c r="S117" s="86">
        <v>43556</v>
      </c>
      <c r="T117" s="85" t="s">
        <v>1652</v>
      </c>
      <c r="U117" s="86">
        <v>43340</v>
      </c>
      <c r="V117" s="86">
        <v>43524</v>
      </c>
      <c r="W117" s="85" t="s">
        <v>1655</v>
      </c>
      <c r="X117" s="85" t="s">
        <v>114</v>
      </c>
      <c r="Y117" s="85">
        <v>2</v>
      </c>
      <c r="Z117" s="85" t="s">
        <v>114</v>
      </c>
      <c r="AA117" s="85"/>
      <c r="AB117" s="85" t="s">
        <v>114</v>
      </c>
      <c r="AC117" s="85" t="s">
        <v>114</v>
      </c>
      <c r="AD117" s="85" t="s">
        <v>114</v>
      </c>
      <c r="AE117" s="85"/>
      <c r="AF117" s="85"/>
      <c r="AG117" s="86">
        <v>43417</v>
      </c>
      <c r="AH117" s="85" t="s">
        <v>107</v>
      </c>
      <c r="AI117" s="86">
        <v>42974</v>
      </c>
      <c r="AJ117" s="86">
        <v>43411</v>
      </c>
      <c r="AK117" s="86">
        <v>43164</v>
      </c>
      <c r="AL117" s="85" t="s">
        <v>107</v>
      </c>
      <c r="AM117" s="85" t="s">
        <v>107</v>
      </c>
      <c r="AN117" s="86">
        <v>43398</v>
      </c>
      <c r="AO117" s="86">
        <v>43228</v>
      </c>
      <c r="AP117" s="86">
        <v>43228</v>
      </c>
      <c r="AQ117" s="86">
        <v>43228</v>
      </c>
      <c r="AR117" s="86">
        <v>43228</v>
      </c>
      <c r="AS117" s="86">
        <v>43228</v>
      </c>
      <c r="AT117" s="86">
        <v>43228</v>
      </c>
      <c r="AU117" s="86">
        <v>43228</v>
      </c>
      <c r="AV117" s="86">
        <v>43228</v>
      </c>
      <c r="AW117" s="86">
        <v>43228</v>
      </c>
    </row>
    <row r="118" spans="1:49" x14ac:dyDescent="0.2">
      <c r="A118" s="85" t="s">
        <v>483</v>
      </c>
      <c r="B118" s="85" t="s">
        <v>484</v>
      </c>
      <c r="C118" s="85" t="s">
        <v>485</v>
      </c>
      <c r="D118" s="85" t="s">
        <v>486</v>
      </c>
      <c r="E118" s="85" t="s">
        <v>126</v>
      </c>
      <c r="F118" s="85" t="s">
        <v>122</v>
      </c>
      <c r="G118" s="85" t="s">
        <v>4</v>
      </c>
      <c r="H118" s="85" t="s">
        <v>12</v>
      </c>
      <c r="I118" s="86">
        <v>43371</v>
      </c>
      <c r="J118" s="86">
        <v>43489</v>
      </c>
      <c r="K118" s="86">
        <v>43125</v>
      </c>
      <c r="L118" s="85" t="s">
        <v>99</v>
      </c>
      <c r="M118" s="86">
        <v>43046</v>
      </c>
      <c r="N118" s="85" t="s">
        <v>107</v>
      </c>
      <c r="O118" s="86">
        <v>43125</v>
      </c>
      <c r="P118" s="86">
        <v>43227</v>
      </c>
      <c r="Q118" s="86">
        <v>43490</v>
      </c>
      <c r="R118" s="85" t="s">
        <v>1652</v>
      </c>
      <c r="S118" s="86">
        <v>43709</v>
      </c>
      <c r="T118" s="85" t="s">
        <v>1652</v>
      </c>
      <c r="U118" s="86">
        <v>43397</v>
      </c>
      <c r="V118" s="86">
        <v>43769</v>
      </c>
      <c r="W118" s="85" t="s">
        <v>1653</v>
      </c>
      <c r="X118" s="85" t="s">
        <v>114</v>
      </c>
      <c r="Y118" s="85">
        <v>1</v>
      </c>
      <c r="Z118" s="85" t="s">
        <v>114</v>
      </c>
      <c r="AA118" s="85"/>
      <c r="AB118" s="85" t="s">
        <v>114</v>
      </c>
      <c r="AC118" s="85" t="s">
        <v>114</v>
      </c>
      <c r="AD118" s="85" t="s">
        <v>114</v>
      </c>
      <c r="AE118" s="85"/>
      <c r="AF118" s="85"/>
      <c r="AG118" s="86">
        <v>43513</v>
      </c>
      <c r="AH118" s="85" t="s">
        <v>107</v>
      </c>
      <c r="AI118" s="86">
        <v>42834</v>
      </c>
      <c r="AJ118" s="86">
        <v>43219</v>
      </c>
      <c r="AK118" s="86">
        <v>43125</v>
      </c>
      <c r="AL118" s="85" t="s">
        <v>107</v>
      </c>
      <c r="AM118" s="85" t="s">
        <v>107</v>
      </c>
      <c r="AN118" s="86">
        <v>43376</v>
      </c>
      <c r="AO118" s="86">
        <v>43213</v>
      </c>
      <c r="AP118" s="86">
        <v>43157</v>
      </c>
      <c r="AQ118" s="86">
        <v>42888</v>
      </c>
      <c r="AR118" s="86">
        <v>43125</v>
      </c>
      <c r="AS118" s="86">
        <v>43259</v>
      </c>
      <c r="AT118" s="86">
        <v>43125</v>
      </c>
      <c r="AU118" s="86">
        <v>43125</v>
      </c>
      <c r="AV118" s="86">
        <v>43125</v>
      </c>
      <c r="AW118" s="86">
        <v>43125</v>
      </c>
    </row>
    <row r="119" spans="1:49" x14ac:dyDescent="0.2">
      <c r="A119" s="85" t="s">
        <v>487</v>
      </c>
      <c r="B119" s="85" t="s">
        <v>488</v>
      </c>
      <c r="C119" s="85" t="s">
        <v>489</v>
      </c>
      <c r="D119" s="85" t="s">
        <v>379</v>
      </c>
      <c r="E119" s="85" t="s">
        <v>105</v>
      </c>
      <c r="F119" s="85" t="s">
        <v>113</v>
      </c>
      <c r="G119" s="85" t="s">
        <v>4</v>
      </c>
      <c r="H119" s="85" t="s">
        <v>8</v>
      </c>
      <c r="I119" s="86">
        <v>43475</v>
      </c>
      <c r="J119" s="86">
        <v>43503</v>
      </c>
      <c r="K119" s="86">
        <v>43139</v>
      </c>
      <c r="L119" s="85" t="s">
        <v>99</v>
      </c>
      <c r="M119" s="86">
        <v>43139</v>
      </c>
      <c r="N119" s="85" t="s">
        <v>107</v>
      </c>
      <c r="O119" s="86">
        <v>43139</v>
      </c>
      <c r="P119" s="86">
        <v>43306</v>
      </c>
      <c r="Q119" s="86">
        <v>43498</v>
      </c>
      <c r="R119" s="85" t="s">
        <v>1652</v>
      </c>
      <c r="S119" s="86">
        <v>43344</v>
      </c>
      <c r="T119" s="85" t="s">
        <v>1652</v>
      </c>
      <c r="U119" s="86">
        <v>43306</v>
      </c>
      <c r="V119" s="86">
        <v>43677</v>
      </c>
      <c r="W119" s="85" t="s">
        <v>1653</v>
      </c>
      <c r="X119" s="85" t="s">
        <v>114</v>
      </c>
      <c r="Y119" s="85">
        <v>2</v>
      </c>
      <c r="Z119" s="85" t="s">
        <v>114</v>
      </c>
      <c r="AA119" s="85"/>
      <c r="AB119" s="85" t="s">
        <v>114</v>
      </c>
      <c r="AC119" s="85" t="s">
        <v>114</v>
      </c>
      <c r="AD119" s="85" t="s">
        <v>114</v>
      </c>
      <c r="AE119" s="85"/>
      <c r="AF119" s="85"/>
      <c r="AG119" s="86">
        <v>43192</v>
      </c>
      <c r="AH119" s="85" t="s">
        <v>107</v>
      </c>
      <c r="AI119" s="85"/>
      <c r="AJ119" s="85"/>
      <c r="AK119" s="86">
        <v>42499</v>
      </c>
      <c r="AL119" s="85" t="s">
        <v>107</v>
      </c>
      <c r="AM119" s="85" t="s">
        <v>107</v>
      </c>
      <c r="AN119" s="86">
        <v>43405</v>
      </c>
      <c r="AO119" s="86">
        <v>43209</v>
      </c>
      <c r="AP119" s="86">
        <v>43129</v>
      </c>
      <c r="AQ119" s="86">
        <v>42536</v>
      </c>
      <c r="AR119" s="86">
        <v>43137</v>
      </c>
      <c r="AS119" s="86">
        <v>42788</v>
      </c>
      <c r="AT119" s="86">
        <v>43147</v>
      </c>
      <c r="AU119" s="86">
        <v>43137</v>
      </c>
      <c r="AV119" s="86">
        <v>43137</v>
      </c>
      <c r="AW119" s="86">
        <v>43137</v>
      </c>
    </row>
    <row r="120" spans="1:49" x14ac:dyDescent="0.2">
      <c r="A120" s="85" t="s">
        <v>490</v>
      </c>
      <c r="B120" s="85" t="s">
        <v>491</v>
      </c>
      <c r="C120" s="85" t="s">
        <v>492</v>
      </c>
      <c r="D120" s="85" t="s">
        <v>337</v>
      </c>
      <c r="E120" s="85" t="s">
        <v>105</v>
      </c>
      <c r="F120" s="85" t="s">
        <v>100</v>
      </c>
      <c r="G120" s="85" t="s">
        <v>4</v>
      </c>
      <c r="H120" s="85" t="s">
        <v>8</v>
      </c>
      <c r="I120" s="86">
        <v>43471</v>
      </c>
      <c r="J120" s="86">
        <v>43433</v>
      </c>
      <c r="K120" s="86">
        <v>43497</v>
      </c>
      <c r="L120" s="85" t="s">
        <v>99</v>
      </c>
      <c r="M120" s="86">
        <v>43038</v>
      </c>
      <c r="N120" s="86">
        <v>42960</v>
      </c>
      <c r="O120" s="86">
        <v>43195</v>
      </c>
      <c r="P120" s="86">
        <v>43325</v>
      </c>
      <c r="Q120" s="86">
        <v>43560</v>
      </c>
      <c r="R120" s="85" t="s">
        <v>1652</v>
      </c>
      <c r="S120" s="86">
        <v>43770</v>
      </c>
      <c r="T120" s="85" t="s">
        <v>1652</v>
      </c>
      <c r="U120" s="85" t="s">
        <v>107</v>
      </c>
      <c r="V120" s="85" t="s">
        <v>107</v>
      </c>
      <c r="W120" s="85" t="s">
        <v>107</v>
      </c>
      <c r="X120" s="85" t="s">
        <v>107</v>
      </c>
      <c r="Y120" s="85" t="s">
        <v>107</v>
      </c>
      <c r="Z120" s="85" t="s">
        <v>107</v>
      </c>
      <c r="AA120" s="85" t="s">
        <v>107</v>
      </c>
      <c r="AB120" s="85" t="s">
        <v>107</v>
      </c>
      <c r="AC120" s="85" t="s">
        <v>107</v>
      </c>
      <c r="AD120" s="85" t="s">
        <v>107</v>
      </c>
      <c r="AE120" s="85" t="s">
        <v>107</v>
      </c>
      <c r="AF120" s="85" t="s">
        <v>107</v>
      </c>
      <c r="AG120" s="86">
        <v>43508</v>
      </c>
      <c r="AH120" s="85" t="s">
        <v>107</v>
      </c>
      <c r="AI120" s="85" t="s">
        <v>107</v>
      </c>
      <c r="AJ120" s="85" t="s">
        <v>107</v>
      </c>
      <c r="AK120" s="86">
        <v>42114</v>
      </c>
      <c r="AL120" s="85" t="s">
        <v>107</v>
      </c>
      <c r="AM120" s="85" t="s">
        <v>107</v>
      </c>
      <c r="AN120" s="86">
        <v>43405</v>
      </c>
      <c r="AO120" s="86">
        <v>43207</v>
      </c>
      <c r="AP120" s="86">
        <v>43047</v>
      </c>
      <c r="AQ120" s="86">
        <v>41638</v>
      </c>
      <c r="AR120" s="86">
        <v>43304</v>
      </c>
      <c r="AS120" s="86">
        <v>43304</v>
      </c>
      <c r="AT120" s="86">
        <v>43126</v>
      </c>
      <c r="AU120" s="86">
        <v>43304</v>
      </c>
      <c r="AV120" s="86">
        <v>43304</v>
      </c>
      <c r="AW120" s="86">
        <v>43304</v>
      </c>
    </row>
    <row r="121" spans="1:49" x14ac:dyDescent="0.2">
      <c r="A121" s="85" t="s">
        <v>493</v>
      </c>
      <c r="B121" s="85" t="s">
        <v>494</v>
      </c>
      <c r="C121" s="85" t="s">
        <v>495</v>
      </c>
      <c r="D121" s="85" t="s">
        <v>429</v>
      </c>
      <c r="E121" s="85" t="s">
        <v>112</v>
      </c>
      <c r="F121" s="85" t="s">
        <v>100</v>
      </c>
      <c r="G121" s="85" t="s">
        <v>4</v>
      </c>
      <c r="H121" s="85" t="s">
        <v>6</v>
      </c>
      <c r="I121" s="86">
        <v>43166</v>
      </c>
      <c r="J121" s="86">
        <v>43390</v>
      </c>
      <c r="K121" s="86">
        <v>43278</v>
      </c>
      <c r="L121" s="85" t="s">
        <v>99</v>
      </c>
      <c r="M121" s="86">
        <v>43278</v>
      </c>
      <c r="N121" s="86">
        <v>43278</v>
      </c>
      <c r="O121" s="86">
        <v>42532</v>
      </c>
      <c r="P121" s="86">
        <v>43377</v>
      </c>
      <c r="Q121" s="85"/>
      <c r="R121" s="85" t="s">
        <v>1652</v>
      </c>
      <c r="S121" s="86">
        <v>43525</v>
      </c>
      <c r="T121" s="85" t="s">
        <v>1652</v>
      </c>
      <c r="U121" s="85" t="s">
        <v>107</v>
      </c>
      <c r="V121" s="85" t="s">
        <v>107</v>
      </c>
      <c r="W121" s="85" t="s">
        <v>107</v>
      </c>
      <c r="X121" s="85" t="s">
        <v>107</v>
      </c>
      <c r="Y121" s="85" t="s">
        <v>107</v>
      </c>
      <c r="Z121" s="85" t="s">
        <v>107</v>
      </c>
      <c r="AA121" s="85" t="s">
        <v>107</v>
      </c>
      <c r="AB121" s="85" t="s">
        <v>107</v>
      </c>
      <c r="AC121" s="85" t="s">
        <v>107</v>
      </c>
      <c r="AD121" s="85" t="s">
        <v>107</v>
      </c>
      <c r="AE121" s="85" t="s">
        <v>107</v>
      </c>
      <c r="AF121" s="85" t="s">
        <v>107</v>
      </c>
      <c r="AG121" s="86">
        <v>43344</v>
      </c>
      <c r="AH121" s="85" t="s">
        <v>107</v>
      </c>
      <c r="AI121" s="85" t="s">
        <v>107</v>
      </c>
      <c r="AJ121" s="85" t="s">
        <v>107</v>
      </c>
      <c r="AK121" s="86">
        <v>42155</v>
      </c>
      <c r="AL121" s="85" t="s">
        <v>107</v>
      </c>
      <c r="AM121" s="85" t="s">
        <v>107</v>
      </c>
      <c r="AN121" s="85"/>
      <c r="AO121" s="86">
        <v>43280</v>
      </c>
      <c r="AP121" s="86">
        <v>43280</v>
      </c>
      <c r="AQ121" s="86">
        <v>43280</v>
      </c>
      <c r="AR121" s="86">
        <v>43280</v>
      </c>
      <c r="AS121" s="86">
        <v>43124</v>
      </c>
      <c r="AT121" s="86">
        <v>43280</v>
      </c>
      <c r="AU121" s="86">
        <v>43280</v>
      </c>
      <c r="AV121" s="86">
        <v>43280</v>
      </c>
      <c r="AW121" s="86">
        <v>43280</v>
      </c>
    </row>
    <row r="122" spans="1:49" x14ac:dyDescent="0.2">
      <c r="A122" s="85" t="s">
        <v>1603</v>
      </c>
      <c r="B122" s="85" t="s">
        <v>1604</v>
      </c>
      <c r="C122" s="85" t="s">
        <v>1605</v>
      </c>
      <c r="D122" s="85" t="s">
        <v>1606</v>
      </c>
      <c r="E122" s="85"/>
      <c r="F122" s="85" t="s">
        <v>136</v>
      </c>
      <c r="G122" s="85" t="s">
        <v>4</v>
      </c>
      <c r="H122" s="85" t="s">
        <v>12</v>
      </c>
      <c r="I122" s="86">
        <v>43451</v>
      </c>
      <c r="J122" s="86">
        <v>43265</v>
      </c>
      <c r="K122" s="86">
        <v>43132</v>
      </c>
      <c r="L122" s="85" t="s">
        <v>99</v>
      </c>
      <c r="M122" s="86">
        <v>42585</v>
      </c>
      <c r="N122" s="85" t="s">
        <v>107</v>
      </c>
      <c r="O122" s="86">
        <v>42368</v>
      </c>
      <c r="P122" s="86">
        <v>43333</v>
      </c>
      <c r="Q122" s="86">
        <v>43847</v>
      </c>
      <c r="R122" s="85" t="s">
        <v>1652</v>
      </c>
      <c r="S122" s="86">
        <v>43405</v>
      </c>
      <c r="T122" s="85" t="s">
        <v>1652</v>
      </c>
      <c r="U122" s="86">
        <v>43493</v>
      </c>
      <c r="V122" s="86">
        <v>43861</v>
      </c>
      <c r="W122" s="85" t="s">
        <v>1653</v>
      </c>
      <c r="X122" s="85" t="s">
        <v>114</v>
      </c>
      <c r="Y122" s="85">
        <v>1</v>
      </c>
      <c r="Z122" s="85" t="s">
        <v>114</v>
      </c>
      <c r="AA122" s="85"/>
      <c r="AB122" s="85" t="s">
        <v>114</v>
      </c>
      <c r="AC122" s="85" t="s">
        <v>114</v>
      </c>
      <c r="AD122" s="85" t="s">
        <v>114</v>
      </c>
      <c r="AE122" s="85"/>
      <c r="AF122" s="85"/>
      <c r="AG122" s="86">
        <v>43341</v>
      </c>
      <c r="AH122" s="85" t="s">
        <v>1939</v>
      </c>
      <c r="AI122" s="85"/>
      <c r="AJ122" s="85" t="s">
        <v>1768</v>
      </c>
      <c r="AK122" s="86">
        <v>42144</v>
      </c>
      <c r="AL122" s="85"/>
      <c r="AM122" s="85"/>
      <c r="AN122" s="86">
        <v>43405</v>
      </c>
      <c r="AO122" s="86">
        <v>43328</v>
      </c>
      <c r="AP122" s="86">
        <v>43328</v>
      </c>
      <c r="AQ122" s="86">
        <v>43328</v>
      </c>
      <c r="AR122" s="86">
        <v>43328</v>
      </c>
      <c r="AS122" s="86">
        <v>43328</v>
      </c>
      <c r="AT122" s="86">
        <v>43328</v>
      </c>
      <c r="AU122" s="86">
        <v>43328</v>
      </c>
      <c r="AV122" s="86">
        <v>43328</v>
      </c>
      <c r="AW122" s="86">
        <v>43328</v>
      </c>
    </row>
    <row r="123" spans="1:49" x14ac:dyDescent="0.2">
      <c r="A123" s="85" t="s">
        <v>496</v>
      </c>
      <c r="B123" s="85" t="s">
        <v>497</v>
      </c>
      <c r="C123" s="85" t="s">
        <v>498</v>
      </c>
      <c r="D123" s="85" t="s">
        <v>499</v>
      </c>
      <c r="E123" s="85" t="s">
        <v>149</v>
      </c>
      <c r="F123" s="85" t="s">
        <v>106</v>
      </c>
      <c r="G123" s="85" t="s">
        <v>4</v>
      </c>
      <c r="H123" s="85" t="s">
        <v>5</v>
      </c>
      <c r="I123" s="85" t="s">
        <v>107</v>
      </c>
      <c r="J123" s="86">
        <v>43501</v>
      </c>
      <c r="K123" s="86">
        <v>43501</v>
      </c>
      <c r="L123" s="85" t="s">
        <v>107</v>
      </c>
      <c r="M123" s="85" t="s">
        <v>107</v>
      </c>
      <c r="N123" s="85" t="s">
        <v>107</v>
      </c>
      <c r="O123" s="85" t="s">
        <v>107</v>
      </c>
      <c r="P123" s="85" t="s">
        <v>107</v>
      </c>
      <c r="Q123" s="86">
        <v>43532</v>
      </c>
      <c r="R123" s="85" t="s">
        <v>107</v>
      </c>
      <c r="S123" s="85" t="s">
        <v>107</v>
      </c>
      <c r="T123" s="85" t="s">
        <v>107</v>
      </c>
      <c r="U123" s="85" t="s">
        <v>107</v>
      </c>
      <c r="V123" s="85" t="s">
        <v>107</v>
      </c>
      <c r="W123" s="85" t="s">
        <v>107</v>
      </c>
      <c r="X123" s="85" t="s">
        <v>107</v>
      </c>
      <c r="Y123" s="85" t="s">
        <v>107</v>
      </c>
      <c r="Z123" s="85" t="s">
        <v>107</v>
      </c>
      <c r="AA123" s="85" t="s">
        <v>107</v>
      </c>
      <c r="AB123" s="85" t="s">
        <v>107</v>
      </c>
      <c r="AC123" s="85" t="s">
        <v>107</v>
      </c>
      <c r="AD123" s="85" t="s">
        <v>107</v>
      </c>
      <c r="AE123" s="85" t="s">
        <v>107</v>
      </c>
      <c r="AF123" s="85" t="s">
        <v>107</v>
      </c>
      <c r="AG123" s="86">
        <v>43167</v>
      </c>
      <c r="AH123" s="85" t="s">
        <v>1940</v>
      </c>
      <c r="AI123" s="85" t="s">
        <v>107</v>
      </c>
      <c r="AJ123" s="85" t="s">
        <v>107</v>
      </c>
      <c r="AK123" s="85" t="s">
        <v>107</v>
      </c>
      <c r="AL123" s="85" t="s">
        <v>107</v>
      </c>
      <c r="AM123" s="85" t="s">
        <v>107</v>
      </c>
      <c r="AN123" s="86">
        <v>43393</v>
      </c>
      <c r="AO123" s="86">
        <v>43207</v>
      </c>
      <c r="AP123" s="86">
        <v>43155</v>
      </c>
      <c r="AQ123" s="86">
        <v>42642</v>
      </c>
      <c r="AR123" s="86">
        <v>43175</v>
      </c>
      <c r="AS123" s="86">
        <v>43192</v>
      </c>
      <c r="AT123" s="86">
        <v>43175</v>
      </c>
      <c r="AU123" s="85" t="s">
        <v>107</v>
      </c>
      <c r="AV123" s="86">
        <v>43175</v>
      </c>
      <c r="AW123" s="86">
        <v>43175</v>
      </c>
    </row>
    <row r="124" spans="1:49" x14ac:dyDescent="0.2">
      <c r="A124" s="85" t="s">
        <v>1687</v>
      </c>
      <c r="B124" s="85" t="s">
        <v>1688</v>
      </c>
      <c r="C124" s="85" t="s">
        <v>1689</v>
      </c>
      <c r="D124" s="85" t="s">
        <v>239</v>
      </c>
      <c r="E124" s="85" t="s">
        <v>141</v>
      </c>
      <c r="F124" s="85" t="s">
        <v>106</v>
      </c>
      <c r="G124" s="85" t="s">
        <v>4</v>
      </c>
      <c r="H124" s="85" t="s">
        <v>8</v>
      </c>
      <c r="I124" s="85" t="s">
        <v>107</v>
      </c>
      <c r="J124" s="86">
        <v>43451</v>
      </c>
      <c r="K124" s="86">
        <v>42825</v>
      </c>
      <c r="L124" s="85" t="s">
        <v>107</v>
      </c>
      <c r="M124" s="85" t="s">
        <v>107</v>
      </c>
      <c r="N124" s="85" t="s">
        <v>107</v>
      </c>
      <c r="O124" s="85" t="s">
        <v>107</v>
      </c>
      <c r="P124" s="85" t="s">
        <v>107</v>
      </c>
      <c r="Q124" s="86">
        <v>43200</v>
      </c>
      <c r="R124" s="85" t="s">
        <v>107</v>
      </c>
      <c r="S124" s="85" t="s">
        <v>107</v>
      </c>
      <c r="T124" s="85" t="s">
        <v>107</v>
      </c>
      <c r="U124" s="85" t="s">
        <v>107</v>
      </c>
      <c r="V124" s="85" t="s">
        <v>107</v>
      </c>
      <c r="W124" s="85" t="s">
        <v>107</v>
      </c>
      <c r="X124" s="85" t="s">
        <v>107</v>
      </c>
      <c r="Y124" s="85" t="s">
        <v>107</v>
      </c>
      <c r="Z124" s="85" t="s">
        <v>107</v>
      </c>
      <c r="AA124" s="85" t="s">
        <v>107</v>
      </c>
      <c r="AB124" s="85" t="s">
        <v>107</v>
      </c>
      <c r="AC124" s="85" t="s">
        <v>107</v>
      </c>
      <c r="AD124" s="85" t="s">
        <v>107</v>
      </c>
      <c r="AE124" s="85" t="s">
        <v>107</v>
      </c>
      <c r="AF124" s="85" t="s">
        <v>107</v>
      </c>
      <c r="AG124" s="85" t="s">
        <v>59</v>
      </c>
      <c r="AH124" s="85" t="s">
        <v>107</v>
      </c>
      <c r="AI124" s="85" t="s">
        <v>107</v>
      </c>
      <c r="AJ124" s="85" t="s">
        <v>107</v>
      </c>
      <c r="AK124" s="85" t="s">
        <v>107</v>
      </c>
      <c r="AL124" s="85" t="s">
        <v>107</v>
      </c>
      <c r="AM124" s="85" t="s">
        <v>107</v>
      </c>
      <c r="AN124" s="86">
        <v>43410</v>
      </c>
      <c r="AO124" s="86">
        <v>43410</v>
      </c>
      <c r="AP124" s="86">
        <v>43410</v>
      </c>
      <c r="AQ124" s="86">
        <v>43410</v>
      </c>
      <c r="AR124" s="86">
        <v>43410</v>
      </c>
      <c r="AS124" s="86">
        <v>43410</v>
      </c>
      <c r="AT124" s="86">
        <v>43410</v>
      </c>
      <c r="AU124" s="85" t="s">
        <v>107</v>
      </c>
      <c r="AV124" s="86">
        <v>43410</v>
      </c>
      <c r="AW124" s="86">
        <v>43410</v>
      </c>
    </row>
    <row r="125" spans="1:49" x14ac:dyDescent="0.2">
      <c r="A125" s="85" t="s">
        <v>1690</v>
      </c>
      <c r="B125" s="85" t="s">
        <v>1691</v>
      </c>
      <c r="C125" s="85" t="s">
        <v>1692</v>
      </c>
      <c r="D125" s="85" t="s">
        <v>418</v>
      </c>
      <c r="E125" s="85" t="s">
        <v>112</v>
      </c>
      <c r="F125" s="85" t="s">
        <v>106</v>
      </c>
      <c r="G125" s="85" t="s">
        <v>4</v>
      </c>
      <c r="H125" s="85" t="s">
        <v>5</v>
      </c>
      <c r="I125" s="85" t="s">
        <v>107</v>
      </c>
      <c r="J125" s="86">
        <v>43458</v>
      </c>
      <c r="K125" s="86">
        <v>43458</v>
      </c>
      <c r="L125" s="85" t="s">
        <v>107</v>
      </c>
      <c r="M125" s="85" t="s">
        <v>107</v>
      </c>
      <c r="N125" s="85" t="s">
        <v>107</v>
      </c>
      <c r="O125" s="85" t="s">
        <v>107</v>
      </c>
      <c r="P125" s="85" t="s">
        <v>107</v>
      </c>
      <c r="Q125" s="85" t="s">
        <v>59</v>
      </c>
      <c r="R125" s="85" t="s">
        <v>107</v>
      </c>
      <c r="S125" s="85" t="s">
        <v>107</v>
      </c>
      <c r="T125" s="85" t="s">
        <v>107</v>
      </c>
      <c r="U125" s="85" t="s">
        <v>107</v>
      </c>
      <c r="V125" s="85" t="s">
        <v>107</v>
      </c>
      <c r="W125" s="85" t="s">
        <v>107</v>
      </c>
      <c r="X125" s="85" t="s">
        <v>107</v>
      </c>
      <c r="Y125" s="85" t="s">
        <v>107</v>
      </c>
      <c r="Z125" s="85" t="s">
        <v>107</v>
      </c>
      <c r="AA125" s="85" t="s">
        <v>107</v>
      </c>
      <c r="AB125" s="85" t="s">
        <v>107</v>
      </c>
      <c r="AC125" s="85" t="s">
        <v>107</v>
      </c>
      <c r="AD125" s="85" t="s">
        <v>107</v>
      </c>
      <c r="AE125" s="85" t="s">
        <v>107</v>
      </c>
      <c r="AF125" s="85" t="s">
        <v>107</v>
      </c>
      <c r="AG125" s="85" t="s">
        <v>59</v>
      </c>
      <c r="AH125" s="85" t="s">
        <v>1941</v>
      </c>
      <c r="AI125" s="85" t="s">
        <v>107</v>
      </c>
      <c r="AJ125" s="85" t="s">
        <v>107</v>
      </c>
      <c r="AK125" s="85" t="s">
        <v>107</v>
      </c>
      <c r="AL125" s="85" t="s">
        <v>107</v>
      </c>
      <c r="AM125" s="85" t="s">
        <v>107</v>
      </c>
      <c r="AN125" s="86">
        <v>43410</v>
      </c>
      <c r="AO125" s="86">
        <v>43410</v>
      </c>
      <c r="AP125" s="86">
        <v>43410</v>
      </c>
      <c r="AQ125" s="86">
        <v>43410</v>
      </c>
      <c r="AR125" s="86">
        <v>43410</v>
      </c>
      <c r="AS125" s="86">
        <v>43410</v>
      </c>
      <c r="AT125" s="86">
        <v>43410</v>
      </c>
      <c r="AU125" s="85" t="s">
        <v>107</v>
      </c>
      <c r="AV125" s="86">
        <v>43410</v>
      </c>
      <c r="AW125" s="86">
        <v>43410</v>
      </c>
    </row>
    <row r="126" spans="1:49" x14ac:dyDescent="0.2">
      <c r="A126" s="85" t="s">
        <v>500</v>
      </c>
      <c r="B126" s="85" t="s">
        <v>501</v>
      </c>
      <c r="C126" s="85" t="s">
        <v>502</v>
      </c>
      <c r="D126" s="85" t="s">
        <v>180</v>
      </c>
      <c r="E126" s="85" t="s">
        <v>291</v>
      </c>
      <c r="F126" s="85" t="s">
        <v>100</v>
      </c>
      <c r="G126" s="85" t="s">
        <v>4</v>
      </c>
      <c r="H126" s="85" t="s">
        <v>14</v>
      </c>
      <c r="I126" s="86">
        <v>43451</v>
      </c>
      <c r="J126" s="86">
        <v>43388</v>
      </c>
      <c r="K126" s="86">
        <v>43388</v>
      </c>
      <c r="L126" s="85" t="s">
        <v>99</v>
      </c>
      <c r="M126" s="86">
        <v>43118</v>
      </c>
      <c r="N126" s="86">
        <v>43112</v>
      </c>
      <c r="O126" s="86">
        <v>43112</v>
      </c>
      <c r="P126" s="86">
        <v>43377</v>
      </c>
      <c r="Q126" s="85" t="s">
        <v>59</v>
      </c>
      <c r="R126" s="85" t="s">
        <v>1652</v>
      </c>
      <c r="S126" s="86">
        <v>44166</v>
      </c>
      <c r="T126" s="85" t="s">
        <v>1652</v>
      </c>
      <c r="U126" s="85" t="s">
        <v>107</v>
      </c>
      <c r="V126" s="85" t="s">
        <v>107</v>
      </c>
      <c r="W126" s="85" t="s">
        <v>107</v>
      </c>
      <c r="X126" s="85" t="s">
        <v>107</v>
      </c>
      <c r="Y126" s="85" t="s">
        <v>107</v>
      </c>
      <c r="Z126" s="85" t="s">
        <v>107</v>
      </c>
      <c r="AA126" s="85" t="s">
        <v>107</v>
      </c>
      <c r="AB126" s="85" t="s">
        <v>107</v>
      </c>
      <c r="AC126" s="85" t="s">
        <v>107</v>
      </c>
      <c r="AD126" s="85" t="s">
        <v>107</v>
      </c>
      <c r="AE126" s="85" t="s">
        <v>107</v>
      </c>
      <c r="AF126" s="85" t="s">
        <v>107</v>
      </c>
      <c r="AG126" s="86">
        <v>43199</v>
      </c>
      <c r="AH126" s="85" t="s">
        <v>1942</v>
      </c>
      <c r="AI126" s="85" t="s">
        <v>107</v>
      </c>
      <c r="AJ126" s="85" t="s">
        <v>107</v>
      </c>
      <c r="AK126" s="86">
        <v>43118</v>
      </c>
      <c r="AL126" s="85" t="s">
        <v>107</v>
      </c>
      <c r="AM126" s="85" t="s">
        <v>107</v>
      </c>
      <c r="AN126" s="86">
        <v>43375</v>
      </c>
      <c r="AO126" s="86">
        <v>43354</v>
      </c>
      <c r="AP126" s="86">
        <v>43108</v>
      </c>
      <c r="AQ126" s="86">
        <v>43130</v>
      </c>
      <c r="AR126" s="86">
        <v>43131</v>
      </c>
      <c r="AS126" s="86">
        <v>43158</v>
      </c>
      <c r="AT126" s="86">
        <v>43130</v>
      </c>
      <c r="AU126" s="85"/>
      <c r="AV126" s="86">
        <v>43130</v>
      </c>
      <c r="AW126" s="86">
        <v>43130</v>
      </c>
    </row>
    <row r="127" spans="1:49" x14ac:dyDescent="0.2">
      <c r="A127" s="85" t="s">
        <v>503</v>
      </c>
      <c r="B127" s="85" t="s">
        <v>504</v>
      </c>
      <c r="C127" s="85" t="s">
        <v>505</v>
      </c>
      <c r="D127" s="85" t="s">
        <v>506</v>
      </c>
      <c r="E127" s="85" t="s">
        <v>158</v>
      </c>
      <c r="F127" s="85" t="s">
        <v>106</v>
      </c>
      <c r="G127" s="85" t="s">
        <v>4</v>
      </c>
      <c r="H127" s="85" t="s">
        <v>7</v>
      </c>
      <c r="I127" s="85" t="s">
        <v>107</v>
      </c>
      <c r="J127" s="86">
        <v>43167</v>
      </c>
      <c r="K127" s="86">
        <v>43164</v>
      </c>
      <c r="L127" s="85" t="s">
        <v>107</v>
      </c>
      <c r="M127" s="85" t="s">
        <v>107</v>
      </c>
      <c r="N127" s="85" t="s">
        <v>107</v>
      </c>
      <c r="O127" s="85" t="s">
        <v>107</v>
      </c>
      <c r="P127" s="85" t="s">
        <v>107</v>
      </c>
      <c r="Q127" s="86">
        <v>43532</v>
      </c>
      <c r="R127" s="85" t="s">
        <v>107</v>
      </c>
      <c r="S127" s="85" t="s">
        <v>107</v>
      </c>
      <c r="T127" s="85" t="s">
        <v>107</v>
      </c>
      <c r="U127" s="85" t="s">
        <v>107</v>
      </c>
      <c r="V127" s="85" t="s">
        <v>107</v>
      </c>
      <c r="W127" s="85" t="s">
        <v>107</v>
      </c>
      <c r="X127" s="85" t="s">
        <v>107</v>
      </c>
      <c r="Y127" s="85" t="s">
        <v>107</v>
      </c>
      <c r="Z127" s="85" t="s">
        <v>107</v>
      </c>
      <c r="AA127" s="85" t="s">
        <v>107</v>
      </c>
      <c r="AB127" s="85" t="s">
        <v>107</v>
      </c>
      <c r="AC127" s="85" t="s">
        <v>107</v>
      </c>
      <c r="AD127" s="85" t="s">
        <v>107</v>
      </c>
      <c r="AE127" s="85" t="s">
        <v>107</v>
      </c>
      <c r="AF127" s="85" t="s">
        <v>107</v>
      </c>
      <c r="AG127" s="86">
        <v>43167</v>
      </c>
      <c r="AH127" s="85" t="s">
        <v>107</v>
      </c>
      <c r="AI127" s="85" t="s">
        <v>107</v>
      </c>
      <c r="AJ127" s="85" t="s">
        <v>107</v>
      </c>
      <c r="AK127" s="85" t="s">
        <v>107</v>
      </c>
      <c r="AL127" s="85" t="s">
        <v>107</v>
      </c>
      <c r="AM127" s="85" t="s">
        <v>107</v>
      </c>
      <c r="AN127" s="86">
        <v>43398</v>
      </c>
      <c r="AO127" s="86">
        <v>43207</v>
      </c>
      <c r="AP127" s="86">
        <v>43272</v>
      </c>
      <c r="AQ127" s="86">
        <v>43272</v>
      </c>
      <c r="AR127" s="86">
        <v>43272</v>
      </c>
      <c r="AS127" s="86">
        <v>43272</v>
      </c>
      <c r="AT127" s="86">
        <v>43272</v>
      </c>
      <c r="AU127" s="85" t="s">
        <v>107</v>
      </c>
      <c r="AV127" s="86">
        <v>43272</v>
      </c>
      <c r="AW127" s="86">
        <v>43272</v>
      </c>
    </row>
    <row r="128" spans="1:49" x14ac:dyDescent="0.2">
      <c r="A128" s="85" t="s">
        <v>507</v>
      </c>
      <c r="B128" s="85" t="s">
        <v>508</v>
      </c>
      <c r="C128" s="85" t="s">
        <v>509</v>
      </c>
      <c r="D128" s="85" t="s">
        <v>510</v>
      </c>
      <c r="E128" s="85"/>
      <c r="F128" s="85" t="s">
        <v>172</v>
      </c>
      <c r="G128" s="85" t="s">
        <v>4</v>
      </c>
      <c r="H128" s="85" t="s">
        <v>17</v>
      </c>
      <c r="I128" s="86">
        <v>43451</v>
      </c>
      <c r="J128" s="86">
        <v>43206</v>
      </c>
      <c r="K128" s="86">
        <v>43206</v>
      </c>
      <c r="L128" s="85" t="s">
        <v>99</v>
      </c>
      <c r="M128" s="86">
        <v>42905</v>
      </c>
      <c r="N128" s="85" t="s">
        <v>107</v>
      </c>
      <c r="O128" s="86">
        <v>42470</v>
      </c>
      <c r="P128" s="86">
        <v>43305</v>
      </c>
      <c r="Q128" s="86">
        <v>43271</v>
      </c>
      <c r="R128" s="85" t="s">
        <v>1652</v>
      </c>
      <c r="S128" s="86">
        <v>43497</v>
      </c>
      <c r="T128" s="85" t="s">
        <v>1652</v>
      </c>
      <c r="U128" s="86">
        <v>43265</v>
      </c>
      <c r="V128" s="86">
        <v>43646</v>
      </c>
      <c r="W128" s="85" t="s">
        <v>1653</v>
      </c>
      <c r="X128" s="85" t="s">
        <v>114</v>
      </c>
      <c r="Y128" s="85">
        <v>1</v>
      </c>
      <c r="Z128" s="85" t="s">
        <v>114</v>
      </c>
      <c r="AA128" s="85"/>
      <c r="AB128" s="85" t="s">
        <v>114</v>
      </c>
      <c r="AC128" s="85" t="s">
        <v>114</v>
      </c>
      <c r="AD128" s="85" t="s">
        <v>114</v>
      </c>
      <c r="AE128" s="85"/>
      <c r="AF128" s="85"/>
      <c r="AG128" s="86">
        <v>43165</v>
      </c>
      <c r="AH128" s="85" t="s">
        <v>107</v>
      </c>
      <c r="AI128" s="86">
        <v>43208</v>
      </c>
      <c r="AJ128" s="86">
        <v>43208</v>
      </c>
      <c r="AK128" s="86">
        <v>41373</v>
      </c>
      <c r="AL128" s="86">
        <v>42906</v>
      </c>
      <c r="AM128" s="86">
        <v>42906</v>
      </c>
      <c r="AN128" s="86">
        <v>43375</v>
      </c>
      <c r="AO128" s="86">
        <v>43207</v>
      </c>
      <c r="AP128" s="86">
        <v>43208</v>
      </c>
      <c r="AQ128" s="86">
        <v>42305</v>
      </c>
      <c r="AR128" s="86">
        <v>43192</v>
      </c>
      <c r="AS128" s="86">
        <v>43192</v>
      </c>
      <c r="AT128" s="86">
        <v>43192</v>
      </c>
      <c r="AU128" s="86">
        <v>43192</v>
      </c>
      <c r="AV128" s="86">
        <v>43192</v>
      </c>
      <c r="AW128" s="86">
        <v>43192</v>
      </c>
    </row>
    <row r="129" spans="1:49" x14ac:dyDescent="0.2">
      <c r="A129" s="85" t="s">
        <v>511</v>
      </c>
      <c r="B129" s="85" t="s">
        <v>512</v>
      </c>
      <c r="C129" s="85" t="s">
        <v>513</v>
      </c>
      <c r="D129" s="85" t="s">
        <v>379</v>
      </c>
      <c r="E129" s="85" t="s">
        <v>119</v>
      </c>
      <c r="F129" s="85" t="s">
        <v>100</v>
      </c>
      <c r="G129" s="85" t="s">
        <v>4</v>
      </c>
      <c r="H129" s="85" t="s">
        <v>18</v>
      </c>
      <c r="I129" s="86">
        <v>43496</v>
      </c>
      <c r="J129" s="86">
        <v>43465</v>
      </c>
      <c r="K129" s="86">
        <v>43192</v>
      </c>
      <c r="L129" s="85" t="s">
        <v>99</v>
      </c>
      <c r="M129" s="86">
        <v>42413</v>
      </c>
      <c r="N129" s="86">
        <v>43200</v>
      </c>
      <c r="O129" s="86">
        <v>42409</v>
      </c>
      <c r="P129" s="86">
        <v>43243</v>
      </c>
      <c r="Q129" s="86">
        <v>43564</v>
      </c>
      <c r="R129" s="85" t="s">
        <v>1652</v>
      </c>
      <c r="S129" s="86">
        <v>45170</v>
      </c>
      <c r="T129" s="85" t="s">
        <v>1652</v>
      </c>
      <c r="U129" s="85" t="s">
        <v>107</v>
      </c>
      <c r="V129" s="85" t="s">
        <v>107</v>
      </c>
      <c r="W129" s="85" t="s">
        <v>107</v>
      </c>
      <c r="X129" s="85" t="s">
        <v>107</v>
      </c>
      <c r="Y129" s="85" t="s">
        <v>107</v>
      </c>
      <c r="Z129" s="85" t="s">
        <v>107</v>
      </c>
      <c r="AA129" s="85" t="s">
        <v>107</v>
      </c>
      <c r="AB129" s="85" t="s">
        <v>107</v>
      </c>
      <c r="AC129" s="85" t="s">
        <v>107</v>
      </c>
      <c r="AD129" s="85" t="s">
        <v>107</v>
      </c>
      <c r="AE129" s="85" t="s">
        <v>107</v>
      </c>
      <c r="AF129" s="85" t="s">
        <v>107</v>
      </c>
      <c r="AG129" s="86">
        <v>43199</v>
      </c>
      <c r="AH129" s="85" t="s">
        <v>107</v>
      </c>
      <c r="AI129" s="85" t="s">
        <v>107</v>
      </c>
      <c r="AJ129" s="85" t="s">
        <v>107</v>
      </c>
      <c r="AK129" s="86">
        <v>42409</v>
      </c>
      <c r="AL129" s="85" t="s">
        <v>107</v>
      </c>
      <c r="AM129" s="85" t="s">
        <v>107</v>
      </c>
      <c r="AN129" s="86">
        <v>43375</v>
      </c>
      <c r="AO129" s="86">
        <v>43207</v>
      </c>
      <c r="AP129" s="86">
        <v>43047</v>
      </c>
      <c r="AQ129" s="86">
        <v>43060</v>
      </c>
      <c r="AR129" s="86">
        <v>43214</v>
      </c>
      <c r="AS129" s="86">
        <v>43214</v>
      </c>
      <c r="AT129" s="86">
        <v>43214</v>
      </c>
      <c r="AU129" s="86">
        <v>43214</v>
      </c>
      <c r="AV129" s="86">
        <v>43214</v>
      </c>
      <c r="AW129" s="86">
        <v>43214</v>
      </c>
    </row>
    <row r="130" spans="1:49" x14ac:dyDescent="0.2">
      <c r="A130" s="85" t="s">
        <v>514</v>
      </c>
      <c r="B130" s="85" t="s">
        <v>515</v>
      </c>
      <c r="C130" s="85" t="s">
        <v>516</v>
      </c>
      <c r="D130" s="85" t="s">
        <v>225</v>
      </c>
      <c r="E130" s="85" t="s">
        <v>149</v>
      </c>
      <c r="F130" s="85" t="s">
        <v>127</v>
      </c>
      <c r="G130" s="85" t="s">
        <v>4</v>
      </c>
      <c r="H130" s="85" t="s">
        <v>5</v>
      </c>
      <c r="I130" s="86">
        <v>43393</v>
      </c>
      <c r="J130" s="86">
        <v>43267</v>
      </c>
      <c r="K130" s="86">
        <v>43244</v>
      </c>
      <c r="L130" s="85" t="s">
        <v>99</v>
      </c>
      <c r="M130" s="86">
        <v>42684</v>
      </c>
      <c r="N130" s="85" t="s">
        <v>107</v>
      </c>
      <c r="O130" s="86">
        <v>43497</v>
      </c>
      <c r="P130" s="86">
        <v>43361</v>
      </c>
      <c r="Q130" s="86">
        <v>43678</v>
      </c>
      <c r="R130" s="85" t="s">
        <v>1652</v>
      </c>
      <c r="S130" s="86">
        <v>43952</v>
      </c>
      <c r="T130" s="85" t="s">
        <v>1652</v>
      </c>
      <c r="U130" s="86">
        <v>43339</v>
      </c>
      <c r="V130" s="86">
        <v>43524</v>
      </c>
      <c r="W130" s="85" t="s">
        <v>1655</v>
      </c>
      <c r="X130" s="85" t="s">
        <v>114</v>
      </c>
      <c r="Y130" s="85">
        <v>1</v>
      </c>
      <c r="Z130" s="85" t="s">
        <v>114</v>
      </c>
      <c r="AA130" s="85" t="s">
        <v>1659</v>
      </c>
      <c r="AB130" s="85" t="s">
        <v>114</v>
      </c>
      <c r="AC130" s="85" t="s">
        <v>114</v>
      </c>
      <c r="AD130" s="85" t="s">
        <v>114</v>
      </c>
      <c r="AE130" s="85"/>
      <c r="AF130" s="85"/>
      <c r="AG130" s="86">
        <v>43411</v>
      </c>
      <c r="AH130" s="85" t="s">
        <v>1943</v>
      </c>
      <c r="AI130" s="86">
        <v>43136</v>
      </c>
      <c r="AJ130" s="86">
        <v>43136</v>
      </c>
      <c r="AK130" s="86">
        <v>41563</v>
      </c>
      <c r="AL130" s="86">
        <v>41473</v>
      </c>
      <c r="AM130" s="86">
        <v>41473</v>
      </c>
      <c r="AN130" s="86">
        <v>43467</v>
      </c>
      <c r="AO130" s="86">
        <v>43467</v>
      </c>
      <c r="AP130" s="86">
        <v>43467</v>
      </c>
      <c r="AQ130" s="86">
        <v>43467</v>
      </c>
      <c r="AR130" s="86">
        <v>43467</v>
      </c>
      <c r="AS130" s="86">
        <v>43467</v>
      </c>
      <c r="AT130" s="86">
        <v>43467</v>
      </c>
      <c r="AU130" s="86">
        <v>43467</v>
      </c>
      <c r="AV130" s="86">
        <v>43467</v>
      </c>
      <c r="AW130" s="86">
        <v>43467</v>
      </c>
    </row>
    <row r="131" spans="1:49" x14ac:dyDescent="0.2">
      <c r="A131" s="85" t="s">
        <v>517</v>
      </c>
      <c r="B131" s="85" t="s">
        <v>518</v>
      </c>
      <c r="C131" s="85" t="s">
        <v>519</v>
      </c>
      <c r="D131" s="85" t="s">
        <v>520</v>
      </c>
      <c r="E131" s="85" t="s">
        <v>119</v>
      </c>
      <c r="F131" s="85" t="s">
        <v>106</v>
      </c>
      <c r="G131" s="85" t="s">
        <v>4</v>
      </c>
      <c r="H131" s="85" t="s">
        <v>13</v>
      </c>
      <c r="I131" s="85" t="s">
        <v>107</v>
      </c>
      <c r="J131" s="86">
        <v>43507</v>
      </c>
      <c r="K131" s="86">
        <v>43507</v>
      </c>
      <c r="L131" s="85" t="s">
        <v>107</v>
      </c>
      <c r="M131" s="85" t="s">
        <v>107</v>
      </c>
      <c r="N131" s="85" t="s">
        <v>107</v>
      </c>
      <c r="O131" s="85" t="s">
        <v>107</v>
      </c>
      <c r="P131" s="85" t="s">
        <v>107</v>
      </c>
      <c r="Q131" s="85" t="s">
        <v>59</v>
      </c>
      <c r="R131" s="85" t="s">
        <v>107</v>
      </c>
      <c r="S131" s="85" t="s">
        <v>107</v>
      </c>
      <c r="T131" s="85" t="s">
        <v>107</v>
      </c>
      <c r="U131" s="85" t="s">
        <v>107</v>
      </c>
      <c r="V131" s="85" t="s">
        <v>107</v>
      </c>
      <c r="W131" s="85" t="s">
        <v>107</v>
      </c>
      <c r="X131" s="85" t="s">
        <v>107</v>
      </c>
      <c r="Y131" s="85" t="s">
        <v>107</v>
      </c>
      <c r="Z131" s="85" t="s">
        <v>107</v>
      </c>
      <c r="AA131" s="85" t="s">
        <v>107</v>
      </c>
      <c r="AB131" s="85" t="s">
        <v>107</v>
      </c>
      <c r="AC131" s="85" t="s">
        <v>107</v>
      </c>
      <c r="AD131" s="85" t="s">
        <v>107</v>
      </c>
      <c r="AE131" s="85" t="s">
        <v>107</v>
      </c>
      <c r="AF131" s="85" t="s">
        <v>107</v>
      </c>
      <c r="AG131" s="86">
        <v>43500</v>
      </c>
      <c r="AH131" s="85" t="s">
        <v>107</v>
      </c>
      <c r="AI131" s="85" t="s">
        <v>107</v>
      </c>
      <c r="AJ131" s="85" t="s">
        <v>107</v>
      </c>
      <c r="AK131" s="85" t="s">
        <v>107</v>
      </c>
      <c r="AL131" s="85" t="s">
        <v>107</v>
      </c>
      <c r="AM131" s="85" t="s">
        <v>107</v>
      </c>
      <c r="AN131" s="86">
        <v>43518</v>
      </c>
      <c r="AO131" s="86">
        <v>43213</v>
      </c>
      <c r="AP131" s="86">
        <v>43518</v>
      </c>
      <c r="AQ131" s="86">
        <v>43214</v>
      </c>
      <c r="AR131" s="86">
        <v>43518</v>
      </c>
      <c r="AS131" s="86">
        <v>43518</v>
      </c>
      <c r="AT131" s="86">
        <v>43518</v>
      </c>
      <c r="AU131" s="85" t="s">
        <v>107</v>
      </c>
      <c r="AV131" s="86">
        <v>43518</v>
      </c>
      <c r="AW131" s="86">
        <v>43518</v>
      </c>
    </row>
    <row r="132" spans="1:49" x14ac:dyDescent="0.2">
      <c r="A132" s="85" t="s">
        <v>1944</v>
      </c>
      <c r="B132" s="85" t="s">
        <v>1945</v>
      </c>
      <c r="C132" s="85" t="s">
        <v>1946</v>
      </c>
      <c r="D132" s="85" t="s">
        <v>435</v>
      </c>
      <c r="E132" s="85" t="s">
        <v>141</v>
      </c>
      <c r="F132" s="85" t="s">
        <v>144</v>
      </c>
      <c r="G132" s="85" t="s">
        <v>4</v>
      </c>
      <c r="H132" s="85" t="s">
        <v>13</v>
      </c>
      <c r="I132" s="85" t="s">
        <v>59</v>
      </c>
      <c r="J132" s="85" t="s">
        <v>59</v>
      </c>
      <c r="K132" s="85" t="s">
        <v>59</v>
      </c>
      <c r="L132" s="85" t="s">
        <v>59</v>
      </c>
      <c r="M132" s="85" t="s">
        <v>59</v>
      </c>
      <c r="N132" s="85" t="s">
        <v>107</v>
      </c>
      <c r="O132" s="85" t="s">
        <v>59</v>
      </c>
      <c r="P132" s="85" t="s">
        <v>59</v>
      </c>
      <c r="Q132" s="85" t="s">
        <v>59</v>
      </c>
      <c r="R132" s="85" t="s">
        <v>1652</v>
      </c>
      <c r="S132" s="85" t="s">
        <v>59</v>
      </c>
      <c r="T132" s="85" t="s">
        <v>59</v>
      </c>
      <c r="U132" s="85" t="s">
        <v>59</v>
      </c>
      <c r="V132" s="85" t="s">
        <v>59</v>
      </c>
      <c r="W132" s="85" t="s">
        <v>59</v>
      </c>
      <c r="X132" s="85" t="s">
        <v>59</v>
      </c>
      <c r="Y132" s="85" t="s">
        <v>59</v>
      </c>
      <c r="Z132" s="85" t="s">
        <v>59</v>
      </c>
      <c r="AA132" s="85" t="s">
        <v>59</v>
      </c>
      <c r="AB132" s="85" t="s">
        <v>59</v>
      </c>
      <c r="AC132" s="85" t="s">
        <v>59</v>
      </c>
      <c r="AD132" s="85" t="s">
        <v>59</v>
      </c>
      <c r="AE132" s="85" t="s">
        <v>59</v>
      </c>
      <c r="AF132" s="85" t="s">
        <v>59</v>
      </c>
      <c r="AG132" s="86">
        <v>43490</v>
      </c>
      <c r="AH132" s="85" t="s">
        <v>107</v>
      </c>
      <c r="AI132" s="85" t="s">
        <v>59</v>
      </c>
      <c r="AJ132" s="85" t="s">
        <v>59</v>
      </c>
      <c r="AK132" s="85" t="s">
        <v>59</v>
      </c>
      <c r="AL132" s="85" t="s">
        <v>107</v>
      </c>
      <c r="AM132" s="85" t="s">
        <v>107</v>
      </c>
      <c r="AN132" s="85" t="s">
        <v>59</v>
      </c>
      <c r="AO132" s="85" t="s">
        <v>59</v>
      </c>
      <c r="AP132" s="85" t="s">
        <v>59</v>
      </c>
      <c r="AQ132" s="85" t="s">
        <v>59</v>
      </c>
      <c r="AR132" s="85" t="s">
        <v>59</v>
      </c>
      <c r="AS132" s="85" t="s">
        <v>59</v>
      </c>
      <c r="AT132" s="85" t="s">
        <v>59</v>
      </c>
      <c r="AU132" s="85" t="s">
        <v>59</v>
      </c>
      <c r="AV132" s="85" t="s">
        <v>59</v>
      </c>
      <c r="AW132" s="85" t="s">
        <v>59</v>
      </c>
    </row>
    <row r="133" spans="1:49" x14ac:dyDescent="0.2">
      <c r="A133" s="85" t="s">
        <v>1630</v>
      </c>
      <c r="B133" s="85" t="s">
        <v>1631</v>
      </c>
      <c r="C133" s="85" t="s">
        <v>1632</v>
      </c>
      <c r="D133" s="85" t="s">
        <v>262</v>
      </c>
      <c r="E133" s="85" t="s">
        <v>141</v>
      </c>
      <c r="F133" s="85" t="s">
        <v>106</v>
      </c>
      <c r="G133" s="85" t="s">
        <v>4</v>
      </c>
      <c r="H133" s="85" t="s">
        <v>7</v>
      </c>
      <c r="I133" s="85" t="s">
        <v>107</v>
      </c>
      <c r="J133" s="86">
        <v>43432</v>
      </c>
      <c r="K133" s="86">
        <v>43371</v>
      </c>
      <c r="L133" s="85" t="s">
        <v>107</v>
      </c>
      <c r="M133" s="85" t="s">
        <v>107</v>
      </c>
      <c r="N133" s="85" t="s">
        <v>107</v>
      </c>
      <c r="O133" s="85" t="s">
        <v>107</v>
      </c>
      <c r="P133" s="85" t="s">
        <v>107</v>
      </c>
      <c r="Q133" s="86">
        <v>43726</v>
      </c>
      <c r="R133" s="85" t="s">
        <v>107</v>
      </c>
      <c r="S133" s="85" t="s">
        <v>107</v>
      </c>
      <c r="T133" s="85" t="s">
        <v>107</v>
      </c>
      <c r="U133" s="85" t="s">
        <v>107</v>
      </c>
      <c r="V133" s="85" t="s">
        <v>107</v>
      </c>
      <c r="W133" s="85" t="s">
        <v>107</v>
      </c>
      <c r="X133" s="85" t="s">
        <v>107</v>
      </c>
      <c r="Y133" s="85" t="s">
        <v>107</v>
      </c>
      <c r="Z133" s="85" t="s">
        <v>107</v>
      </c>
      <c r="AA133" s="85" t="s">
        <v>107</v>
      </c>
      <c r="AB133" s="85" t="s">
        <v>107</v>
      </c>
      <c r="AC133" s="85" t="s">
        <v>107</v>
      </c>
      <c r="AD133" s="85" t="s">
        <v>107</v>
      </c>
      <c r="AE133" s="85" t="s">
        <v>107</v>
      </c>
      <c r="AF133" s="85" t="s">
        <v>107</v>
      </c>
      <c r="AG133" s="85" t="s">
        <v>59</v>
      </c>
      <c r="AH133" s="85" t="s">
        <v>1947</v>
      </c>
      <c r="AI133" s="85" t="s">
        <v>107</v>
      </c>
      <c r="AJ133" s="85" t="s">
        <v>107</v>
      </c>
      <c r="AK133" s="85" t="s">
        <v>107</v>
      </c>
      <c r="AL133" s="85" t="s">
        <v>107</v>
      </c>
      <c r="AM133" s="85" t="s">
        <v>107</v>
      </c>
      <c r="AN133" s="85"/>
      <c r="AO133" s="86">
        <v>43367</v>
      </c>
      <c r="AP133" s="86">
        <v>43367</v>
      </c>
      <c r="AQ133" s="86">
        <v>43367</v>
      </c>
      <c r="AR133" s="85"/>
      <c r="AS133" s="85"/>
      <c r="AT133" s="85"/>
      <c r="AU133" s="85" t="s">
        <v>107</v>
      </c>
      <c r="AV133" s="85"/>
      <c r="AW133" s="85"/>
    </row>
    <row r="134" spans="1:49" x14ac:dyDescent="0.2">
      <c r="A134" s="85" t="s">
        <v>521</v>
      </c>
      <c r="B134" s="85" t="s">
        <v>522</v>
      </c>
      <c r="C134" s="85" t="s">
        <v>523</v>
      </c>
      <c r="D134" s="85" t="s">
        <v>524</v>
      </c>
      <c r="E134" s="85" t="s">
        <v>141</v>
      </c>
      <c r="F134" s="85" t="s">
        <v>144</v>
      </c>
      <c r="G134" s="85" t="s">
        <v>4</v>
      </c>
      <c r="H134" s="85" t="s">
        <v>8</v>
      </c>
      <c r="I134" s="86">
        <v>43465</v>
      </c>
      <c r="J134" s="86">
        <v>43167</v>
      </c>
      <c r="K134" s="86">
        <v>43164</v>
      </c>
      <c r="L134" s="85" t="s">
        <v>99</v>
      </c>
      <c r="M134" s="86">
        <v>43067</v>
      </c>
      <c r="N134" s="85" t="s">
        <v>107</v>
      </c>
      <c r="O134" s="86">
        <v>43164</v>
      </c>
      <c r="P134" s="86">
        <v>43172</v>
      </c>
      <c r="Q134" s="86">
        <v>43532</v>
      </c>
      <c r="R134" s="85" t="s">
        <v>1652</v>
      </c>
      <c r="S134" s="86">
        <v>43556</v>
      </c>
      <c r="T134" s="85" t="s">
        <v>1652</v>
      </c>
      <c r="U134" s="86">
        <v>43298</v>
      </c>
      <c r="V134" s="86">
        <v>43830</v>
      </c>
      <c r="W134" s="85" t="s">
        <v>1662</v>
      </c>
      <c r="X134" s="85" t="s">
        <v>114</v>
      </c>
      <c r="Y134" s="85">
        <v>1</v>
      </c>
      <c r="Z134" s="85" t="s">
        <v>114</v>
      </c>
      <c r="AA134" s="85" t="s">
        <v>1663</v>
      </c>
      <c r="AB134" s="85" t="s">
        <v>211</v>
      </c>
      <c r="AC134" s="85" t="s">
        <v>114</v>
      </c>
      <c r="AD134" s="85" t="s">
        <v>211</v>
      </c>
      <c r="AE134" s="85" t="s">
        <v>1656</v>
      </c>
      <c r="AF134" s="85"/>
      <c r="AG134" s="86">
        <v>43238</v>
      </c>
      <c r="AH134" s="85" t="s">
        <v>107</v>
      </c>
      <c r="AI134" s="85"/>
      <c r="AJ134" s="85"/>
      <c r="AK134" s="86">
        <v>43164</v>
      </c>
      <c r="AL134" s="86">
        <v>41550</v>
      </c>
      <c r="AM134" s="86">
        <v>41550</v>
      </c>
      <c r="AN134" s="86">
        <v>43376</v>
      </c>
      <c r="AO134" s="86">
        <v>43220</v>
      </c>
      <c r="AP134" s="86">
        <v>43160</v>
      </c>
      <c r="AQ134" s="86">
        <v>43220</v>
      </c>
      <c r="AR134" s="86">
        <v>43160</v>
      </c>
      <c r="AS134" s="86">
        <v>43160</v>
      </c>
      <c r="AT134" s="86">
        <v>43160</v>
      </c>
      <c r="AU134" s="86">
        <v>43160</v>
      </c>
      <c r="AV134" s="86">
        <v>43160</v>
      </c>
      <c r="AW134" s="86">
        <v>43160</v>
      </c>
    </row>
    <row r="135" spans="1:49" x14ac:dyDescent="0.2">
      <c r="A135" s="85" t="s">
        <v>525</v>
      </c>
      <c r="B135" s="85" t="s">
        <v>526</v>
      </c>
      <c r="C135" s="85" t="s">
        <v>527</v>
      </c>
      <c r="D135" s="85" t="s">
        <v>528</v>
      </c>
      <c r="E135" s="85" t="s">
        <v>141</v>
      </c>
      <c r="F135" s="85" t="s">
        <v>172</v>
      </c>
      <c r="G135" s="85" t="s">
        <v>4</v>
      </c>
      <c r="H135" s="85" t="s">
        <v>9</v>
      </c>
      <c r="I135" s="86">
        <v>43382</v>
      </c>
      <c r="J135" s="86">
        <v>43325</v>
      </c>
      <c r="K135" s="86">
        <v>43221</v>
      </c>
      <c r="L135" s="85" t="s">
        <v>99</v>
      </c>
      <c r="M135" s="86">
        <v>43348</v>
      </c>
      <c r="N135" s="85" t="s">
        <v>107</v>
      </c>
      <c r="O135" s="86">
        <v>42415</v>
      </c>
      <c r="P135" s="86">
        <v>43186</v>
      </c>
      <c r="Q135" s="86">
        <v>43586</v>
      </c>
      <c r="R135" s="85" t="s">
        <v>1652</v>
      </c>
      <c r="S135" s="86">
        <v>43739</v>
      </c>
      <c r="T135" s="85" t="s">
        <v>1652</v>
      </c>
      <c r="U135" s="86">
        <v>43185</v>
      </c>
      <c r="V135" s="86">
        <v>43555</v>
      </c>
      <c r="W135" s="85" t="s">
        <v>1653</v>
      </c>
      <c r="X135" s="85" t="s">
        <v>114</v>
      </c>
      <c r="Y135" s="85">
        <v>2</v>
      </c>
      <c r="Z135" s="85" t="s">
        <v>114</v>
      </c>
      <c r="AA135" s="85"/>
      <c r="AB135" s="85" t="s">
        <v>114</v>
      </c>
      <c r="AC135" s="85" t="s">
        <v>114</v>
      </c>
      <c r="AD135" s="85" t="s">
        <v>114</v>
      </c>
      <c r="AE135" s="85"/>
      <c r="AF135" s="85"/>
      <c r="AG135" s="85" t="s">
        <v>59</v>
      </c>
      <c r="AH135" s="85" t="s">
        <v>107</v>
      </c>
      <c r="AI135" s="86">
        <v>42714</v>
      </c>
      <c r="AJ135" s="86">
        <v>43173</v>
      </c>
      <c r="AK135" s="86">
        <v>42959</v>
      </c>
      <c r="AL135" s="85" t="s">
        <v>107</v>
      </c>
      <c r="AM135" s="85" t="s">
        <v>107</v>
      </c>
      <c r="AN135" s="86">
        <v>43375</v>
      </c>
      <c r="AO135" s="86">
        <v>43221</v>
      </c>
      <c r="AP135" s="86">
        <v>43161</v>
      </c>
      <c r="AQ135" s="86">
        <v>43161</v>
      </c>
      <c r="AR135" s="86">
        <v>43161</v>
      </c>
      <c r="AS135" s="86">
        <v>43130</v>
      </c>
      <c r="AT135" s="86">
        <v>43161</v>
      </c>
      <c r="AU135" s="86">
        <v>43161</v>
      </c>
      <c r="AV135" s="86">
        <v>43161</v>
      </c>
      <c r="AW135" s="86">
        <v>43161</v>
      </c>
    </row>
    <row r="136" spans="1:49" x14ac:dyDescent="0.2">
      <c r="A136" s="85" t="s">
        <v>529</v>
      </c>
      <c r="B136" s="85" t="s">
        <v>530</v>
      </c>
      <c r="C136" s="85" t="s">
        <v>531</v>
      </c>
      <c r="D136" s="85" t="s">
        <v>532</v>
      </c>
      <c r="E136" s="85" t="s">
        <v>119</v>
      </c>
      <c r="F136" s="85" t="s">
        <v>106</v>
      </c>
      <c r="G136" s="85" t="s">
        <v>4</v>
      </c>
      <c r="H136" s="85" t="s">
        <v>5</v>
      </c>
      <c r="I136" s="85" t="s">
        <v>107</v>
      </c>
      <c r="J136" s="86">
        <v>43501</v>
      </c>
      <c r="K136" s="86">
        <v>43167</v>
      </c>
      <c r="L136" s="85" t="s">
        <v>107</v>
      </c>
      <c r="M136" s="85" t="s">
        <v>107</v>
      </c>
      <c r="N136" s="85" t="s">
        <v>107</v>
      </c>
      <c r="O136" s="85" t="s">
        <v>107</v>
      </c>
      <c r="P136" s="85" t="s">
        <v>107</v>
      </c>
      <c r="Q136" s="86">
        <v>43532</v>
      </c>
      <c r="R136" s="85" t="s">
        <v>107</v>
      </c>
      <c r="S136" s="85" t="s">
        <v>107</v>
      </c>
      <c r="T136" s="85" t="s">
        <v>107</v>
      </c>
      <c r="U136" s="85" t="s">
        <v>107</v>
      </c>
      <c r="V136" s="85" t="s">
        <v>107</v>
      </c>
      <c r="W136" s="85" t="s">
        <v>107</v>
      </c>
      <c r="X136" s="85" t="s">
        <v>107</v>
      </c>
      <c r="Y136" s="85" t="s">
        <v>107</v>
      </c>
      <c r="Z136" s="85" t="s">
        <v>107</v>
      </c>
      <c r="AA136" s="85" t="s">
        <v>107</v>
      </c>
      <c r="AB136" s="85" t="s">
        <v>107</v>
      </c>
      <c r="AC136" s="85" t="s">
        <v>107</v>
      </c>
      <c r="AD136" s="85" t="s">
        <v>107</v>
      </c>
      <c r="AE136" s="85" t="s">
        <v>107</v>
      </c>
      <c r="AF136" s="85" t="s">
        <v>107</v>
      </c>
      <c r="AG136" s="86">
        <v>43509</v>
      </c>
      <c r="AH136" s="85" t="s">
        <v>107</v>
      </c>
      <c r="AI136" s="85" t="s">
        <v>107</v>
      </c>
      <c r="AJ136" s="85" t="s">
        <v>107</v>
      </c>
      <c r="AK136" s="85" t="s">
        <v>107</v>
      </c>
      <c r="AL136" s="85" t="s">
        <v>107</v>
      </c>
      <c r="AM136" s="85" t="s">
        <v>107</v>
      </c>
      <c r="AN136" s="86">
        <v>43375</v>
      </c>
      <c r="AO136" s="86">
        <v>43207</v>
      </c>
      <c r="AP136" s="86">
        <v>43160</v>
      </c>
      <c r="AQ136" s="86">
        <v>41638</v>
      </c>
      <c r="AR136" s="86">
        <v>43160</v>
      </c>
      <c r="AS136" s="86">
        <v>43054</v>
      </c>
      <c r="AT136" s="86">
        <v>43160</v>
      </c>
      <c r="AU136" s="85" t="s">
        <v>107</v>
      </c>
      <c r="AV136" s="86">
        <v>43160</v>
      </c>
      <c r="AW136" s="86">
        <v>43160</v>
      </c>
    </row>
    <row r="137" spans="1:49" x14ac:dyDescent="0.2">
      <c r="A137" s="85" t="s">
        <v>533</v>
      </c>
      <c r="B137" s="85" t="s">
        <v>534</v>
      </c>
      <c r="C137" s="85" t="s">
        <v>535</v>
      </c>
      <c r="D137" s="85" t="s">
        <v>536</v>
      </c>
      <c r="E137" s="85" t="s">
        <v>112</v>
      </c>
      <c r="F137" s="85" t="s">
        <v>106</v>
      </c>
      <c r="G137" s="85" t="s">
        <v>4</v>
      </c>
      <c r="H137" s="85" t="s">
        <v>5</v>
      </c>
      <c r="I137" s="85" t="s">
        <v>107</v>
      </c>
      <c r="J137" s="86">
        <v>43167</v>
      </c>
      <c r="K137" s="86">
        <v>43167</v>
      </c>
      <c r="L137" s="85" t="s">
        <v>107</v>
      </c>
      <c r="M137" s="85" t="s">
        <v>107</v>
      </c>
      <c r="N137" s="85" t="s">
        <v>107</v>
      </c>
      <c r="O137" s="85" t="s">
        <v>107</v>
      </c>
      <c r="P137" s="85" t="s">
        <v>107</v>
      </c>
      <c r="Q137" s="86">
        <v>43532</v>
      </c>
      <c r="R137" s="85" t="s">
        <v>107</v>
      </c>
      <c r="S137" s="85" t="s">
        <v>107</v>
      </c>
      <c r="T137" s="85" t="s">
        <v>107</v>
      </c>
      <c r="U137" s="85" t="s">
        <v>107</v>
      </c>
      <c r="V137" s="85" t="s">
        <v>107</v>
      </c>
      <c r="W137" s="85" t="s">
        <v>107</v>
      </c>
      <c r="X137" s="85" t="s">
        <v>107</v>
      </c>
      <c r="Y137" s="85" t="s">
        <v>107</v>
      </c>
      <c r="Z137" s="85" t="s">
        <v>107</v>
      </c>
      <c r="AA137" s="85" t="s">
        <v>107</v>
      </c>
      <c r="AB137" s="85" t="s">
        <v>107</v>
      </c>
      <c r="AC137" s="85" t="s">
        <v>107</v>
      </c>
      <c r="AD137" s="85" t="s">
        <v>107</v>
      </c>
      <c r="AE137" s="85" t="s">
        <v>107</v>
      </c>
      <c r="AF137" s="85" t="s">
        <v>107</v>
      </c>
      <c r="AG137" s="86">
        <v>43514</v>
      </c>
      <c r="AH137" s="85" t="s">
        <v>107</v>
      </c>
      <c r="AI137" s="85" t="s">
        <v>107</v>
      </c>
      <c r="AJ137" s="85" t="s">
        <v>107</v>
      </c>
      <c r="AK137" s="85" t="s">
        <v>107</v>
      </c>
      <c r="AL137" s="85" t="s">
        <v>107</v>
      </c>
      <c r="AM137" s="85" t="s">
        <v>107</v>
      </c>
      <c r="AN137" s="86">
        <v>43375</v>
      </c>
      <c r="AO137" s="86">
        <v>43207</v>
      </c>
      <c r="AP137" s="86">
        <v>43160</v>
      </c>
      <c r="AQ137" s="86">
        <v>43070</v>
      </c>
      <c r="AR137" s="86">
        <v>43160</v>
      </c>
      <c r="AS137" s="86">
        <v>43123</v>
      </c>
      <c r="AT137" s="86">
        <v>43160</v>
      </c>
      <c r="AU137" s="85" t="s">
        <v>107</v>
      </c>
      <c r="AV137" s="86">
        <v>43160</v>
      </c>
      <c r="AW137" s="86">
        <v>43160</v>
      </c>
    </row>
    <row r="138" spans="1:49" x14ac:dyDescent="0.2">
      <c r="A138" s="85" t="s">
        <v>537</v>
      </c>
      <c r="B138" s="85" t="s">
        <v>538</v>
      </c>
      <c r="C138" s="85" t="s">
        <v>539</v>
      </c>
      <c r="D138" s="85" t="s">
        <v>540</v>
      </c>
      <c r="E138" s="85" t="s">
        <v>126</v>
      </c>
      <c r="F138" s="85" t="s">
        <v>122</v>
      </c>
      <c r="G138" s="85" t="s">
        <v>4</v>
      </c>
      <c r="H138" s="85" t="s">
        <v>8</v>
      </c>
      <c r="I138" s="86">
        <v>43486</v>
      </c>
      <c r="J138" s="86">
        <v>43503</v>
      </c>
      <c r="K138" s="86">
        <v>43167</v>
      </c>
      <c r="L138" s="85" t="s">
        <v>99</v>
      </c>
      <c r="M138" s="86">
        <v>42838</v>
      </c>
      <c r="N138" s="85" t="s">
        <v>107</v>
      </c>
      <c r="O138" s="86">
        <v>43167</v>
      </c>
      <c r="P138" s="86">
        <v>43172</v>
      </c>
      <c r="Q138" s="86">
        <v>43532</v>
      </c>
      <c r="R138" s="85" t="s">
        <v>1652</v>
      </c>
      <c r="S138" s="86">
        <v>43586</v>
      </c>
      <c r="T138" s="85" t="s">
        <v>1652</v>
      </c>
      <c r="U138" s="86">
        <v>43474</v>
      </c>
      <c r="V138" s="86">
        <v>43516</v>
      </c>
      <c r="W138" s="85" t="s">
        <v>1662</v>
      </c>
      <c r="X138" s="85" t="s">
        <v>114</v>
      </c>
      <c r="Y138" s="85">
        <v>1</v>
      </c>
      <c r="Z138" s="85" t="s">
        <v>114</v>
      </c>
      <c r="AA138" s="85"/>
      <c r="AB138" s="85" t="s">
        <v>114</v>
      </c>
      <c r="AC138" s="85" t="s">
        <v>114</v>
      </c>
      <c r="AD138" s="85" t="s">
        <v>114</v>
      </c>
      <c r="AE138" s="85"/>
      <c r="AF138" s="85"/>
      <c r="AG138" s="85" t="s">
        <v>59</v>
      </c>
      <c r="AH138" s="85" t="s">
        <v>107</v>
      </c>
      <c r="AI138" s="86">
        <v>42831</v>
      </c>
      <c r="AJ138" s="86">
        <v>43177</v>
      </c>
      <c r="AK138" s="86">
        <v>43167</v>
      </c>
      <c r="AL138" s="85" t="s">
        <v>107</v>
      </c>
      <c r="AM138" s="85" t="s">
        <v>107</v>
      </c>
      <c r="AN138" s="86">
        <v>43479</v>
      </c>
      <c r="AO138" s="86">
        <v>43215</v>
      </c>
      <c r="AP138" s="86">
        <v>43046</v>
      </c>
      <c r="AQ138" s="86">
        <v>42873</v>
      </c>
      <c r="AR138" s="86">
        <v>43172</v>
      </c>
      <c r="AS138" s="86">
        <v>43200</v>
      </c>
      <c r="AT138" s="86">
        <v>42873</v>
      </c>
      <c r="AU138" s="86">
        <v>43172</v>
      </c>
      <c r="AV138" s="86">
        <v>43172</v>
      </c>
      <c r="AW138" s="86">
        <v>43172</v>
      </c>
    </row>
    <row r="139" spans="1:49" x14ac:dyDescent="0.2">
      <c r="A139" s="85" t="s">
        <v>1948</v>
      </c>
      <c r="B139" s="85" t="s">
        <v>1949</v>
      </c>
      <c r="C139" s="85" t="s">
        <v>1950</v>
      </c>
      <c r="D139" s="85" t="s">
        <v>1951</v>
      </c>
      <c r="E139" s="85" t="s">
        <v>141</v>
      </c>
      <c r="F139" s="85" t="s">
        <v>106</v>
      </c>
      <c r="G139" s="85" t="s">
        <v>4</v>
      </c>
      <c r="H139" s="85" t="s">
        <v>5</v>
      </c>
      <c r="I139" s="85" t="s">
        <v>107</v>
      </c>
      <c r="J139" s="86">
        <v>43502</v>
      </c>
      <c r="K139" s="85"/>
      <c r="L139" s="85" t="s">
        <v>107</v>
      </c>
      <c r="M139" s="85" t="s">
        <v>107</v>
      </c>
      <c r="N139" s="85" t="s">
        <v>107</v>
      </c>
      <c r="O139" s="85" t="s">
        <v>107</v>
      </c>
      <c r="P139" s="85" t="s">
        <v>107</v>
      </c>
      <c r="Q139" s="85" t="s">
        <v>59</v>
      </c>
      <c r="R139" s="85" t="s">
        <v>107</v>
      </c>
      <c r="S139" s="85" t="s">
        <v>107</v>
      </c>
      <c r="T139" s="85" t="s">
        <v>107</v>
      </c>
      <c r="U139" s="85" t="s">
        <v>107</v>
      </c>
      <c r="V139" s="85" t="s">
        <v>107</v>
      </c>
      <c r="W139" s="85" t="s">
        <v>107</v>
      </c>
      <c r="X139" s="85" t="s">
        <v>107</v>
      </c>
      <c r="Y139" s="85" t="s">
        <v>107</v>
      </c>
      <c r="Z139" s="85" t="s">
        <v>107</v>
      </c>
      <c r="AA139" s="85" t="s">
        <v>107</v>
      </c>
      <c r="AB139" s="85" t="s">
        <v>107</v>
      </c>
      <c r="AC139" s="85" t="s">
        <v>107</v>
      </c>
      <c r="AD139" s="85" t="s">
        <v>107</v>
      </c>
      <c r="AE139" s="85" t="s">
        <v>107</v>
      </c>
      <c r="AF139" s="85" t="s">
        <v>107</v>
      </c>
      <c r="AG139" s="86">
        <v>43503</v>
      </c>
      <c r="AH139" s="85" t="s">
        <v>107</v>
      </c>
      <c r="AI139" s="85" t="s">
        <v>107</v>
      </c>
      <c r="AJ139" s="85" t="s">
        <v>107</v>
      </c>
      <c r="AK139" s="85" t="s">
        <v>107</v>
      </c>
      <c r="AL139" s="85" t="s">
        <v>107</v>
      </c>
      <c r="AM139" s="85" t="s">
        <v>107</v>
      </c>
      <c r="AN139" s="86">
        <v>43500</v>
      </c>
      <c r="AO139" s="86">
        <v>43500</v>
      </c>
      <c r="AP139" s="86">
        <v>43500</v>
      </c>
      <c r="AQ139" s="86">
        <v>43500</v>
      </c>
      <c r="AR139" s="86">
        <v>43500</v>
      </c>
      <c r="AS139" s="86">
        <v>43500</v>
      </c>
      <c r="AT139" s="86">
        <v>43500</v>
      </c>
      <c r="AU139" s="85" t="s">
        <v>107</v>
      </c>
      <c r="AV139" s="86">
        <v>43500</v>
      </c>
      <c r="AW139" s="86">
        <v>43500</v>
      </c>
    </row>
    <row r="140" spans="1:49" x14ac:dyDescent="0.2">
      <c r="A140" s="85" t="s">
        <v>541</v>
      </c>
      <c r="B140" s="85" t="s">
        <v>542</v>
      </c>
      <c r="C140" s="85" t="s">
        <v>543</v>
      </c>
      <c r="D140" s="85" t="s">
        <v>544</v>
      </c>
      <c r="E140" s="85" t="s">
        <v>149</v>
      </c>
      <c r="F140" s="85" t="s">
        <v>122</v>
      </c>
      <c r="G140" s="85" t="s">
        <v>4</v>
      </c>
      <c r="H140" s="85" t="s">
        <v>13</v>
      </c>
      <c r="I140" s="86">
        <v>43180</v>
      </c>
      <c r="J140" s="86">
        <v>43151</v>
      </c>
      <c r="K140" s="86">
        <v>42960</v>
      </c>
      <c r="L140" s="85" t="s">
        <v>99</v>
      </c>
      <c r="M140" s="86">
        <v>42478</v>
      </c>
      <c r="N140" s="85" t="s">
        <v>107</v>
      </c>
      <c r="O140" s="86">
        <v>42424</v>
      </c>
      <c r="P140" s="86">
        <v>43244</v>
      </c>
      <c r="Q140" s="86">
        <v>43390</v>
      </c>
      <c r="R140" s="85" t="s">
        <v>1652</v>
      </c>
      <c r="S140" s="86">
        <v>43282</v>
      </c>
      <c r="T140" s="85" t="s">
        <v>1652</v>
      </c>
      <c r="U140" s="86">
        <v>43361</v>
      </c>
      <c r="V140" s="86">
        <v>43555</v>
      </c>
      <c r="W140" s="85" t="s">
        <v>1657</v>
      </c>
      <c r="X140" s="85" t="s">
        <v>114</v>
      </c>
      <c r="Y140" s="85">
        <v>2</v>
      </c>
      <c r="Z140" s="85" t="s">
        <v>114</v>
      </c>
      <c r="AA140" s="85" t="s">
        <v>1659</v>
      </c>
      <c r="AB140" s="85" t="s">
        <v>114</v>
      </c>
      <c r="AC140" s="85" t="s">
        <v>114</v>
      </c>
      <c r="AD140" s="85" t="s">
        <v>114</v>
      </c>
      <c r="AE140" s="85"/>
      <c r="AF140" s="85"/>
      <c r="AG140" s="86">
        <v>43217</v>
      </c>
      <c r="AH140" s="85" t="s">
        <v>107</v>
      </c>
      <c r="AI140" s="86">
        <v>42444</v>
      </c>
      <c r="AJ140" s="86">
        <v>43208</v>
      </c>
      <c r="AK140" s="86">
        <v>42452</v>
      </c>
      <c r="AL140" s="85" t="s">
        <v>107</v>
      </c>
      <c r="AM140" s="85" t="s">
        <v>107</v>
      </c>
      <c r="AN140" s="85"/>
      <c r="AO140" s="86">
        <v>43207</v>
      </c>
      <c r="AP140" s="86">
        <v>43165</v>
      </c>
      <c r="AQ140" s="86">
        <v>42482</v>
      </c>
      <c r="AR140" s="86">
        <v>43214</v>
      </c>
      <c r="AS140" s="86">
        <v>43214</v>
      </c>
      <c r="AT140" s="86">
        <v>43214</v>
      </c>
      <c r="AU140" s="86">
        <v>43214</v>
      </c>
      <c r="AV140" s="86">
        <v>43214</v>
      </c>
      <c r="AW140" s="86">
        <v>43214</v>
      </c>
    </row>
    <row r="141" spans="1:49" x14ac:dyDescent="0.2">
      <c r="A141" s="85" t="s">
        <v>545</v>
      </c>
      <c r="B141" s="85" t="s">
        <v>546</v>
      </c>
      <c r="C141" s="85" t="s">
        <v>547</v>
      </c>
      <c r="D141" s="85" t="s">
        <v>196</v>
      </c>
      <c r="E141" s="85" t="s">
        <v>222</v>
      </c>
      <c r="F141" s="85" t="s">
        <v>144</v>
      </c>
      <c r="G141" s="85" t="s">
        <v>4</v>
      </c>
      <c r="H141" s="85" t="s">
        <v>12</v>
      </c>
      <c r="I141" s="86">
        <v>43368</v>
      </c>
      <c r="J141" s="86">
        <v>43489</v>
      </c>
      <c r="K141" s="86">
        <v>43489</v>
      </c>
      <c r="L141" s="85" t="s">
        <v>99</v>
      </c>
      <c r="M141" s="86">
        <v>43121</v>
      </c>
      <c r="N141" s="85" t="s">
        <v>107</v>
      </c>
      <c r="O141" s="86">
        <v>43489</v>
      </c>
      <c r="P141" s="86">
        <v>43227</v>
      </c>
      <c r="Q141" s="86">
        <v>43490</v>
      </c>
      <c r="R141" s="85" t="s">
        <v>1652</v>
      </c>
      <c r="S141" s="86">
        <v>43525</v>
      </c>
      <c r="T141" s="85" t="s">
        <v>1652</v>
      </c>
      <c r="U141" s="86">
        <v>43424</v>
      </c>
      <c r="V141" s="86">
        <v>43616</v>
      </c>
      <c r="W141" s="85" t="s">
        <v>1655</v>
      </c>
      <c r="X141" s="85" t="s">
        <v>114</v>
      </c>
      <c r="Y141" s="85">
        <v>1</v>
      </c>
      <c r="Z141" s="85" t="s">
        <v>114</v>
      </c>
      <c r="AA141" s="85"/>
      <c r="AB141" s="85" t="s">
        <v>114</v>
      </c>
      <c r="AC141" s="85" t="s">
        <v>114</v>
      </c>
      <c r="AD141" s="85" t="s">
        <v>114</v>
      </c>
      <c r="AE141" s="85"/>
      <c r="AF141" s="85"/>
      <c r="AG141" s="86">
        <v>43517</v>
      </c>
      <c r="AH141" s="85" t="s">
        <v>107</v>
      </c>
      <c r="AI141" s="86">
        <v>42186</v>
      </c>
      <c r="AJ141" s="86">
        <v>43219</v>
      </c>
      <c r="AK141" s="86">
        <v>43125</v>
      </c>
      <c r="AL141" s="85" t="s">
        <v>107</v>
      </c>
      <c r="AM141" s="85" t="s">
        <v>107</v>
      </c>
      <c r="AN141" s="86">
        <v>43376</v>
      </c>
      <c r="AO141" s="86">
        <v>43213</v>
      </c>
      <c r="AP141" s="86">
        <v>43157</v>
      </c>
      <c r="AQ141" s="86">
        <v>43119</v>
      </c>
      <c r="AR141" s="86">
        <v>43516</v>
      </c>
      <c r="AS141" s="86">
        <v>43516</v>
      </c>
      <c r="AT141" s="86">
        <v>43119</v>
      </c>
      <c r="AU141" s="86">
        <v>43516</v>
      </c>
      <c r="AV141" s="86">
        <v>43516</v>
      </c>
      <c r="AW141" s="86">
        <v>43516</v>
      </c>
    </row>
    <row r="142" spans="1:49" x14ac:dyDescent="0.2">
      <c r="A142" s="85" t="s">
        <v>548</v>
      </c>
      <c r="B142" s="85" t="s">
        <v>549</v>
      </c>
      <c r="C142" s="85" t="s">
        <v>550</v>
      </c>
      <c r="D142" s="85" t="s">
        <v>486</v>
      </c>
      <c r="E142" s="85" t="s">
        <v>149</v>
      </c>
      <c r="F142" s="85" t="s">
        <v>122</v>
      </c>
      <c r="G142" s="85" t="s">
        <v>4</v>
      </c>
      <c r="H142" s="85" t="s">
        <v>12</v>
      </c>
      <c r="I142" s="86">
        <v>43180</v>
      </c>
      <c r="J142" s="86">
        <v>43488</v>
      </c>
      <c r="K142" s="86">
        <v>43125</v>
      </c>
      <c r="L142" s="85" t="s">
        <v>99</v>
      </c>
      <c r="M142" s="86">
        <v>42874</v>
      </c>
      <c r="N142" s="85" t="s">
        <v>107</v>
      </c>
      <c r="O142" s="86">
        <v>43125</v>
      </c>
      <c r="P142" s="86">
        <v>43374</v>
      </c>
      <c r="Q142" s="86">
        <v>43490</v>
      </c>
      <c r="R142" s="85" t="s">
        <v>1652</v>
      </c>
      <c r="S142" s="86">
        <v>43678</v>
      </c>
      <c r="T142" s="85" t="s">
        <v>1652</v>
      </c>
      <c r="U142" s="86">
        <v>43417</v>
      </c>
      <c r="V142" s="86">
        <v>43799</v>
      </c>
      <c r="W142" s="85" t="s">
        <v>1653</v>
      </c>
      <c r="X142" s="85" t="s">
        <v>114</v>
      </c>
      <c r="Y142" s="85">
        <v>1</v>
      </c>
      <c r="Z142" s="85" t="s">
        <v>114</v>
      </c>
      <c r="AA142" s="85"/>
      <c r="AB142" s="85" t="s">
        <v>114</v>
      </c>
      <c r="AC142" s="85" t="s">
        <v>114</v>
      </c>
      <c r="AD142" s="85" t="s">
        <v>114</v>
      </c>
      <c r="AE142" s="85"/>
      <c r="AF142" s="85"/>
      <c r="AG142" s="86">
        <v>43513</v>
      </c>
      <c r="AH142" s="85" t="s">
        <v>107</v>
      </c>
      <c r="AI142" s="86">
        <v>42851</v>
      </c>
      <c r="AJ142" s="86">
        <v>43219</v>
      </c>
      <c r="AK142" s="86">
        <v>43125</v>
      </c>
      <c r="AL142" s="85" t="s">
        <v>107</v>
      </c>
      <c r="AM142" s="85" t="s">
        <v>107</v>
      </c>
      <c r="AN142" s="85"/>
      <c r="AO142" s="86">
        <v>43216</v>
      </c>
      <c r="AP142" s="86">
        <v>43157</v>
      </c>
      <c r="AQ142" s="86">
        <v>42870</v>
      </c>
      <c r="AR142" s="86">
        <v>43125</v>
      </c>
      <c r="AS142" s="86">
        <v>43216</v>
      </c>
      <c r="AT142" s="86">
        <v>43125</v>
      </c>
      <c r="AU142" s="86">
        <v>43125</v>
      </c>
      <c r="AV142" s="86">
        <v>43125</v>
      </c>
      <c r="AW142" s="86">
        <v>43125</v>
      </c>
    </row>
    <row r="143" spans="1:49" x14ac:dyDescent="0.2">
      <c r="A143" s="85" t="s">
        <v>551</v>
      </c>
      <c r="B143" s="85" t="s">
        <v>552</v>
      </c>
      <c r="C143" s="85" t="s">
        <v>553</v>
      </c>
      <c r="D143" s="85" t="s">
        <v>554</v>
      </c>
      <c r="E143" s="85"/>
      <c r="F143" s="85" t="s">
        <v>106</v>
      </c>
      <c r="G143" s="85" t="s">
        <v>4</v>
      </c>
      <c r="H143" s="85" t="s">
        <v>8</v>
      </c>
      <c r="I143" s="85" t="s">
        <v>107</v>
      </c>
      <c r="J143" s="86">
        <v>43502</v>
      </c>
      <c r="K143" s="86">
        <v>43502</v>
      </c>
      <c r="L143" s="85" t="s">
        <v>107</v>
      </c>
      <c r="M143" s="85" t="s">
        <v>107</v>
      </c>
      <c r="N143" s="85" t="s">
        <v>107</v>
      </c>
      <c r="O143" s="85" t="s">
        <v>107</v>
      </c>
      <c r="P143" s="85" t="s">
        <v>107</v>
      </c>
      <c r="Q143" s="86">
        <v>43532</v>
      </c>
      <c r="R143" s="85" t="s">
        <v>107</v>
      </c>
      <c r="S143" s="85" t="s">
        <v>107</v>
      </c>
      <c r="T143" s="85" t="s">
        <v>107</v>
      </c>
      <c r="U143" s="85" t="s">
        <v>107</v>
      </c>
      <c r="V143" s="85" t="s">
        <v>107</v>
      </c>
      <c r="W143" s="85" t="s">
        <v>107</v>
      </c>
      <c r="X143" s="85" t="s">
        <v>107</v>
      </c>
      <c r="Y143" s="85" t="s">
        <v>107</v>
      </c>
      <c r="Z143" s="85" t="s">
        <v>107</v>
      </c>
      <c r="AA143" s="85" t="s">
        <v>107</v>
      </c>
      <c r="AB143" s="85" t="s">
        <v>107</v>
      </c>
      <c r="AC143" s="85" t="s">
        <v>107</v>
      </c>
      <c r="AD143" s="85" t="s">
        <v>107</v>
      </c>
      <c r="AE143" s="85" t="s">
        <v>107</v>
      </c>
      <c r="AF143" s="85" t="s">
        <v>107</v>
      </c>
      <c r="AG143" s="86">
        <v>43516</v>
      </c>
      <c r="AH143" s="85" t="s">
        <v>107</v>
      </c>
      <c r="AI143" s="85" t="s">
        <v>107</v>
      </c>
      <c r="AJ143" s="85" t="s">
        <v>107</v>
      </c>
      <c r="AK143" s="85" t="s">
        <v>107</v>
      </c>
      <c r="AL143" s="85" t="s">
        <v>107</v>
      </c>
      <c r="AM143" s="85" t="s">
        <v>107</v>
      </c>
      <c r="AN143" s="86">
        <v>43405</v>
      </c>
      <c r="AO143" s="86">
        <v>43209</v>
      </c>
      <c r="AP143" s="86">
        <v>43054</v>
      </c>
      <c r="AQ143" s="86">
        <v>42333</v>
      </c>
      <c r="AR143" s="86">
        <v>43172</v>
      </c>
      <c r="AS143" s="86">
        <v>43161</v>
      </c>
      <c r="AT143" s="86">
        <v>43007</v>
      </c>
      <c r="AU143" s="85" t="s">
        <v>107</v>
      </c>
      <c r="AV143" s="86">
        <v>43172</v>
      </c>
      <c r="AW143" s="86">
        <v>43172</v>
      </c>
    </row>
    <row r="144" spans="1:49" x14ac:dyDescent="0.2">
      <c r="A144" s="85" t="s">
        <v>1693</v>
      </c>
      <c r="B144" s="85" t="s">
        <v>1694</v>
      </c>
      <c r="C144" s="85" t="s">
        <v>1695</v>
      </c>
      <c r="D144" s="85" t="s">
        <v>1010</v>
      </c>
      <c r="E144" s="85" t="s">
        <v>222</v>
      </c>
      <c r="F144" s="85"/>
      <c r="G144" s="85" t="s">
        <v>4</v>
      </c>
      <c r="H144" s="85" t="s">
        <v>12</v>
      </c>
      <c r="I144" s="86">
        <v>43457</v>
      </c>
      <c r="J144" s="86">
        <v>43141</v>
      </c>
      <c r="K144" s="86">
        <v>43207</v>
      </c>
      <c r="L144" s="85" t="s">
        <v>99</v>
      </c>
      <c r="M144" s="86">
        <v>43185</v>
      </c>
      <c r="N144" s="85"/>
      <c r="O144" s="86">
        <v>42875</v>
      </c>
      <c r="P144" s="86">
        <v>43264</v>
      </c>
      <c r="Q144" s="85" t="s">
        <v>59</v>
      </c>
      <c r="R144" s="85" t="s">
        <v>1652</v>
      </c>
      <c r="S144" s="85"/>
      <c r="T144" s="85" t="s">
        <v>1658</v>
      </c>
      <c r="U144" s="86">
        <v>43298</v>
      </c>
      <c r="V144" s="86">
        <v>43677</v>
      </c>
      <c r="W144" s="85" t="s">
        <v>1653</v>
      </c>
      <c r="X144" s="85" t="s">
        <v>114</v>
      </c>
      <c r="Y144" s="85">
        <v>1</v>
      </c>
      <c r="Z144" s="85" t="s">
        <v>114</v>
      </c>
      <c r="AA144" s="85"/>
      <c r="AB144" s="85" t="s">
        <v>211</v>
      </c>
      <c r="AC144" s="85" t="s">
        <v>114</v>
      </c>
      <c r="AD144" s="85" t="s">
        <v>211</v>
      </c>
      <c r="AE144" s="85" t="s">
        <v>1656</v>
      </c>
      <c r="AF144" s="86">
        <v>43575</v>
      </c>
      <c r="AG144" s="86">
        <v>43375</v>
      </c>
      <c r="AH144" s="85" t="s">
        <v>1952</v>
      </c>
      <c r="AI144" s="85"/>
      <c r="AJ144" s="85" t="s">
        <v>1769</v>
      </c>
      <c r="AK144" s="86">
        <v>42536</v>
      </c>
      <c r="AL144" s="85"/>
      <c r="AM144" s="85"/>
      <c r="AN144" s="85"/>
      <c r="AO144" s="86">
        <v>43361</v>
      </c>
      <c r="AP144" s="86">
        <v>43361</v>
      </c>
      <c r="AQ144" s="86">
        <v>43361</v>
      </c>
      <c r="AR144" s="86">
        <v>43361</v>
      </c>
      <c r="AS144" s="86">
        <v>43361</v>
      </c>
      <c r="AT144" s="86">
        <v>43361</v>
      </c>
      <c r="AU144" s="86">
        <v>43361</v>
      </c>
      <c r="AV144" s="86">
        <v>43361</v>
      </c>
      <c r="AW144" s="86">
        <v>43361</v>
      </c>
    </row>
    <row r="145" spans="1:49" x14ac:dyDescent="0.2">
      <c r="A145" s="85" t="s">
        <v>555</v>
      </c>
      <c r="B145" s="85" t="s">
        <v>556</v>
      </c>
      <c r="C145" s="85" t="s">
        <v>557</v>
      </c>
      <c r="D145" s="85" t="s">
        <v>429</v>
      </c>
      <c r="E145" s="85" t="s">
        <v>126</v>
      </c>
      <c r="F145" s="85" t="s">
        <v>249</v>
      </c>
      <c r="G145" s="85" t="s">
        <v>4</v>
      </c>
      <c r="H145" s="85" t="s">
        <v>18</v>
      </c>
      <c r="I145" s="86">
        <v>43488</v>
      </c>
      <c r="J145" s="86">
        <v>43199</v>
      </c>
      <c r="K145" s="86">
        <v>43199</v>
      </c>
      <c r="L145" s="85" t="s">
        <v>99</v>
      </c>
      <c r="M145" s="86">
        <v>43058</v>
      </c>
      <c r="N145" s="85" t="s">
        <v>107</v>
      </c>
      <c r="O145" s="86">
        <v>43199</v>
      </c>
      <c r="P145" s="86">
        <v>43377</v>
      </c>
      <c r="Q145" s="86">
        <v>43561</v>
      </c>
      <c r="R145" s="85" t="s">
        <v>1652</v>
      </c>
      <c r="S145" s="86">
        <v>43709</v>
      </c>
      <c r="T145" s="85" t="s">
        <v>1652</v>
      </c>
      <c r="U145" s="86">
        <v>43410</v>
      </c>
      <c r="V145" s="86">
        <v>43799</v>
      </c>
      <c r="W145" s="85" t="s">
        <v>1653</v>
      </c>
      <c r="X145" s="85" t="s">
        <v>114</v>
      </c>
      <c r="Y145" s="85">
        <v>1</v>
      </c>
      <c r="Z145" s="85" t="s">
        <v>114</v>
      </c>
      <c r="AA145" s="85"/>
      <c r="AB145" s="85" t="s">
        <v>114</v>
      </c>
      <c r="AC145" s="85" t="s">
        <v>114</v>
      </c>
      <c r="AD145" s="85" t="s">
        <v>114</v>
      </c>
      <c r="AE145" s="85"/>
      <c r="AF145" s="85"/>
      <c r="AG145" s="86">
        <v>43195</v>
      </c>
      <c r="AH145" s="85" t="s">
        <v>107</v>
      </c>
      <c r="AI145" s="86">
        <v>42583</v>
      </c>
      <c r="AJ145" s="86">
        <v>43172</v>
      </c>
      <c r="AK145" s="86">
        <v>43199</v>
      </c>
      <c r="AL145" s="85" t="s">
        <v>107</v>
      </c>
      <c r="AM145" s="85" t="s">
        <v>107</v>
      </c>
      <c r="AN145" s="86">
        <v>43375</v>
      </c>
      <c r="AO145" s="86">
        <v>43207</v>
      </c>
      <c r="AP145" s="86">
        <v>43048</v>
      </c>
      <c r="AQ145" s="86">
        <v>42944</v>
      </c>
      <c r="AR145" s="86">
        <v>43306</v>
      </c>
      <c r="AS145" s="86">
        <v>43306</v>
      </c>
      <c r="AT145" s="86">
        <v>42944</v>
      </c>
      <c r="AU145" s="86">
        <v>43306</v>
      </c>
      <c r="AV145" s="86">
        <v>43306</v>
      </c>
      <c r="AW145" s="86">
        <v>43306</v>
      </c>
    </row>
    <row r="146" spans="1:49" x14ac:dyDescent="0.2">
      <c r="A146" s="85" t="s">
        <v>1552</v>
      </c>
      <c r="B146" s="85" t="s">
        <v>1553</v>
      </c>
      <c r="C146" s="85" t="s">
        <v>1554</v>
      </c>
      <c r="D146" s="85" t="s">
        <v>395</v>
      </c>
      <c r="E146" s="85" t="s">
        <v>112</v>
      </c>
      <c r="F146" s="85" t="s">
        <v>106</v>
      </c>
      <c r="G146" s="85" t="s">
        <v>4</v>
      </c>
      <c r="H146" s="85" t="s">
        <v>7</v>
      </c>
      <c r="I146" s="85" t="s">
        <v>107</v>
      </c>
      <c r="J146" s="85" t="s">
        <v>59</v>
      </c>
      <c r="K146" s="85" t="s">
        <v>59</v>
      </c>
      <c r="L146" s="85" t="s">
        <v>107</v>
      </c>
      <c r="M146" s="85" t="s">
        <v>107</v>
      </c>
      <c r="N146" s="85" t="s">
        <v>107</v>
      </c>
      <c r="O146" s="85" t="s">
        <v>107</v>
      </c>
      <c r="P146" s="85" t="s">
        <v>107</v>
      </c>
      <c r="Q146" s="86">
        <v>43706</v>
      </c>
      <c r="R146" s="85" t="s">
        <v>107</v>
      </c>
      <c r="S146" s="85" t="s">
        <v>107</v>
      </c>
      <c r="T146" s="85" t="s">
        <v>107</v>
      </c>
      <c r="U146" s="85" t="s">
        <v>107</v>
      </c>
      <c r="V146" s="85" t="s">
        <v>107</v>
      </c>
      <c r="W146" s="85" t="s">
        <v>107</v>
      </c>
      <c r="X146" s="85" t="s">
        <v>107</v>
      </c>
      <c r="Y146" s="85" t="s">
        <v>107</v>
      </c>
      <c r="Z146" s="85" t="s">
        <v>107</v>
      </c>
      <c r="AA146" s="85" t="s">
        <v>107</v>
      </c>
      <c r="AB146" s="85" t="s">
        <v>107</v>
      </c>
      <c r="AC146" s="85" t="s">
        <v>107</v>
      </c>
      <c r="AD146" s="85" t="s">
        <v>107</v>
      </c>
      <c r="AE146" s="85" t="s">
        <v>107</v>
      </c>
      <c r="AF146" s="85" t="s">
        <v>107</v>
      </c>
      <c r="AG146" s="86">
        <v>43342</v>
      </c>
      <c r="AH146" s="85" t="s">
        <v>107</v>
      </c>
      <c r="AI146" s="85" t="s">
        <v>107</v>
      </c>
      <c r="AJ146" s="85" t="s">
        <v>107</v>
      </c>
      <c r="AK146" s="85" t="s">
        <v>107</v>
      </c>
      <c r="AL146" s="85" t="s">
        <v>107</v>
      </c>
      <c r="AM146" s="85" t="s">
        <v>107</v>
      </c>
      <c r="AN146" s="86">
        <v>43398</v>
      </c>
      <c r="AO146" s="86">
        <v>43340</v>
      </c>
      <c r="AP146" s="86">
        <v>43340</v>
      </c>
      <c r="AQ146" s="86">
        <v>43340</v>
      </c>
      <c r="AR146" s="86">
        <v>43340</v>
      </c>
      <c r="AS146" s="86">
        <v>43340</v>
      </c>
      <c r="AT146" s="86">
        <v>43340</v>
      </c>
      <c r="AU146" s="85" t="s">
        <v>107</v>
      </c>
      <c r="AV146" s="86">
        <v>43340</v>
      </c>
      <c r="AW146" s="86">
        <v>43340</v>
      </c>
    </row>
    <row r="147" spans="1:49" x14ac:dyDescent="0.2">
      <c r="A147" s="85" t="s">
        <v>558</v>
      </c>
      <c r="B147" s="85" t="s">
        <v>559</v>
      </c>
      <c r="C147" s="85" t="s">
        <v>560</v>
      </c>
      <c r="D147" s="85" t="s">
        <v>379</v>
      </c>
      <c r="E147" s="85" t="s">
        <v>141</v>
      </c>
      <c r="F147" s="85" t="s">
        <v>144</v>
      </c>
      <c r="G147" s="85" t="s">
        <v>4</v>
      </c>
      <c r="H147" s="85" t="s">
        <v>18</v>
      </c>
      <c r="I147" s="86">
        <v>43451</v>
      </c>
      <c r="J147" s="86">
        <v>43476</v>
      </c>
      <c r="K147" s="86">
        <v>43476</v>
      </c>
      <c r="L147" s="85" t="s">
        <v>99</v>
      </c>
      <c r="M147" s="86">
        <v>43289</v>
      </c>
      <c r="N147" s="85" t="s">
        <v>107</v>
      </c>
      <c r="O147" s="86">
        <v>42631</v>
      </c>
      <c r="P147" s="86">
        <v>43391</v>
      </c>
      <c r="Q147" s="86">
        <v>42981</v>
      </c>
      <c r="R147" s="85" t="s">
        <v>1652</v>
      </c>
      <c r="S147" s="85" t="s">
        <v>59</v>
      </c>
      <c r="T147" s="85" t="s">
        <v>59</v>
      </c>
      <c r="U147" s="85" t="s">
        <v>59</v>
      </c>
      <c r="V147" s="85" t="s">
        <v>59</v>
      </c>
      <c r="W147" s="85" t="s">
        <v>59</v>
      </c>
      <c r="X147" s="85" t="s">
        <v>114</v>
      </c>
      <c r="Y147" s="85">
        <v>4</v>
      </c>
      <c r="Z147" s="85" t="s">
        <v>114</v>
      </c>
      <c r="AA147" s="85"/>
      <c r="AB147" s="85" t="s">
        <v>114</v>
      </c>
      <c r="AC147" s="85" t="s">
        <v>114</v>
      </c>
      <c r="AD147" s="85" t="s">
        <v>119</v>
      </c>
      <c r="AE147" s="85" t="s">
        <v>1654</v>
      </c>
      <c r="AF147" s="85"/>
      <c r="AG147" s="85" t="s">
        <v>59</v>
      </c>
      <c r="AH147" s="85" t="s">
        <v>107</v>
      </c>
      <c r="AI147" s="85"/>
      <c r="AJ147" s="85"/>
      <c r="AK147" s="86">
        <v>42130</v>
      </c>
      <c r="AL147" s="85" t="s">
        <v>107</v>
      </c>
      <c r="AM147" s="85" t="s">
        <v>107</v>
      </c>
      <c r="AN147" s="86">
        <v>43472</v>
      </c>
      <c r="AO147" s="86">
        <v>43472</v>
      </c>
      <c r="AP147" s="86">
        <v>43220</v>
      </c>
      <c r="AQ147" s="86">
        <v>43220</v>
      </c>
      <c r="AR147" s="86">
        <v>43472</v>
      </c>
      <c r="AS147" s="86">
        <v>43472</v>
      </c>
      <c r="AT147" s="86">
        <v>43472</v>
      </c>
      <c r="AU147" s="86">
        <v>43472</v>
      </c>
      <c r="AV147" s="86">
        <v>43472</v>
      </c>
      <c r="AW147" s="86">
        <v>43472</v>
      </c>
    </row>
    <row r="148" spans="1:49" x14ac:dyDescent="0.2">
      <c r="A148" s="85" t="s">
        <v>561</v>
      </c>
      <c r="B148" s="85" t="s">
        <v>562</v>
      </c>
      <c r="C148" s="85" t="s">
        <v>563</v>
      </c>
      <c r="D148" s="85" t="s">
        <v>564</v>
      </c>
      <c r="E148" s="85" t="s">
        <v>158</v>
      </c>
      <c r="F148" s="85" t="s">
        <v>127</v>
      </c>
      <c r="G148" s="85" t="s">
        <v>4</v>
      </c>
      <c r="H148" s="85" t="s">
        <v>8</v>
      </c>
      <c r="I148" s="86">
        <v>43475</v>
      </c>
      <c r="J148" s="86">
        <v>43503</v>
      </c>
      <c r="K148" s="86">
        <v>43167</v>
      </c>
      <c r="L148" s="85" t="s">
        <v>99</v>
      </c>
      <c r="M148" s="86">
        <v>43024</v>
      </c>
      <c r="N148" s="85" t="s">
        <v>107</v>
      </c>
      <c r="O148" s="86">
        <v>43167</v>
      </c>
      <c r="P148" s="86">
        <v>43172</v>
      </c>
      <c r="Q148" s="86">
        <v>43532</v>
      </c>
      <c r="R148" s="85" t="s">
        <v>1652</v>
      </c>
      <c r="S148" s="86">
        <v>43800</v>
      </c>
      <c r="T148" s="85" t="s">
        <v>1652</v>
      </c>
      <c r="U148" s="86">
        <v>43326</v>
      </c>
      <c r="V148" s="86">
        <v>43708</v>
      </c>
      <c r="W148" s="85" t="s">
        <v>1653</v>
      </c>
      <c r="X148" s="85" t="s">
        <v>114</v>
      </c>
      <c r="Y148" s="85">
        <v>2</v>
      </c>
      <c r="Z148" s="85" t="s">
        <v>114</v>
      </c>
      <c r="AA148" s="85"/>
      <c r="AB148" s="85" t="s">
        <v>114</v>
      </c>
      <c r="AC148" s="85" t="s">
        <v>114</v>
      </c>
      <c r="AD148" s="85" t="s">
        <v>114</v>
      </c>
      <c r="AE148" s="85" t="s">
        <v>1660</v>
      </c>
      <c r="AF148" s="85"/>
      <c r="AG148" s="86">
        <v>43507</v>
      </c>
      <c r="AH148" s="85" t="s">
        <v>107</v>
      </c>
      <c r="AI148" s="85"/>
      <c r="AJ148" s="85"/>
      <c r="AK148" s="86">
        <v>43167</v>
      </c>
      <c r="AL148" s="86">
        <v>42115</v>
      </c>
      <c r="AM148" s="86">
        <v>42115</v>
      </c>
      <c r="AN148" s="86">
        <v>43405</v>
      </c>
      <c r="AO148" s="86">
        <v>43209</v>
      </c>
      <c r="AP148" s="86">
        <v>43158</v>
      </c>
      <c r="AQ148" s="86">
        <v>43024</v>
      </c>
      <c r="AR148" s="86">
        <v>43158</v>
      </c>
      <c r="AS148" s="86">
        <v>43035</v>
      </c>
      <c r="AT148" s="86">
        <v>43158</v>
      </c>
      <c r="AU148" s="86">
        <v>43158</v>
      </c>
      <c r="AV148" s="86">
        <v>43158</v>
      </c>
      <c r="AW148" s="86">
        <v>43158</v>
      </c>
    </row>
    <row r="149" spans="1:49" x14ac:dyDescent="0.2">
      <c r="A149" s="85" t="s">
        <v>565</v>
      </c>
      <c r="B149" s="85" t="s">
        <v>566</v>
      </c>
      <c r="C149" s="85" t="s">
        <v>567</v>
      </c>
      <c r="D149" s="85" t="s">
        <v>568</v>
      </c>
      <c r="E149" s="85" t="s">
        <v>149</v>
      </c>
      <c r="F149" s="85" t="s">
        <v>144</v>
      </c>
      <c r="G149" s="85" t="s">
        <v>4</v>
      </c>
      <c r="H149" s="85" t="s">
        <v>18</v>
      </c>
      <c r="I149" s="85" t="s">
        <v>59</v>
      </c>
      <c r="J149" s="86">
        <v>43318</v>
      </c>
      <c r="K149" s="86">
        <v>43318</v>
      </c>
      <c r="L149" s="85" t="s">
        <v>99</v>
      </c>
      <c r="M149" s="86">
        <v>42488</v>
      </c>
      <c r="N149" s="85" t="s">
        <v>107</v>
      </c>
      <c r="O149" s="86">
        <v>42739</v>
      </c>
      <c r="P149" s="86">
        <v>43361</v>
      </c>
      <c r="Q149" s="86">
        <v>365</v>
      </c>
      <c r="R149" s="85" t="s">
        <v>1652</v>
      </c>
      <c r="S149" s="85" t="s">
        <v>59</v>
      </c>
      <c r="T149" s="85" t="s">
        <v>59</v>
      </c>
      <c r="U149" s="85" t="s">
        <v>59</v>
      </c>
      <c r="V149" s="85" t="s">
        <v>59</v>
      </c>
      <c r="W149" s="85" t="s">
        <v>59</v>
      </c>
      <c r="X149" s="85" t="s">
        <v>59</v>
      </c>
      <c r="Y149" s="85" t="s">
        <v>59</v>
      </c>
      <c r="Z149" s="85" t="s">
        <v>59</v>
      </c>
      <c r="AA149" s="85" t="s">
        <v>59</v>
      </c>
      <c r="AB149" s="85" t="s">
        <v>59</v>
      </c>
      <c r="AC149" s="85" t="s">
        <v>59</v>
      </c>
      <c r="AD149" s="85" t="s">
        <v>59</v>
      </c>
      <c r="AE149" s="85" t="s">
        <v>59</v>
      </c>
      <c r="AF149" s="85" t="s">
        <v>59</v>
      </c>
      <c r="AG149" s="86">
        <v>43318</v>
      </c>
      <c r="AH149" s="85" t="s">
        <v>107</v>
      </c>
      <c r="AI149" s="85"/>
      <c r="AJ149" s="85"/>
      <c r="AK149" s="86">
        <v>42936</v>
      </c>
      <c r="AL149" s="85"/>
      <c r="AM149" s="85"/>
      <c r="AN149" s="85"/>
      <c r="AO149" s="86">
        <v>43304</v>
      </c>
      <c r="AP149" s="86">
        <v>43304</v>
      </c>
      <c r="AQ149" s="86">
        <v>43304</v>
      </c>
      <c r="AR149" s="86">
        <v>43304</v>
      </c>
      <c r="AS149" s="86">
        <v>43304</v>
      </c>
      <c r="AT149" s="86">
        <v>43304</v>
      </c>
      <c r="AU149" s="86">
        <v>43304</v>
      </c>
      <c r="AV149" s="86">
        <v>43304</v>
      </c>
      <c r="AW149" s="86">
        <v>43304</v>
      </c>
    </row>
    <row r="150" spans="1:49" x14ac:dyDescent="0.2">
      <c r="A150" s="85" t="s">
        <v>1555</v>
      </c>
      <c r="B150" s="85" t="s">
        <v>1556</v>
      </c>
      <c r="C150" s="85" t="s">
        <v>1557</v>
      </c>
      <c r="D150" s="85" t="s">
        <v>822</v>
      </c>
      <c r="E150" s="85" t="s">
        <v>126</v>
      </c>
      <c r="F150" s="85" t="s">
        <v>172</v>
      </c>
      <c r="G150" s="85" t="s">
        <v>4</v>
      </c>
      <c r="H150" s="85" t="s">
        <v>8</v>
      </c>
      <c r="I150" s="86">
        <v>43475</v>
      </c>
      <c r="J150" s="86">
        <v>43277</v>
      </c>
      <c r="K150" s="86">
        <v>43277</v>
      </c>
      <c r="L150" s="85" t="s">
        <v>99</v>
      </c>
      <c r="M150" s="86">
        <v>43508</v>
      </c>
      <c r="N150" s="85" t="s">
        <v>107</v>
      </c>
      <c r="O150" s="86">
        <v>42570</v>
      </c>
      <c r="P150" s="86">
        <v>43235</v>
      </c>
      <c r="Q150" s="85" t="s">
        <v>59</v>
      </c>
      <c r="R150" s="85" t="s">
        <v>1652</v>
      </c>
      <c r="S150" s="86">
        <v>44228</v>
      </c>
      <c r="T150" s="85" t="s">
        <v>1652</v>
      </c>
      <c r="U150" s="86">
        <v>43273</v>
      </c>
      <c r="V150" s="86">
        <v>43646</v>
      </c>
      <c r="W150" s="85" t="s">
        <v>1653</v>
      </c>
      <c r="X150" s="85" t="s">
        <v>114</v>
      </c>
      <c r="Y150" s="85">
        <v>1</v>
      </c>
      <c r="Z150" s="85" t="s">
        <v>114</v>
      </c>
      <c r="AA150" s="85"/>
      <c r="AB150" s="85" t="s">
        <v>114</v>
      </c>
      <c r="AC150" s="85" t="s">
        <v>114</v>
      </c>
      <c r="AD150" s="85" t="s">
        <v>114</v>
      </c>
      <c r="AE150" s="85"/>
      <c r="AF150" s="85"/>
      <c r="AG150" s="86">
        <v>43488</v>
      </c>
      <c r="AH150" s="85" t="s">
        <v>107</v>
      </c>
      <c r="AI150" s="85"/>
      <c r="AJ150" s="85"/>
      <c r="AK150" s="86">
        <v>41956</v>
      </c>
      <c r="AL150" s="85"/>
      <c r="AM150" s="85"/>
      <c r="AN150" s="86">
        <v>43405</v>
      </c>
      <c r="AO150" s="86">
        <v>43223</v>
      </c>
      <c r="AP150" s="86">
        <v>43223</v>
      </c>
      <c r="AQ150" s="86">
        <v>43223</v>
      </c>
      <c r="AR150" s="86">
        <v>43223</v>
      </c>
      <c r="AS150" s="86">
        <v>43223</v>
      </c>
      <c r="AT150" s="86">
        <v>43223</v>
      </c>
      <c r="AU150" s="86">
        <v>43223</v>
      </c>
      <c r="AV150" s="86">
        <v>43223</v>
      </c>
      <c r="AW150" s="86">
        <v>43223</v>
      </c>
    </row>
    <row r="151" spans="1:49" x14ac:dyDescent="0.2">
      <c r="A151" s="85" t="s">
        <v>569</v>
      </c>
      <c r="B151" s="85" t="s">
        <v>570</v>
      </c>
      <c r="C151" s="85" t="s">
        <v>571</v>
      </c>
      <c r="D151" s="85" t="s">
        <v>142</v>
      </c>
      <c r="E151" s="85" t="s">
        <v>149</v>
      </c>
      <c r="F151" s="85" t="s">
        <v>249</v>
      </c>
      <c r="G151" s="85" t="s">
        <v>4</v>
      </c>
      <c r="H151" s="85" t="s">
        <v>12</v>
      </c>
      <c r="I151" s="86">
        <v>43451</v>
      </c>
      <c r="J151" s="86">
        <v>43396</v>
      </c>
      <c r="K151" s="86">
        <v>43167</v>
      </c>
      <c r="L151" s="85" t="s">
        <v>99</v>
      </c>
      <c r="M151" s="86">
        <v>43400</v>
      </c>
      <c r="N151" s="85" t="s">
        <v>107</v>
      </c>
      <c r="O151" s="86">
        <v>43167</v>
      </c>
      <c r="P151" s="86">
        <v>43298</v>
      </c>
      <c r="Q151" s="86">
        <v>43532</v>
      </c>
      <c r="R151" s="85" t="s">
        <v>1652</v>
      </c>
      <c r="S151" s="86">
        <v>43647</v>
      </c>
      <c r="T151" s="85" t="s">
        <v>1652</v>
      </c>
      <c r="U151" s="86">
        <v>43326</v>
      </c>
      <c r="V151" s="86">
        <v>43708</v>
      </c>
      <c r="W151" s="85" t="s">
        <v>1653</v>
      </c>
      <c r="X151" s="85" t="s">
        <v>114</v>
      </c>
      <c r="Y151" s="85">
        <v>1</v>
      </c>
      <c r="Z151" s="85" t="s">
        <v>114</v>
      </c>
      <c r="AA151" s="85"/>
      <c r="AB151" s="85" t="s">
        <v>114</v>
      </c>
      <c r="AC151" s="85" t="s">
        <v>114</v>
      </c>
      <c r="AD151" s="85" t="s">
        <v>114</v>
      </c>
      <c r="AE151" s="85"/>
      <c r="AF151" s="85"/>
      <c r="AG151" s="86">
        <v>43167</v>
      </c>
      <c r="AH151" s="85" t="s">
        <v>107</v>
      </c>
      <c r="AI151" s="86">
        <v>43396</v>
      </c>
      <c r="AJ151" s="86">
        <v>43396</v>
      </c>
      <c r="AK151" s="86">
        <v>43167</v>
      </c>
      <c r="AL151" s="85" t="s">
        <v>107</v>
      </c>
      <c r="AM151" s="85" t="s">
        <v>107</v>
      </c>
      <c r="AN151" s="86">
        <v>43418</v>
      </c>
      <c r="AO151" s="86">
        <v>43207</v>
      </c>
      <c r="AP151" s="86">
        <v>43158</v>
      </c>
      <c r="AQ151" s="86">
        <v>43158</v>
      </c>
      <c r="AR151" s="86">
        <v>43158</v>
      </c>
      <c r="AS151" s="86">
        <v>43158</v>
      </c>
      <c r="AT151" s="86">
        <v>43158</v>
      </c>
      <c r="AU151" s="86">
        <v>43158</v>
      </c>
      <c r="AV151" s="86">
        <v>43158</v>
      </c>
      <c r="AW151" s="86">
        <v>43158</v>
      </c>
    </row>
    <row r="152" spans="1:49" x14ac:dyDescent="0.2">
      <c r="A152" s="85" t="s">
        <v>572</v>
      </c>
      <c r="B152" s="85" t="s">
        <v>573</v>
      </c>
      <c r="C152" s="85" t="s">
        <v>574</v>
      </c>
      <c r="D152" s="85" t="s">
        <v>575</v>
      </c>
      <c r="E152" s="85" t="s">
        <v>291</v>
      </c>
      <c r="F152" s="85" t="s">
        <v>144</v>
      </c>
      <c r="G152" s="85" t="s">
        <v>4</v>
      </c>
      <c r="H152" s="85" t="s">
        <v>5</v>
      </c>
      <c r="I152" s="86">
        <v>43506</v>
      </c>
      <c r="J152" s="86">
        <v>43467</v>
      </c>
      <c r="K152" s="86">
        <v>43482</v>
      </c>
      <c r="L152" s="85" t="s">
        <v>99</v>
      </c>
      <c r="M152" s="86">
        <v>42885</v>
      </c>
      <c r="N152" s="85" t="s">
        <v>107</v>
      </c>
      <c r="O152" s="86">
        <v>42790</v>
      </c>
      <c r="P152" s="86">
        <v>43329</v>
      </c>
      <c r="Q152" s="86">
        <v>43619</v>
      </c>
      <c r="R152" s="85" t="s">
        <v>1652</v>
      </c>
      <c r="S152" s="86">
        <v>43770</v>
      </c>
      <c r="T152" s="85" t="s">
        <v>1652</v>
      </c>
      <c r="U152" s="86">
        <v>43301</v>
      </c>
      <c r="V152" s="86">
        <v>43677</v>
      </c>
      <c r="W152" s="85" t="s">
        <v>1653</v>
      </c>
      <c r="X152" s="85" t="s">
        <v>114</v>
      </c>
      <c r="Y152" s="85">
        <v>1</v>
      </c>
      <c r="Z152" s="85" t="s">
        <v>114</v>
      </c>
      <c r="AA152" s="85"/>
      <c r="AB152" s="85" t="s">
        <v>114</v>
      </c>
      <c r="AC152" s="85" t="s">
        <v>114</v>
      </c>
      <c r="AD152" s="85" t="s">
        <v>114</v>
      </c>
      <c r="AE152" s="85"/>
      <c r="AF152" s="85"/>
      <c r="AG152" s="86">
        <v>43437</v>
      </c>
      <c r="AH152" s="85" t="s">
        <v>107</v>
      </c>
      <c r="AI152" s="85"/>
      <c r="AJ152" s="86">
        <v>43431</v>
      </c>
      <c r="AK152" s="86">
        <v>42758</v>
      </c>
      <c r="AL152" s="85" t="s">
        <v>107</v>
      </c>
      <c r="AM152" s="85" t="s">
        <v>107</v>
      </c>
      <c r="AN152" s="86">
        <v>43467</v>
      </c>
      <c r="AO152" s="86">
        <v>43467</v>
      </c>
      <c r="AP152" s="86">
        <v>43467</v>
      </c>
      <c r="AQ152" s="86">
        <v>43467</v>
      </c>
      <c r="AR152" s="86">
        <v>43467</v>
      </c>
      <c r="AS152" s="86">
        <v>43467</v>
      </c>
      <c r="AT152" s="86">
        <v>43467</v>
      </c>
      <c r="AU152" s="86">
        <v>43467</v>
      </c>
      <c r="AV152" s="86">
        <v>43467</v>
      </c>
      <c r="AW152" s="86">
        <v>43467</v>
      </c>
    </row>
    <row r="153" spans="1:49" x14ac:dyDescent="0.2">
      <c r="A153" s="85" t="s">
        <v>576</v>
      </c>
      <c r="B153" s="85" t="s">
        <v>577</v>
      </c>
      <c r="C153" s="85" t="s">
        <v>574</v>
      </c>
      <c r="D153" s="85" t="s">
        <v>142</v>
      </c>
      <c r="E153" s="85" t="s">
        <v>121</v>
      </c>
      <c r="F153" s="85" t="s">
        <v>144</v>
      </c>
      <c r="G153" s="85" t="s">
        <v>4</v>
      </c>
      <c r="H153" s="85" t="s">
        <v>5</v>
      </c>
      <c r="I153" s="86">
        <v>43487</v>
      </c>
      <c r="J153" s="86">
        <v>43509</v>
      </c>
      <c r="K153" s="86">
        <v>43482</v>
      </c>
      <c r="L153" s="85" t="s">
        <v>99</v>
      </c>
      <c r="M153" s="86">
        <v>42435</v>
      </c>
      <c r="N153" s="85" t="s">
        <v>107</v>
      </c>
      <c r="O153" s="86">
        <v>43167</v>
      </c>
      <c r="P153" s="86">
        <v>43329</v>
      </c>
      <c r="Q153" s="86">
        <v>43532</v>
      </c>
      <c r="R153" s="85" t="s">
        <v>1652</v>
      </c>
      <c r="S153" s="86">
        <v>43647</v>
      </c>
      <c r="T153" s="85" t="s">
        <v>1652</v>
      </c>
      <c r="U153" s="86">
        <v>43496</v>
      </c>
      <c r="V153" s="86">
        <v>43861</v>
      </c>
      <c r="W153" s="85" t="s">
        <v>1653</v>
      </c>
      <c r="X153" s="85" t="s">
        <v>114</v>
      </c>
      <c r="Y153" s="85">
        <v>1</v>
      </c>
      <c r="Z153" s="85" t="s">
        <v>114</v>
      </c>
      <c r="AA153" s="85"/>
      <c r="AB153" s="85" t="s">
        <v>114</v>
      </c>
      <c r="AC153" s="85" t="s">
        <v>114</v>
      </c>
      <c r="AD153" s="85" t="s">
        <v>114</v>
      </c>
      <c r="AE153" s="85"/>
      <c r="AF153" s="85"/>
      <c r="AG153" s="86">
        <v>43167</v>
      </c>
      <c r="AH153" s="85" t="s">
        <v>107</v>
      </c>
      <c r="AI153" s="85"/>
      <c r="AJ153" s="86">
        <v>43431</v>
      </c>
      <c r="AK153" s="86">
        <v>43167</v>
      </c>
      <c r="AL153" s="85" t="s">
        <v>107</v>
      </c>
      <c r="AM153" s="85" t="s">
        <v>107</v>
      </c>
      <c r="AN153" s="86">
        <v>43375</v>
      </c>
      <c r="AO153" s="85"/>
      <c r="AP153" s="86">
        <v>43158</v>
      </c>
      <c r="AQ153" s="86">
        <v>42668</v>
      </c>
      <c r="AR153" s="86">
        <v>43158</v>
      </c>
      <c r="AS153" s="86">
        <v>43158</v>
      </c>
      <c r="AT153" s="86">
        <v>43158</v>
      </c>
      <c r="AU153" s="86">
        <v>43158</v>
      </c>
      <c r="AV153" s="86">
        <v>43158</v>
      </c>
      <c r="AW153" s="86">
        <v>43158</v>
      </c>
    </row>
    <row r="154" spans="1:49" x14ac:dyDescent="0.2">
      <c r="A154" s="85" t="s">
        <v>578</v>
      </c>
      <c r="B154" s="85" t="s">
        <v>579</v>
      </c>
      <c r="C154" s="85" t="s">
        <v>580</v>
      </c>
      <c r="D154" s="85" t="s">
        <v>581</v>
      </c>
      <c r="E154" s="85" t="s">
        <v>121</v>
      </c>
      <c r="F154" s="85" t="s">
        <v>113</v>
      </c>
      <c r="G154" s="85" t="s">
        <v>4</v>
      </c>
      <c r="H154" s="85" t="s">
        <v>13</v>
      </c>
      <c r="I154" s="86">
        <v>43319</v>
      </c>
      <c r="J154" s="86">
        <v>43170</v>
      </c>
      <c r="K154" s="86">
        <v>43339</v>
      </c>
      <c r="L154" s="85" t="s">
        <v>99</v>
      </c>
      <c r="M154" s="86">
        <v>43319</v>
      </c>
      <c r="N154" s="85" t="s">
        <v>107</v>
      </c>
      <c r="O154" s="86">
        <v>42563</v>
      </c>
      <c r="P154" s="86">
        <v>43319</v>
      </c>
      <c r="Q154" s="86">
        <v>43568</v>
      </c>
      <c r="R154" s="85" t="s">
        <v>1652</v>
      </c>
      <c r="S154" s="86">
        <v>44166</v>
      </c>
      <c r="T154" s="85" t="s">
        <v>1652</v>
      </c>
      <c r="U154" s="86">
        <v>43329</v>
      </c>
      <c r="V154" s="86">
        <v>43524</v>
      </c>
      <c r="W154" s="85" t="s">
        <v>1657</v>
      </c>
      <c r="X154" s="85" t="s">
        <v>114</v>
      </c>
      <c r="Y154" s="85">
        <v>2</v>
      </c>
      <c r="Z154" s="85" t="s">
        <v>114</v>
      </c>
      <c r="AA154" s="85"/>
      <c r="AB154" s="85" t="s">
        <v>211</v>
      </c>
      <c r="AC154" s="85" t="s">
        <v>114</v>
      </c>
      <c r="AD154" s="85" t="s">
        <v>211</v>
      </c>
      <c r="AE154" s="85" t="s">
        <v>1666</v>
      </c>
      <c r="AF154" s="86">
        <v>43512</v>
      </c>
      <c r="AG154" s="86">
        <v>43203</v>
      </c>
      <c r="AH154" s="85" t="s">
        <v>107</v>
      </c>
      <c r="AI154" s="86">
        <v>42521</v>
      </c>
      <c r="AJ154" s="86">
        <v>43212</v>
      </c>
      <c r="AK154" s="86">
        <v>42264</v>
      </c>
      <c r="AL154" s="85" t="s">
        <v>107</v>
      </c>
      <c r="AM154" s="85" t="s">
        <v>107</v>
      </c>
      <c r="AN154" s="86">
        <v>43375</v>
      </c>
      <c r="AO154" s="86">
        <v>43213</v>
      </c>
      <c r="AP154" s="86">
        <v>43339</v>
      </c>
      <c r="AQ154" s="86">
        <v>43339</v>
      </c>
      <c r="AR154" s="86">
        <v>43339</v>
      </c>
      <c r="AS154" s="86">
        <v>43339</v>
      </c>
      <c r="AT154" s="86">
        <v>43339</v>
      </c>
      <c r="AU154" s="86">
        <v>43339</v>
      </c>
      <c r="AV154" s="86">
        <v>43339</v>
      </c>
      <c r="AW154" s="86">
        <v>43339</v>
      </c>
    </row>
    <row r="155" spans="1:49" x14ac:dyDescent="0.2">
      <c r="A155" s="85" t="s">
        <v>582</v>
      </c>
      <c r="B155" s="85" t="s">
        <v>583</v>
      </c>
      <c r="C155" s="85" t="s">
        <v>584</v>
      </c>
      <c r="D155" s="85" t="s">
        <v>585</v>
      </c>
      <c r="E155" s="85"/>
      <c r="F155" s="85" t="s">
        <v>106</v>
      </c>
      <c r="G155" s="85" t="s">
        <v>4</v>
      </c>
      <c r="H155" s="85" t="s">
        <v>12</v>
      </c>
      <c r="I155" s="85" t="s">
        <v>107</v>
      </c>
      <c r="J155" s="85" t="s">
        <v>59</v>
      </c>
      <c r="K155" s="85" t="s">
        <v>59</v>
      </c>
      <c r="L155" s="85" t="s">
        <v>107</v>
      </c>
      <c r="M155" s="85" t="s">
        <v>107</v>
      </c>
      <c r="N155" s="85" t="s">
        <v>107</v>
      </c>
      <c r="O155" s="85" t="s">
        <v>107</v>
      </c>
      <c r="P155" s="85" t="s">
        <v>107</v>
      </c>
      <c r="Q155" s="85" t="s">
        <v>59</v>
      </c>
      <c r="R155" s="85" t="s">
        <v>107</v>
      </c>
      <c r="S155" s="85" t="s">
        <v>107</v>
      </c>
      <c r="T155" s="85" t="s">
        <v>107</v>
      </c>
      <c r="U155" s="85" t="s">
        <v>107</v>
      </c>
      <c r="V155" s="85" t="s">
        <v>107</v>
      </c>
      <c r="W155" s="85" t="s">
        <v>107</v>
      </c>
      <c r="X155" s="85" t="s">
        <v>107</v>
      </c>
      <c r="Y155" s="85" t="s">
        <v>107</v>
      </c>
      <c r="Z155" s="85" t="s">
        <v>107</v>
      </c>
      <c r="AA155" s="85" t="s">
        <v>107</v>
      </c>
      <c r="AB155" s="85" t="s">
        <v>107</v>
      </c>
      <c r="AC155" s="85" t="s">
        <v>107</v>
      </c>
      <c r="AD155" s="85" t="s">
        <v>107</v>
      </c>
      <c r="AE155" s="85" t="s">
        <v>107</v>
      </c>
      <c r="AF155" s="85" t="s">
        <v>107</v>
      </c>
      <c r="AG155" s="86">
        <v>43500</v>
      </c>
      <c r="AH155" s="85" t="s">
        <v>1953</v>
      </c>
      <c r="AI155" s="85" t="s">
        <v>107</v>
      </c>
      <c r="AJ155" s="85" t="s">
        <v>107</v>
      </c>
      <c r="AK155" s="85" t="s">
        <v>107</v>
      </c>
      <c r="AL155" s="85" t="s">
        <v>107</v>
      </c>
      <c r="AM155" s="85" t="s">
        <v>107</v>
      </c>
      <c r="AN155" s="86">
        <v>43480</v>
      </c>
      <c r="AO155" s="86">
        <v>43213</v>
      </c>
      <c r="AP155" s="86">
        <v>43480</v>
      </c>
      <c r="AQ155" s="86">
        <v>42295</v>
      </c>
      <c r="AR155" s="86">
        <v>43480</v>
      </c>
      <c r="AS155" s="86">
        <v>43480</v>
      </c>
      <c r="AT155" s="86">
        <v>43480</v>
      </c>
      <c r="AU155" s="85" t="s">
        <v>107</v>
      </c>
      <c r="AV155" s="86">
        <v>43480</v>
      </c>
      <c r="AW155" s="86">
        <v>43480</v>
      </c>
    </row>
    <row r="156" spans="1:49" x14ac:dyDescent="0.2">
      <c r="A156" s="85" t="s">
        <v>586</v>
      </c>
      <c r="B156" s="85" t="s">
        <v>587</v>
      </c>
      <c r="C156" s="85" t="s">
        <v>588</v>
      </c>
      <c r="D156" s="85" t="s">
        <v>589</v>
      </c>
      <c r="E156" s="85" t="s">
        <v>231</v>
      </c>
      <c r="F156" s="85" t="s">
        <v>106</v>
      </c>
      <c r="G156" s="85" t="s">
        <v>4</v>
      </c>
      <c r="H156" s="85" t="s">
        <v>8</v>
      </c>
      <c r="I156" s="85" t="s">
        <v>107</v>
      </c>
      <c r="J156" s="86">
        <v>43185</v>
      </c>
      <c r="K156" s="86">
        <v>43275</v>
      </c>
      <c r="L156" s="85" t="s">
        <v>107</v>
      </c>
      <c r="M156" s="85" t="s">
        <v>107</v>
      </c>
      <c r="N156" s="85" t="s">
        <v>107</v>
      </c>
      <c r="O156" s="85" t="s">
        <v>107</v>
      </c>
      <c r="P156" s="85" t="s">
        <v>107</v>
      </c>
      <c r="Q156" s="86">
        <v>43638</v>
      </c>
      <c r="R156" s="85" t="s">
        <v>107</v>
      </c>
      <c r="S156" s="85" t="s">
        <v>107</v>
      </c>
      <c r="T156" s="85" t="s">
        <v>107</v>
      </c>
      <c r="U156" s="85" t="s">
        <v>107</v>
      </c>
      <c r="V156" s="85" t="s">
        <v>107</v>
      </c>
      <c r="W156" s="85" t="s">
        <v>107</v>
      </c>
      <c r="X156" s="85" t="s">
        <v>107</v>
      </c>
      <c r="Y156" s="85" t="s">
        <v>107</v>
      </c>
      <c r="Z156" s="85" t="s">
        <v>107</v>
      </c>
      <c r="AA156" s="85" t="s">
        <v>107</v>
      </c>
      <c r="AB156" s="85" t="s">
        <v>107</v>
      </c>
      <c r="AC156" s="85" t="s">
        <v>107</v>
      </c>
      <c r="AD156" s="85" t="s">
        <v>107</v>
      </c>
      <c r="AE156" s="85" t="s">
        <v>107</v>
      </c>
      <c r="AF156" s="85" t="s">
        <v>107</v>
      </c>
      <c r="AG156" s="86">
        <v>43266</v>
      </c>
      <c r="AH156" s="85" t="s">
        <v>107</v>
      </c>
      <c r="AI156" s="85" t="s">
        <v>107</v>
      </c>
      <c r="AJ156" s="85" t="s">
        <v>107</v>
      </c>
      <c r="AK156" s="85" t="s">
        <v>107</v>
      </c>
      <c r="AL156" s="85" t="s">
        <v>107</v>
      </c>
      <c r="AM156" s="85" t="s">
        <v>107</v>
      </c>
      <c r="AN156" s="86">
        <v>43405</v>
      </c>
      <c r="AO156" s="86">
        <v>43209</v>
      </c>
      <c r="AP156" s="86">
        <v>43158</v>
      </c>
      <c r="AQ156" s="86">
        <v>42801</v>
      </c>
      <c r="AR156" s="86">
        <v>43158</v>
      </c>
      <c r="AS156" s="86">
        <v>43158</v>
      </c>
      <c r="AT156" s="86">
        <v>43158</v>
      </c>
      <c r="AU156" s="85" t="s">
        <v>107</v>
      </c>
      <c r="AV156" s="86">
        <v>43158</v>
      </c>
      <c r="AW156" s="86">
        <v>43158</v>
      </c>
    </row>
    <row r="157" spans="1:49" x14ac:dyDescent="0.2">
      <c r="A157" s="85" t="s">
        <v>590</v>
      </c>
      <c r="B157" s="85" t="s">
        <v>591</v>
      </c>
      <c r="C157" s="85" t="s">
        <v>592</v>
      </c>
      <c r="D157" s="85" t="s">
        <v>166</v>
      </c>
      <c r="E157" s="85" t="s">
        <v>126</v>
      </c>
      <c r="F157" s="85" t="s">
        <v>113</v>
      </c>
      <c r="G157" s="85" t="s">
        <v>4</v>
      </c>
      <c r="H157" s="85" t="s">
        <v>7</v>
      </c>
      <c r="I157" s="86">
        <v>43439</v>
      </c>
      <c r="J157" s="86">
        <v>43167</v>
      </c>
      <c r="K157" s="86">
        <v>43164</v>
      </c>
      <c r="L157" s="85" t="s">
        <v>99</v>
      </c>
      <c r="M157" s="86">
        <v>42547</v>
      </c>
      <c r="N157" s="85" t="s">
        <v>107</v>
      </c>
      <c r="O157" s="86">
        <v>43164</v>
      </c>
      <c r="P157" s="86">
        <v>43213</v>
      </c>
      <c r="Q157" s="86">
        <v>43593</v>
      </c>
      <c r="R157" s="85" t="s">
        <v>1652</v>
      </c>
      <c r="S157" s="86">
        <v>43497</v>
      </c>
      <c r="T157" s="85" t="s">
        <v>1652</v>
      </c>
      <c r="U157" s="86">
        <v>43423</v>
      </c>
      <c r="V157" s="86">
        <v>43616</v>
      </c>
      <c r="W157" s="85" t="s">
        <v>1655</v>
      </c>
      <c r="X157" s="85" t="s">
        <v>114</v>
      </c>
      <c r="Y157" s="85">
        <v>1</v>
      </c>
      <c r="Z157" s="85" t="s">
        <v>114</v>
      </c>
      <c r="AA157" s="85"/>
      <c r="AB157" s="85" t="s">
        <v>114</v>
      </c>
      <c r="AC157" s="85" t="s">
        <v>114</v>
      </c>
      <c r="AD157" s="85" t="s">
        <v>114</v>
      </c>
      <c r="AE157" s="85"/>
      <c r="AF157" s="85"/>
      <c r="AG157" s="86">
        <v>43227</v>
      </c>
      <c r="AH157" s="85" t="s">
        <v>107</v>
      </c>
      <c r="AI157" s="86">
        <v>42647</v>
      </c>
      <c r="AJ157" s="86">
        <v>43411</v>
      </c>
      <c r="AK157" s="86">
        <v>43164</v>
      </c>
      <c r="AL157" s="85" t="s">
        <v>107</v>
      </c>
      <c r="AM157" s="85" t="s">
        <v>107</v>
      </c>
      <c r="AN157" s="86">
        <v>43403</v>
      </c>
      <c r="AO157" s="86">
        <v>43207</v>
      </c>
      <c r="AP157" s="86">
        <v>43315</v>
      </c>
      <c r="AQ157" s="86">
        <v>43315</v>
      </c>
      <c r="AR157" s="86">
        <v>43315</v>
      </c>
      <c r="AS157" s="86">
        <v>43315</v>
      </c>
      <c r="AT157" s="86">
        <v>43315</v>
      </c>
      <c r="AU157" s="86">
        <v>43315</v>
      </c>
      <c r="AV157" s="86">
        <v>43315</v>
      </c>
      <c r="AW157" s="86">
        <v>43315</v>
      </c>
    </row>
    <row r="158" spans="1:49" x14ac:dyDescent="0.2">
      <c r="A158" s="85" t="s">
        <v>1866</v>
      </c>
      <c r="B158" s="85" t="s">
        <v>1867</v>
      </c>
      <c r="C158" s="85" t="s">
        <v>1868</v>
      </c>
      <c r="D158" s="85" t="s">
        <v>1869</v>
      </c>
      <c r="E158" s="85" t="s">
        <v>201</v>
      </c>
      <c r="F158" s="85" t="s">
        <v>106</v>
      </c>
      <c r="G158" s="85" t="s">
        <v>4</v>
      </c>
      <c r="H158" s="85" t="s">
        <v>5</v>
      </c>
      <c r="I158" s="85" t="s">
        <v>107</v>
      </c>
      <c r="J158" s="85" t="s">
        <v>59</v>
      </c>
      <c r="K158" s="85" t="s">
        <v>59</v>
      </c>
      <c r="L158" s="85" t="s">
        <v>107</v>
      </c>
      <c r="M158" s="85" t="s">
        <v>107</v>
      </c>
      <c r="N158" s="85" t="s">
        <v>107</v>
      </c>
      <c r="O158" s="85" t="s">
        <v>107</v>
      </c>
      <c r="P158" s="85" t="s">
        <v>107</v>
      </c>
      <c r="Q158" s="85" t="s">
        <v>59</v>
      </c>
      <c r="R158" s="85" t="s">
        <v>107</v>
      </c>
      <c r="S158" s="85" t="s">
        <v>107</v>
      </c>
      <c r="T158" s="85" t="s">
        <v>107</v>
      </c>
      <c r="U158" s="85" t="s">
        <v>107</v>
      </c>
      <c r="V158" s="85" t="s">
        <v>107</v>
      </c>
      <c r="W158" s="85" t="s">
        <v>107</v>
      </c>
      <c r="X158" s="85" t="s">
        <v>107</v>
      </c>
      <c r="Y158" s="85" t="s">
        <v>107</v>
      </c>
      <c r="Z158" s="85" t="s">
        <v>107</v>
      </c>
      <c r="AA158" s="85" t="s">
        <v>107</v>
      </c>
      <c r="AB158" s="85" t="s">
        <v>107</v>
      </c>
      <c r="AC158" s="85" t="s">
        <v>107</v>
      </c>
      <c r="AD158" s="85" t="s">
        <v>107</v>
      </c>
      <c r="AE158" s="85" t="s">
        <v>107</v>
      </c>
      <c r="AF158" s="85" t="s">
        <v>107</v>
      </c>
      <c r="AG158" s="86">
        <v>43476</v>
      </c>
      <c r="AH158" s="85" t="s">
        <v>107</v>
      </c>
      <c r="AI158" s="85" t="s">
        <v>107</v>
      </c>
      <c r="AJ158" s="85" t="s">
        <v>107</v>
      </c>
      <c r="AK158" s="85" t="s">
        <v>107</v>
      </c>
      <c r="AL158" s="85" t="s">
        <v>107</v>
      </c>
      <c r="AM158" s="85" t="s">
        <v>107</v>
      </c>
      <c r="AN158" s="86">
        <v>43472</v>
      </c>
      <c r="AO158" s="86">
        <v>43472</v>
      </c>
      <c r="AP158" s="86">
        <v>43472</v>
      </c>
      <c r="AQ158" s="86">
        <v>43472</v>
      </c>
      <c r="AR158" s="86">
        <v>43472</v>
      </c>
      <c r="AS158" s="86">
        <v>43472</v>
      </c>
      <c r="AT158" s="86">
        <v>43472</v>
      </c>
      <c r="AU158" s="85" t="s">
        <v>107</v>
      </c>
      <c r="AV158" s="86">
        <v>43472</v>
      </c>
      <c r="AW158" s="86">
        <v>43472</v>
      </c>
    </row>
    <row r="159" spans="1:49" x14ac:dyDescent="0.2">
      <c r="A159" s="85" t="s">
        <v>593</v>
      </c>
      <c r="B159" s="85" t="s">
        <v>594</v>
      </c>
      <c r="C159" s="85" t="s">
        <v>595</v>
      </c>
      <c r="D159" s="85" t="s">
        <v>262</v>
      </c>
      <c r="E159" s="85" t="s">
        <v>206</v>
      </c>
      <c r="F159" s="85" t="s">
        <v>144</v>
      </c>
      <c r="G159" s="85" t="s">
        <v>4</v>
      </c>
      <c r="H159" s="85" t="s">
        <v>5</v>
      </c>
      <c r="I159" s="86">
        <v>43440</v>
      </c>
      <c r="J159" s="86">
        <v>43403</v>
      </c>
      <c r="K159" s="86">
        <v>43328</v>
      </c>
      <c r="L159" s="85" t="s">
        <v>99</v>
      </c>
      <c r="M159" s="86">
        <v>43089</v>
      </c>
      <c r="N159" s="85" t="s">
        <v>107</v>
      </c>
      <c r="O159" s="86">
        <v>43065</v>
      </c>
      <c r="P159" s="86">
        <v>43269</v>
      </c>
      <c r="Q159" s="86">
        <v>43799</v>
      </c>
      <c r="R159" s="85" t="s">
        <v>1652</v>
      </c>
      <c r="S159" s="86">
        <v>43862</v>
      </c>
      <c r="T159" s="85" t="s">
        <v>1652</v>
      </c>
      <c r="U159" s="86">
        <v>43477</v>
      </c>
      <c r="V159" s="86">
        <v>43677</v>
      </c>
      <c r="W159" s="85" t="s">
        <v>1657</v>
      </c>
      <c r="X159" s="85" t="s">
        <v>114</v>
      </c>
      <c r="Y159" s="85">
        <v>2</v>
      </c>
      <c r="Z159" s="85" t="s">
        <v>114</v>
      </c>
      <c r="AA159" s="85"/>
      <c r="AB159" s="85" t="s">
        <v>211</v>
      </c>
      <c r="AC159" s="85" t="s">
        <v>114</v>
      </c>
      <c r="AD159" s="85" t="s">
        <v>211</v>
      </c>
      <c r="AE159" s="85" t="s">
        <v>1667</v>
      </c>
      <c r="AF159" s="86">
        <v>43551</v>
      </c>
      <c r="AG159" s="86">
        <v>43493</v>
      </c>
      <c r="AH159" s="85" t="s">
        <v>107</v>
      </c>
      <c r="AI159" s="85"/>
      <c r="AJ159" s="86">
        <v>43431</v>
      </c>
      <c r="AK159" s="86">
        <v>41757</v>
      </c>
      <c r="AL159" s="86">
        <v>40933</v>
      </c>
      <c r="AM159" s="86">
        <v>40933</v>
      </c>
      <c r="AN159" s="86">
        <v>43467</v>
      </c>
      <c r="AO159" s="86">
        <v>43467</v>
      </c>
      <c r="AP159" s="86">
        <v>43467</v>
      </c>
      <c r="AQ159" s="86">
        <v>43467</v>
      </c>
      <c r="AR159" s="86">
        <v>43467</v>
      </c>
      <c r="AS159" s="86">
        <v>43467</v>
      </c>
      <c r="AT159" s="86">
        <v>43467</v>
      </c>
      <c r="AU159" s="86">
        <v>43467</v>
      </c>
      <c r="AV159" s="86">
        <v>43467</v>
      </c>
      <c r="AW159" s="86">
        <v>43467</v>
      </c>
    </row>
    <row r="160" spans="1:49" x14ac:dyDescent="0.2">
      <c r="A160" s="85" t="s">
        <v>596</v>
      </c>
      <c r="B160" s="85" t="s">
        <v>597</v>
      </c>
      <c r="C160" s="85" t="s">
        <v>598</v>
      </c>
      <c r="D160" s="85" t="s">
        <v>599</v>
      </c>
      <c r="E160" s="85" t="s">
        <v>206</v>
      </c>
      <c r="F160" s="85" t="s">
        <v>600</v>
      </c>
      <c r="G160" s="85" t="s">
        <v>4</v>
      </c>
      <c r="H160" s="85" t="s">
        <v>17</v>
      </c>
      <c r="I160" s="86">
        <v>43308</v>
      </c>
      <c r="J160" s="86">
        <v>43304</v>
      </c>
      <c r="K160" s="86">
        <v>43318</v>
      </c>
      <c r="L160" s="85" t="s">
        <v>99</v>
      </c>
      <c r="M160" s="86">
        <v>42439</v>
      </c>
      <c r="N160" s="85" t="s">
        <v>107</v>
      </c>
      <c r="O160" s="86">
        <v>43318</v>
      </c>
      <c r="P160" s="86">
        <v>43369</v>
      </c>
      <c r="Q160" s="86">
        <v>43683</v>
      </c>
      <c r="R160" s="85" t="s">
        <v>1652</v>
      </c>
      <c r="S160" s="86">
        <v>44835</v>
      </c>
      <c r="T160" s="85" t="s">
        <v>1652</v>
      </c>
      <c r="U160" s="86">
        <v>43474</v>
      </c>
      <c r="V160" s="86">
        <v>43677</v>
      </c>
      <c r="W160" s="85" t="s">
        <v>1657</v>
      </c>
      <c r="X160" s="85" t="s">
        <v>114</v>
      </c>
      <c r="Y160" s="85">
        <v>1</v>
      </c>
      <c r="Z160" s="85" t="s">
        <v>114</v>
      </c>
      <c r="AA160" s="85"/>
      <c r="AB160" s="85" t="s">
        <v>114</v>
      </c>
      <c r="AC160" s="85" t="s">
        <v>114</v>
      </c>
      <c r="AD160" s="85" t="s">
        <v>114</v>
      </c>
      <c r="AE160" s="85"/>
      <c r="AF160" s="85"/>
      <c r="AG160" s="86">
        <v>43318</v>
      </c>
      <c r="AH160" s="85" t="s">
        <v>107</v>
      </c>
      <c r="AI160" s="85"/>
      <c r="AJ160" s="85"/>
      <c r="AK160" s="85"/>
      <c r="AL160" s="85"/>
      <c r="AM160" s="85"/>
      <c r="AN160" s="86">
        <v>43510</v>
      </c>
      <c r="AO160" s="86">
        <v>43510</v>
      </c>
      <c r="AP160" s="86">
        <v>43510</v>
      </c>
      <c r="AQ160" s="86">
        <v>43510</v>
      </c>
      <c r="AR160" s="86">
        <v>43510</v>
      </c>
      <c r="AS160" s="86">
        <v>43510</v>
      </c>
      <c r="AT160" s="86">
        <v>43510</v>
      </c>
      <c r="AU160" s="86">
        <v>43510</v>
      </c>
      <c r="AV160" s="86">
        <v>43510</v>
      </c>
      <c r="AW160" s="86">
        <v>43510</v>
      </c>
    </row>
    <row r="161" spans="1:49" x14ac:dyDescent="0.2">
      <c r="A161" s="85" t="s">
        <v>601</v>
      </c>
      <c r="B161" s="85" t="s">
        <v>602</v>
      </c>
      <c r="C161" s="85" t="s">
        <v>603</v>
      </c>
      <c r="D161" s="85" t="s">
        <v>604</v>
      </c>
      <c r="E161" s="85" t="s">
        <v>141</v>
      </c>
      <c r="F161" s="85" t="s">
        <v>144</v>
      </c>
      <c r="G161" s="85" t="s">
        <v>4</v>
      </c>
      <c r="H161" s="85" t="s">
        <v>5</v>
      </c>
      <c r="I161" s="86">
        <v>43440</v>
      </c>
      <c r="J161" s="86">
        <v>43167</v>
      </c>
      <c r="K161" s="86">
        <v>43167</v>
      </c>
      <c r="L161" s="85" t="s">
        <v>99</v>
      </c>
      <c r="M161" s="86">
        <v>42465</v>
      </c>
      <c r="N161" s="85" t="s">
        <v>107</v>
      </c>
      <c r="O161" s="86">
        <v>43167</v>
      </c>
      <c r="P161" s="86">
        <v>43271</v>
      </c>
      <c r="Q161" s="86">
        <v>43532</v>
      </c>
      <c r="R161" s="85" t="s">
        <v>1652</v>
      </c>
      <c r="S161" s="86">
        <v>43647</v>
      </c>
      <c r="T161" s="85" t="s">
        <v>1652</v>
      </c>
      <c r="U161" s="86">
        <v>43265</v>
      </c>
      <c r="V161" s="86">
        <v>43646</v>
      </c>
      <c r="W161" s="85" t="s">
        <v>1653</v>
      </c>
      <c r="X161" s="85" t="s">
        <v>114</v>
      </c>
      <c r="Y161" s="85">
        <v>1</v>
      </c>
      <c r="Z161" s="85" t="s">
        <v>114</v>
      </c>
      <c r="AA161" s="85" t="s">
        <v>1663</v>
      </c>
      <c r="AB161" s="85" t="s">
        <v>114</v>
      </c>
      <c r="AC161" s="85" t="s">
        <v>114</v>
      </c>
      <c r="AD161" s="85" t="s">
        <v>114</v>
      </c>
      <c r="AE161" s="85"/>
      <c r="AF161" s="85"/>
      <c r="AG161" s="86">
        <v>43167</v>
      </c>
      <c r="AH161" s="85" t="s">
        <v>107</v>
      </c>
      <c r="AI161" s="85"/>
      <c r="AJ161" s="86">
        <v>43431</v>
      </c>
      <c r="AK161" s="86">
        <v>43167</v>
      </c>
      <c r="AL161" s="85" t="s">
        <v>107</v>
      </c>
      <c r="AM161" s="85" t="s">
        <v>107</v>
      </c>
      <c r="AN161" s="86">
        <v>43375</v>
      </c>
      <c r="AO161" s="86">
        <v>43339</v>
      </c>
      <c r="AP161" s="86">
        <v>43160</v>
      </c>
      <c r="AQ161" s="86">
        <v>42758</v>
      </c>
      <c r="AR161" s="86">
        <v>43495</v>
      </c>
      <c r="AS161" s="86">
        <v>43495</v>
      </c>
      <c r="AT161" s="86">
        <v>43160</v>
      </c>
      <c r="AU161" s="86">
        <v>43495</v>
      </c>
      <c r="AV161" s="86">
        <v>43495</v>
      </c>
      <c r="AW161" s="86">
        <v>43495</v>
      </c>
    </row>
    <row r="162" spans="1:49" x14ac:dyDescent="0.2">
      <c r="A162" s="85" t="s">
        <v>1696</v>
      </c>
      <c r="B162" s="85" t="s">
        <v>1697</v>
      </c>
      <c r="C162" s="85" t="s">
        <v>1698</v>
      </c>
      <c r="D162" s="85" t="s">
        <v>1699</v>
      </c>
      <c r="E162" s="85" t="s">
        <v>222</v>
      </c>
      <c r="F162" s="85" t="s">
        <v>106</v>
      </c>
      <c r="G162" s="85" t="s">
        <v>4</v>
      </c>
      <c r="H162" s="85" t="s">
        <v>12</v>
      </c>
      <c r="I162" s="85" t="s">
        <v>107</v>
      </c>
      <c r="J162" s="85" t="s">
        <v>59</v>
      </c>
      <c r="K162" s="85" t="s">
        <v>59</v>
      </c>
      <c r="L162" s="85" t="s">
        <v>107</v>
      </c>
      <c r="M162" s="85" t="s">
        <v>107</v>
      </c>
      <c r="N162" s="85" t="s">
        <v>107</v>
      </c>
      <c r="O162" s="85" t="s">
        <v>107</v>
      </c>
      <c r="P162" s="85" t="s">
        <v>107</v>
      </c>
      <c r="Q162" s="85" t="s">
        <v>59</v>
      </c>
      <c r="R162" s="85" t="s">
        <v>107</v>
      </c>
      <c r="S162" s="85" t="s">
        <v>107</v>
      </c>
      <c r="T162" s="85" t="s">
        <v>107</v>
      </c>
      <c r="U162" s="85" t="s">
        <v>107</v>
      </c>
      <c r="V162" s="85" t="s">
        <v>107</v>
      </c>
      <c r="W162" s="85" t="s">
        <v>107</v>
      </c>
      <c r="X162" s="85" t="s">
        <v>107</v>
      </c>
      <c r="Y162" s="85" t="s">
        <v>107</v>
      </c>
      <c r="Z162" s="85" t="s">
        <v>107</v>
      </c>
      <c r="AA162" s="85" t="s">
        <v>107</v>
      </c>
      <c r="AB162" s="85" t="s">
        <v>107</v>
      </c>
      <c r="AC162" s="85" t="s">
        <v>107</v>
      </c>
      <c r="AD162" s="85" t="s">
        <v>107</v>
      </c>
      <c r="AE162" s="85" t="s">
        <v>107</v>
      </c>
      <c r="AF162" s="85" t="s">
        <v>107</v>
      </c>
      <c r="AG162" s="85" t="s">
        <v>59</v>
      </c>
      <c r="AH162" s="85" t="s">
        <v>1938</v>
      </c>
      <c r="AI162" s="85" t="s">
        <v>107</v>
      </c>
      <c r="AJ162" s="85" t="s">
        <v>107</v>
      </c>
      <c r="AK162" s="85" t="s">
        <v>107</v>
      </c>
      <c r="AL162" s="85" t="s">
        <v>107</v>
      </c>
      <c r="AM162" s="85" t="s">
        <v>107</v>
      </c>
      <c r="AN162" s="86">
        <v>43385</v>
      </c>
      <c r="AO162" s="86">
        <v>43385</v>
      </c>
      <c r="AP162" s="86">
        <v>43385</v>
      </c>
      <c r="AQ162" s="86">
        <v>43385</v>
      </c>
      <c r="AR162" s="86">
        <v>43385</v>
      </c>
      <c r="AS162" s="86">
        <v>43385</v>
      </c>
      <c r="AT162" s="86">
        <v>43385</v>
      </c>
      <c r="AU162" s="86" t="s">
        <v>107</v>
      </c>
      <c r="AV162" s="86">
        <v>43385</v>
      </c>
      <c r="AW162" s="86">
        <v>43385</v>
      </c>
    </row>
    <row r="163" spans="1:49" x14ac:dyDescent="0.2">
      <c r="A163" s="85" t="s">
        <v>606</v>
      </c>
      <c r="B163" s="85" t="s">
        <v>607</v>
      </c>
      <c r="C163" s="85" t="s">
        <v>608</v>
      </c>
      <c r="D163" s="85" t="s">
        <v>609</v>
      </c>
      <c r="E163" s="85" t="s">
        <v>222</v>
      </c>
      <c r="F163" s="85" t="s">
        <v>144</v>
      </c>
      <c r="G163" s="85" t="s">
        <v>4</v>
      </c>
      <c r="H163" s="85" t="s">
        <v>5</v>
      </c>
      <c r="I163" s="86">
        <v>43463</v>
      </c>
      <c r="J163" s="86">
        <v>43257</v>
      </c>
      <c r="K163" s="86">
        <v>43226</v>
      </c>
      <c r="L163" s="85" t="s">
        <v>99</v>
      </c>
      <c r="M163" s="86">
        <v>43158</v>
      </c>
      <c r="N163" s="85" t="s">
        <v>107</v>
      </c>
      <c r="O163" s="86">
        <v>43154</v>
      </c>
      <c r="P163" s="86">
        <v>43361</v>
      </c>
      <c r="Q163" s="86">
        <v>43619</v>
      </c>
      <c r="R163" s="85" t="s">
        <v>1652</v>
      </c>
      <c r="S163" s="86">
        <v>44136</v>
      </c>
      <c r="T163" s="85" t="s">
        <v>1652</v>
      </c>
      <c r="U163" s="86">
        <v>43424</v>
      </c>
      <c r="V163" s="86">
        <v>43616</v>
      </c>
      <c r="W163" s="85" t="s">
        <v>1655</v>
      </c>
      <c r="X163" s="85" t="s">
        <v>114</v>
      </c>
      <c r="Y163" s="85">
        <v>1</v>
      </c>
      <c r="Z163" s="85" t="s">
        <v>114</v>
      </c>
      <c r="AA163" s="85"/>
      <c r="AB163" s="85" t="s">
        <v>114</v>
      </c>
      <c r="AC163" s="85" t="s">
        <v>114</v>
      </c>
      <c r="AD163" s="85" t="s">
        <v>114</v>
      </c>
      <c r="AE163" s="85"/>
      <c r="AF163" s="85"/>
      <c r="AG163" s="86">
        <v>43479</v>
      </c>
      <c r="AH163" s="85" t="s">
        <v>107</v>
      </c>
      <c r="AI163" s="86">
        <v>43230</v>
      </c>
      <c r="AJ163" s="86">
        <v>43230</v>
      </c>
      <c r="AK163" s="86">
        <v>42313</v>
      </c>
      <c r="AL163" s="86">
        <v>43454</v>
      </c>
      <c r="AM163" s="86">
        <v>43454</v>
      </c>
      <c r="AN163" s="86">
        <v>43479</v>
      </c>
      <c r="AO163" s="86">
        <v>43207</v>
      </c>
      <c r="AP163" s="86">
        <v>43479</v>
      </c>
      <c r="AQ163" s="86">
        <v>43102</v>
      </c>
      <c r="AR163" s="86">
        <v>43479</v>
      </c>
      <c r="AS163" s="86">
        <v>43479</v>
      </c>
      <c r="AT163" s="86">
        <v>43479</v>
      </c>
      <c r="AU163" s="86">
        <v>43479</v>
      </c>
      <c r="AV163" s="86">
        <v>43479</v>
      </c>
      <c r="AW163" s="86">
        <v>43479</v>
      </c>
    </row>
    <row r="164" spans="1:49" x14ac:dyDescent="0.2">
      <c r="A164" s="85" t="s">
        <v>610</v>
      </c>
      <c r="B164" s="85" t="s">
        <v>611</v>
      </c>
      <c r="C164" s="85" t="s">
        <v>612</v>
      </c>
      <c r="D164" s="85" t="s">
        <v>391</v>
      </c>
      <c r="E164" s="85" t="s">
        <v>141</v>
      </c>
      <c r="F164" s="85" t="s">
        <v>113</v>
      </c>
      <c r="G164" s="85" t="s">
        <v>4</v>
      </c>
      <c r="H164" s="85" t="s">
        <v>7</v>
      </c>
      <c r="I164" s="86">
        <v>43451</v>
      </c>
      <c r="J164" s="86">
        <v>43167</v>
      </c>
      <c r="K164" s="86">
        <v>43164</v>
      </c>
      <c r="L164" s="85" t="s">
        <v>99</v>
      </c>
      <c r="M164" s="86">
        <v>42383</v>
      </c>
      <c r="N164" s="85" t="s">
        <v>107</v>
      </c>
      <c r="O164" s="86">
        <v>43164</v>
      </c>
      <c r="P164" s="86">
        <v>43213</v>
      </c>
      <c r="Q164" s="86">
        <v>43532</v>
      </c>
      <c r="R164" s="85" t="s">
        <v>1652</v>
      </c>
      <c r="S164" s="85"/>
      <c r="T164" s="85" t="s">
        <v>1652</v>
      </c>
      <c r="U164" s="86">
        <v>43389</v>
      </c>
      <c r="V164" s="86">
        <v>44043</v>
      </c>
      <c r="W164" s="85" t="s">
        <v>1662</v>
      </c>
      <c r="X164" s="85" t="s">
        <v>114</v>
      </c>
      <c r="Y164" s="85">
        <v>1</v>
      </c>
      <c r="Z164" s="85" t="s">
        <v>114</v>
      </c>
      <c r="AA164" s="85"/>
      <c r="AB164" s="85" t="s">
        <v>114</v>
      </c>
      <c r="AC164" s="85" t="s">
        <v>114</v>
      </c>
      <c r="AD164" s="85" t="s">
        <v>114</v>
      </c>
      <c r="AE164" s="85"/>
      <c r="AF164" s="85"/>
      <c r="AG164" s="86">
        <v>43220</v>
      </c>
      <c r="AH164" s="85" t="s">
        <v>107</v>
      </c>
      <c r="AI164" s="85"/>
      <c r="AJ164" s="85"/>
      <c r="AK164" s="86">
        <v>43164</v>
      </c>
      <c r="AL164" s="85" t="s">
        <v>107</v>
      </c>
      <c r="AM164" s="85" t="s">
        <v>107</v>
      </c>
      <c r="AN164" s="86">
        <v>43398</v>
      </c>
      <c r="AO164" s="86">
        <v>43221</v>
      </c>
      <c r="AP164" s="86">
        <v>43318</v>
      </c>
      <c r="AQ164" s="86">
        <v>43318</v>
      </c>
      <c r="AR164" s="86">
        <v>43318</v>
      </c>
      <c r="AS164" s="86">
        <v>43318</v>
      </c>
      <c r="AT164" s="86">
        <v>43318</v>
      </c>
      <c r="AU164" s="86">
        <v>43318</v>
      </c>
      <c r="AV164" s="86">
        <v>43318</v>
      </c>
      <c r="AW164" s="86">
        <v>43318</v>
      </c>
    </row>
    <row r="165" spans="1:49" x14ac:dyDescent="0.2">
      <c r="A165" s="85" t="s">
        <v>613</v>
      </c>
      <c r="B165" s="85" t="s">
        <v>614</v>
      </c>
      <c r="C165" s="85" t="s">
        <v>612</v>
      </c>
      <c r="D165" s="85" t="s">
        <v>615</v>
      </c>
      <c r="E165" s="85" t="s">
        <v>149</v>
      </c>
      <c r="F165" s="85" t="s">
        <v>100</v>
      </c>
      <c r="G165" s="85" t="s">
        <v>4</v>
      </c>
      <c r="H165" s="85" t="s">
        <v>15</v>
      </c>
      <c r="I165" s="86">
        <v>43172</v>
      </c>
      <c r="J165" s="86">
        <v>43223</v>
      </c>
      <c r="K165" s="86">
        <v>43195</v>
      </c>
      <c r="L165" s="85" t="s">
        <v>99</v>
      </c>
      <c r="M165" s="86">
        <v>43196</v>
      </c>
      <c r="N165" s="86">
        <v>42758</v>
      </c>
      <c r="O165" s="86">
        <v>43195</v>
      </c>
      <c r="P165" s="86">
        <v>43377</v>
      </c>
      <c r="Q165" s="86">
        <v>43392</v>
      </c>
      <c r="R165" s="85" t="s">
        <v>1652</v>
      </c>
      <c r="S165" s="86">
        <v>43800</v>
      </c>
      <c r="T165" s="85" t="s">
        <v>1652</v>
      </c>
      <c r="U165" s="85" t="s">
        <v>107</v>
      </c>
      <c r="V165" s="85" t="s">
        <v>107</v>
      </c>
      <c r="W165" s="85" t="s">
        <v>107</v>
      </c>
      <c r="X165" s="85" t="s">
        <v>107</v>
      </c>
      <c r="Y165" s="85" t="s">
        <v>107</v>
      </c>
      <c r="Z165" s="85" t="s">
        <v>107</v>
      </c>
      <c r="AA165" s="85" t="s">
        <v>107</v>
      </c>
      <c r="AB165" s="85" t="s">
        <v>107</v>
      </c>
      <c r="AC165" s="85" t="s">
        <v>107</v>
      </c>
      <c r="AD165" s="85" t="s">
        <v>107</v>
      </c>
      <c r="AE165" s="85" t="s">
        <v>107</v>
      </c>
      <c r="AF165" s="85" t="s">
        <v>107</v>
      </c>
      <c r="AG165" s="86">
        <v>43383</v>
      </c>
      <c r="AH165" s="85" t="s">
        <v>107</v>
      </c>
      <c r="AI165" s="85" t="s">
        <v>107</v>
      </c>
      <c r="AJ165" s="85" t="s">
        <v>107</v>
      </c>
      <c r="AK165" s="86">
        <v>42131</v>
      </c>
      <c r="AL165" s="85" t="s">
        <v>107</v>
      </c>
      <c r="AM165" s="85" t="s">
        <v>107</v>
      </c>
      <c r="AN165" s="86">
        <v>43375</v>
      </c>
      <c r="AO165" s="86">
        <v>43214</v>
      </c>
      <c r="AP165" s="86">
        <v>43055</v>
      </c>
      <c r="AQ165" s="86">
        <v>43119</v>
      </c>
      <c r="AR165" s="86">
        <v>43119</v>
      </c>
      <c r="AS165" s="86">
        <v>43054</v>
      </c>
      <c r="AT165" s="86">
        <v>43119</v>
      </c>
      <c r="AU165" s="86">
        <v>43119</v>
      </c>
      <c r="AV165" s="86">
        <v>43119</v>
      </c>
      <c r="AW165" s="86">
        <v>43119</v>
      </c>
    </row>
    <row r="166" spans="1:49" x14ac:dyDescent="0.2">
      <c r="A166" s="85" t="s">
        <v>616</v>
      </c>
      <c r="B166" s="85" t="s">
        <v>617</v>
      </c>
      <c r="C166" s="85" t="s">
        <v>612</v>
      </c>
      <c r="D166" s="85" t="s">
        <v>265</v>
      </c>
      <c r="E166" s="85" t="s">
        <v>158</v>
      </c>
      <c r="F166" s="85" t="s">
        <v>144</v>
      </c>
      <c r="G166" s="85" t="s">
        <v>4</v>
      </c>
      <c r="H166" s="85" t="s">
        <v>7</v>
      </c>
      <c r="I166" s="86">
        <v>43469</v>
      </c>
      <c r="J166" s="86">
        <v>43486</v>
      </c>
      <c r="K166" s="86">
        <v>43164</v>
      </c>
      <c r="L166" s="85" t="s">
        <v>99</v>
      </c>
      <c r="M166" s="86">
        <v>43398</v>
      </c>
      <c r="N166" s="85" t="s">
        <v>107</v>
      </c>
      <c r="O166" s="86">
        <v>43164</v>
      </c>
      <c r="P166" s="86">
        <v>43213</v>
      </c>
      <c r="Q166" s="86">
        <v>43532</v>
      </c>
      <c r="R166" s="85" t="s">
        <v>1652</v>
      </c>
      <c r="S166" s="86">
        <v>44105</v>
      </c>
      <c r="T166" s="85" t="s">
        <v>1652</v>
      </c>
      <c r="U166" s="86">
        <v>43469</v>
      </c>
      <c r="V166" s="86">
        <v>43677</v>
      </c>
      <c r="W166" s="85" t="s">
        <v>1657</v>
      </c>
      <c r="X166" s="85" t="s">
        <v>114</v>
      </c>
      <c r="Y166" s="85">
        <v>2</v>
      </c>
      <c r="Z166" s="85" t="s">
        <v>114</v>
      </c>
      <c r="AA166" s="85"/>
      <c r="AB166" s="85" t="s">
        <v>114</v>
      </c>
      <c r="AC166" s="85" t="s">
        <v>114</v>
      </c>
      <c r="AD166" s="85" t="s">
        <v>114</v>
      </c>
      <c r="AE166" s="85"/>
      <c r="AF166" s="85"/>
      <c r="AG166" s="86">
        <v>43167</v>
      </c>
      <c r="AH166" s="85" t="s">
        <v>1954</v>
      </c>
      <c r="AI166" s="85"/>
      <c r="AJ166" s="85"/>
      <c r="AK166" s="86">
        <v>43164</v>
      </c>
      <c r="AL166" s="85" t="s">
        <v>107</v>
      </c>
      <c r="AM166" s="85" t="s">
        <v>107</v>
      </c>
      <c r="AN166" s="86">
        <v>43474</v>
      </c>
      <c r="AO166" s="86">
        <v>43220</v>
      </c>
      <c r="AP166" s="86">
        <v>43474</v>
      </c>
      <c r="AQ166" s="86">
        <v>43188</v>
      </c>
      <c r="AR166" s="86">
        <v>43474</v>
      </c>
      <c r="AS166" s="86">
        <v>43474</v>
      </c>
      <c r="AT166" s="86">
        <v>43474</v>
      </c>
      <c r="AU166" s="86">
        <v>43474</v>
      </c>
      <c r="AV166" s="86">
        <v>43474</v>
      </c>
      <c r="AW166" s="86">
        <v>43474</v>
      </c>
    </row>
    <row r="167" spans="1:49" x14ac:dyDescent="0.2">
      <c r="A167" s="85" t="s">
        <v>618</v>
      </c>
      <c r="B167" s="85" t="s">
        <v>619</v>
      </c>
      <c r="C167" s="85" t="s">
        <v>554</v>
      </c>
      <c r="D167" s="85" t="s">
        <v>391</v>
      </c>
      <c r="E167" s="85" t="s">
        <v>158</v>
      </c>
      <c r="F167" s="85" t="s">
        <v>100</v>
      </c>
      <c r="G167" s="85" t="s">
        <v>4</v>
      </c>
      <c r="H167" s="85" t="s">
        <v>18</v>
      </c>
      <c r="I167" s="86">
        <v>43423</v>
      </c>
      <c r="J167" s="86">
        <v>43257</v>
      </c>
      <c r="K167" s="86">
        <v>43333</v>
      </c>
      <c r="L167" s="85" t="s">
        <v>99</v>
      </c>
      <c r="M167" s="86">
        <v>42969</v>
      </c>
      <c r="N167" s="86">
        <v>43423</v>
      </c>
      <c r="O167" s="86">
        <v>42740</v>
      </c>
      <c r="P167" s="86">
        <v>43243</v>
      </c>
      <c r="Q167" s="86">
        <v>43390</v>
      </c>
      <c r="R167" s="85" t="s">
        <v>1652</v>
      </c>
      <c r="S167" s="86">
        <v>43800</v>
      </c>
      <c r="T167" s="85" t="s">
        <v>1652</v>
      </c>
      <c r="U167" s="85" t="s">
        <v>107</v>
      </c>
      <c r="V167" s="85" t="s">
        <v>107</v>
      </c>
      <c r="W167" s="85" t="s">
        <v>107</v>
      </c>
      <c r="X167" s="85" t="s">
        <v>107</v>
      </c>
      <c r="Y167" s="85" t="s">
        <v>107</v>
      </c>
      <c r="Z167" s="85" t="s">
        <v>107</v>
      </c>
      <c r="AA167" s="85" t="s">
        <v>107</v>
      </c>
      <c r="AB167" s="85" t="s">
        <v>107</v>
      </c>
      <c r="AC167" s="85" t="s">
        <v>107</v>
      </c>
      <c r="AD167" s="85" t="s">
        <v>107</v>
      </c>
      <c r="AE167" s="85" t="s">
        <v>107</v>
      </c>
      <c r="AF167" s="85" t="s">
        <v>107</v>
      </c>
      <c r="AG167" s="86">
        <v>43518</v>
      </c>
      <c r="AH167" s="85" t="s">
        <v>107</v>
      </c>
      <c r="AI167" s="85" t="s">
        <v>107</v>
      </c>
      <c r="AJ167" s="85" t="s">
        <v>107</v>
      </c>
      <c r="AK167" s="86">
        <v>42061</v>
      </c>
      <c r="AL167" s="85" t="s">
        <v>107</v>
      </c>
      <c r="AM167" s="85" t="s">
        <v>107</v>
      </c>
      <c r="AN167" s="86">
        <v>43375</v>
      </c>
      <c r="AO167" s="86">
        <v>43207</v>
      </c>
      <c r="AP167" s="86">
        <v>43047</v>
      </c>
      <c r="AQ167" s="86">
        <v>41641</v>
      </c>
      <c r="AR167" s="86">
        <v>43423</v>
      </c>
      <c r="AS167" s="86">
        <v>43423</v>
      </c>
      <c r="AT167" s="86">
        <v>43423</v>
      </c>
      <c r="AU167" s="86">
        <v>43423</v>
      </c>
      <c r="AV167" s="86">
        <v>43423</v>
      </c>
      <c r="AW167" s="86">
        <v>43423</v>
      </c>
    </row>
    <row r="168" spans="1:49" x14ac:dyDescent="0.2">
      <c r="A168" s="85" t="s">
        <v>1955</v>
      </c>
      <c r="B168" s="85" t="s">
        <v>1956</v>
      </c>
      <c r="C168" s="85" t="s">
        <v>554</v>
      </c>
      <c r="D168" s="85" t="s">
        <v>379</v>
      </c>
      <c r="E168" s="85" t="s">
        <v>114</v>
      </c>
      <c r="F168" s="85" t="s">
        <v>1097</v>
      </c>
      <c r="G168" s="85" t="s">
        <v>4</v>
      </c>
      <c r="H168" s="85" t="s">
        <v>17</v>
      </c>
      <c r="I168" s="85" t="s">
        <v>59</v>
      </c>
      <c r="J168" s="85" t="s">
        <v>59</v>
      </c>
      <c r="K168" s="85" t="s">
        <v>59</v>
      </c>
      <c r="L168" s="85" t="s">
        <v>59</v>
      </c>
      <c r="M168" s="85" t="s">
        <v>59</v>
      </c>
      <c r="N168" s="85" t="s">
        <v>107</v>
      </c>
      <c r="O168" s="85" t="s">
        <v>59</v>
      </c>
      <c r="P168" s="85" t="s">
        <v>59</v>
      </c>
      <c r="Q168" s="85" t="s">
        <v>59</v>
      </c>
      <c r="R168" s="85" t="s">
        <v>1658</v>
      </c>
      <c r="S168" s="85" t="s">
        <v>59</v>
      </c>
      <c r="T168" s="85" t="s">
        <v>59</v>
      </c>
      <c r="U168" s="85" t="s">
        <v>59</v>
      </c>
      <c r="V168" s="85" t="s">
        <v>59</v>
      </c>
      <c r="W168" s="85" t="s">
        <v>59</v>
      </c>
      <c r="X168" s="85" t="s">
        <v>59</v>
      </c>
      <c r="Y168" s="85" t="s">
        <v>59</v>
      </c>
      <c r="Z168" s="85" t="s">
        <v>59</v>
      </c>
      <c r="AA168" s="85" t="s">
        <v>59</v>
      </c>
      <c r="AB168" s="85" t="s">
        <v>59</v>
      </c>
      <c r="AC168" s="85" t="s">
        <v>59</v>
      </c>
      <c r="AD168" s="85" t="s">
        <v>59</v>
      </c>
      <c r="AE168" s="85" t="s">
        <v>59</v>
      </c>
      <c r="AF168" s="85" t="s">
        <v>59</v>
      </c>
      <c r="AG168" s="86">
        <v>43516</v>
      </c>
      <c r="AH168" s="85" t="s">
        <v>107</v>
      </c>
      <c r="AI168" s="85" t="s">
        <v>59</v>
      </c>
      <c r="AJ168" s="85" t="s">
        <v>59</v>
      </c>
      <c r="AK168" s="85" t="s">
        <v>59</v>
      </c>
      <c r="AL168" s="85" t="s">
        <v>107</v>
      </c>
      <c r="AM168" s="85" t="s">
        <v>107</v>
      </c>
      <c r="AN168" s="85" t="s">
        <v>59</v>
      </c>
      <c r="AO168" s="85" t="s">
        <v>59</v>
      </c>
      <c r="AP168" s="85" t="s">
        <v>59</v>
      </c>
      <c r="AQ168" s="85" t="s">
        <v>59</v>
      </c>
      <c r="AR168" s="85" t="s">
        <v>59</v>
      </c>
      <c r="AS168" s="85" t="s">
        <v>59</v>
      </c>
      <c r="AT168" s="85" t="s">
        <v>59</v>
      </c>
      <c r="AU168" s="85" t="s">
        <v>59</v>
      </c>
      <c r="AV168" s="85" t="s">
        <v>59</v>
      </c>
      <c r="AW168" s="85" t="s">
        <v>59</v>
      </c>
    </row>
    <row r="169" spans="1:49" x14ac:dyDescent="0.2">
      <c r="A169" s="85" t="s">
        <v>620</v>
      </c>
      <c r="B169" s="85" t="s">
        <v>621</v>
      </c>
      <c r="C169" s="85" t="s">
        <v>622</v>
      </c>
      <c r="D169" s="85" t="s">
        <v>623</v>
      </c>
      <c r="E169" s="85" t="s">
        <v>121</v>
      </c>
      <c r="F169" s="85" t="s">
        <v>172</v>
      </c>
      <c r="G169" s="85" t="s">
        <v>4</v>
      </c>
      <c r="H169" s="85" t="s">
        <v>7</v>
      </c>
      <c r="I169" s="86">
        <v>43465</v>
      </c>
      <c r="J169" s="86">
        <v>43189</v>
      </c>
      <c r="K169" s="86">
        <v>43189</v>
      </c>
      <c r="L169" s="85" t="s">
        <v>99</v>
      </c>
      <c r="M169" s="86">
        <v>43370</v>
      </c>
      <c r="N169" s="85" t="s">
        <v>107</v>
      </c>
      <c r="O169" s="86">
        <v>43189</v>
      </c>
      <c r="P169" s="86">
        <v>43277</v>
      </c>
      <c r="Q169" s="86">
        <v>43726</v>
      </c>
      <c r="R169" s="85" t="s">
        <v>1652</v>
      </c>
      <c r="S169" s="86">
        <v>43525</v>
      </c>
      <c r="T169" s="85" t="s">
        <v>1652</v>
      </c>
      <c r="U169" s="86">
        <v>43404</v>
      </c>
      <c r="V169" s="86">
        <v>43769</v>
      </c>
      <c r="W169" s="85" t="s">
        <v>1653</v>
      </c>
      <c r="X169" s="85" t="s">
        <v>114</v>
      </c>
      <c r="Y169" s="85">
        <v>1</v>
      </c>
      <c r="Z169" s="85" t="s">
        <v>114</v>
      </c>
      <c r="AA169" s="85"/>
      <c r="AB169" s="85" t="s">
        <v>114</v>
      </c>
      <c r="AC169" s="85" t="s">
        <v>114</v>
      </c>
      <c r="AD169" s="85" t="s">
        <v>114</v>
      </c>
      <c r="AE169" s="85"/>
      <c r="AF169" s="85"/>
      <c r="AG169" s="86">
        <v>43272</v>
      </c>
      <c r="AH169" s="85" t="s">
        <v>1938</v>
      </c>
      <c r="AI169" s="86">
        <v>43411</v>
      </c>
      <c r="AJ169" s="86">
        <v>43411</v>
      </c>
      <c r="AK169" s="85"/>
      <c r="AL169" s="86">
        <v>42933</v>
      </c>
      <c r="AM169" s="86">
        <v>42933</v>
      </c>
      <c r="AN169" s="86">
        <v>43403</v>
      </c>
      <c r="AO169" s="86">
        <v>43256</v>
      </c>
      <c r="AP169" s="86">
        <v>43256</v>
      </c>
      <c r="AQ169" s="86">
        <v>43256</v>
      </c>
      <c r="AR169" s="86">
        <v>43256</v>
      </c>
      <c r="AS169" s="86">
        <v>43256</v>
      </c>
      <c r="AT169" s="86">
        <v>43256</v>
      </c>
      <c r="AU169" s="86">
        <v>43364</v>
      </c>
      <c r="AV169" s="86">
        <v>43256</v>
      </c>
      <c r="AW169" s="86">
        <v>43256</v>
      </c>
    </row>
    <row r="170" spans="1:49" x14ac:dyDescent="0.2">
      <c r="A170" s="85" t="s">
        <v>624</v>
      </c>
      <c r="B170" s="85" t="s">
        <v>625</v>
      </c>
      <c r="C170" s="85" t="s">
        <v>626</v>
      </c>
      <c r="D170" s="85" t="s">
        <v>627</v>
      </c>
      <c r="E170" s="85" t="s">
        <v>206</v>
      </c>
      <c r="F170" s="85" t="s">
        <v>100</v>
      </c>
      <c r="G170" s="85" t="s">
        <v>4</v>
      </c>
      <c r="H170" s="85" t="s">
        <v>7</v>
      </c>
      <c r="I170" s="86">
        <v>43463</v>
      </c>
      <c r="J170" s="86">
        <v>43305</v>
      </c>
      <c r="K170" s="86">
        <v>43504</v>
      </c>
      <c r="L170" s="85" t="s">
        <v>99</v>
      </c>
      <c r="M170" s="86">
        <v>42718</v>
      </c>
      <c r="N170" s="86">
        <v>42758</v>
      </c>
      <c r="O170" s="86">
        <v>42824</v>
      </c>
      <c r="P170" s="86">
        <v>43244</v>
      </c>
      <c r="Q170" s="86">
        <v>43743</v>
      </c>
      <c r="R170" s="85" t="s">
        <v>1652</v>
      </c>
      <c r="S170" s="86">
        <v>43556</v>
      </c>
      <c r="T170" s="85" t="s">
        <v>1652</v>
      </c>
      <c r="U170" s="85" t="s">
        <v>107</v>
      </c>
      <c r="V170" s="85" t="s">
        <v>107</v>
      </c>
      <c r="W170" s="85" t="s">
        <v>107</v>
      </c>
      <c r="X170" s="85" t="s">
        <v>107</v>
      </c>
      <c r="Y170" s="85" t="s">
        <v>107</v>
      </c>
      <c r="Z170" s="85" t="s">
        <v>107</v>
      </c>
      <c r="AA170" s="85" t="s">
        <v>107</v>
      </c>
      <c r="AB170" s="85" t="s">
        <v>107</v>
      </c>
      <c r="AC170" s="85" t="s">
        <v>107</v>
      </c>
      <c r="AD170" s="85" t="s">
        <v>107</v>
      </c>
      <c r="AE170" s="85" t="s">
        <v>107</v>
      </c>
      <c r="AF170" s="85" t="s">
        <v>107</v>
      </c>
      <c r="AG170" s="86">
        <v>43449</v>
      </c>
      <c r="AH170" s="85" t="s">
        <v>107</v>
      </c>
      <c r="AI170" s="85" t="s">
        <v>107</v>
      </c>
      <c r="AJ170" s="85" t="s">
        <v>107</v>
      </c>
      <c r="AK170" s="86">
        <v>42074</v>
      </c>
      <c r="AL170" s="85" t="s">
        <v>107</v>
      </c>
      <c r="AM170" s="85" t="s">
        <v>107</v>
      </c>
      <c r="AN170" s="86">
        <v>43398</v>
      </c>
      <c r="AO170" s="86">
        <v>43215</v>
      </c>
      <c r="AP170" s="86">
        <v>43398</v>
      </c>
      <c r="AQ170" s="86">
        <v>41635</v>
      </c>
      <c r="AR170" s="86">
        <v>43398</v>
      </c>
      <c r="AS170" s="86">
        <v>43398</v>
      </c>
      <c r="AT170" s="86">
        <v>43398</v>
      </c>
      <c r="AU170" s="86">
        <v>43398</v>
      </c>
      <c r="AV170" s="86">
        <v>43398</v>
      </c>
      <c r="AW170" s="86">
        <v>43398</v>
      </c>
    </row>
    <row r="171" spans="1:49" x14ac:dyDescent="0.2">
      <c r="A171" s="85" t="s">
        <v>628</v>
      </c>
      <c r="B171" s="85" t="s">
        <v>629</v>
      </c>
      <c r="C171" s="85" t="s">
        <v>630</v>
      </c>
      <c r="D171" s="85" t="s">
        <v>226</v>
      </c>
      <c r="E171" s="85" t="s">
        <v>121</v>
      </c>
      <c r="F171" s="85" t="s">
        <v>144</v>
      </c>
      <c r="G171" s="85" t="s">
        <v>4</v>
      </c>
      <c r="H171" s="85" t="s">
        <v>13</v>
      </c>
      <c r="I171" s="86">
        <v>43465</v>
      </c>
      <c r="J171" s="86">
        <v>43453</v>
      </c>
      <c r="K171" s="86">
        <v>43410</v>
      </c>
      <c r="L171" s="85" t="s">
        <v>99</v>
      </c>
      <c r="M171" s="86">
        <v>42530</v>
      </c>
      <c r="N171" s="85" t="s">
        <v>107</v>
      </c>
      <c r="O171" s="86">
        <v>42529</v>
      </c>
      <c r="P171" s="86">
        <v>43361</v>
      </c>
      <c r="Q171" s="86">
        <v>43035</v>
      </c>
      <c r="R171" s="85" t="s">
        <v>1658</v>
      </c>
      <c r="S171" s="86">
        <v>43678</v>
      </c>
      <c r="T171" s="85" t="s">
        <v>1652</v>
      </c>
      <c r="U171" s="86">
        <v>43490</v>
      </c>
      <c r="V171" s="86">
        <v>43677</v>
      </c>
      <c r="W171" s="85" t="s">
        <v>1655</v>
      </c>
      <c r="X171" s="85" t="s">
        <v>114</v>
      </c>
      <c r="Y171" s="85">
        <v>2</v>
      </c>
      <c r="Z171" s="85" t="s">
        <v>114</v>
      </c>
      <c r="AA171" s="85"/>
      <c r="AB171" s="85" t="s">
        <v>114</v>
      </c>
      <c r="AC171" s="85" t="s">
        <v>114</v>
      </c>
      <c r="AD171" s="85" t="s">
        <v>114</v>
      </c>
      <c r="AE171" s="85"/>
      <c r="AF171" s="85"/>
      <c r="AG171" s="86">
        <v>43140</v>
      </c>
      <c r="AH171" s="85" t="s">
        <v>107</v>
      </c>
      <c r="AI171" s="85"/>
      <c r="AJ171" s="85"/>
      <c r="AK171" s="86">
        <v>42536</v>
      </c>
      <c r="AL171" s="85" t="s">
        <v>107</v>
      </c>
      <c r="AM171" s="85" t="s">
        <v>107</v>
      </c>
      <c r="AN171" s="85"/>
      <c r="AO171" s="86">
        <v>43315</v>
      </c>
      <c r="AP171" s="86">
        <v>43315</v>
      </c>
      <c r="AQ171" s="86">
        <v>43315</v>
      </c>
      <c r="AR171" s="86">
        <v>43315</v>
      </c>
      <c r="AS171" s="86">
        <v>43315</v>
      </c>
      <c r="AT171" s="86">
        <v>43315</v>
      </c>
      <c r="AU171" s="86">
        <v>43315</v>
      </c>
      <c r="AV171" s="86">
        <v>43315</v>
      </c>
      <c r="AW171" s="86">
        <v>43315</v>
      </c>
    </row>
    <row r="172" spans="1:49" x14ac:dyDescent="0.2">
      <c r="A172" s="85" t="s">
        <v>631</v>
      </c>
      <c r="B172" s="85" t="s">
        <v>632</v>
      </c>
      <c r="C172" s="85" t="s">
        <v>633</v>
      </c>
      <c r="D172" s="85" t="s">
        <v>634</v>
      </c>
      <c r="E172" s="85" t="s">
        <v>158</v>
      </c>
      <c r="F172" s="85" t="s">
        <v>106</v>
      </c>
      <c r="G172" s="85" t="s">
        <v>4</v>
      </c>
      <c r="H172" s="85" t="s">
        <v>8</v>
      </c>
      <c r="I172" s="85" t="s">
        <v>107</v>
      </c>
      <c r="J172" s="86">
        <v>43265</v>
      </c>
      <c r="K172" s="86">
        <v>43265</v>
      </c>
      <c r="L172" s="85" t="s">
        <v>107</v>
      </c>
      <c r="M172" s="85" t="s">
        <v>107</v>
      </c>
      <c r="N172" s="85" t="s">
        <v>107</v>
      </c>
      <c r="O172" s="85" t="s">
        <v>107</v>
      </c>
      <c r="P172" s="85" t="s">
        <v>107</v>
      </c>
      <c r="Q172" s="86">
        <v>43702</v>
      </c>
      <c r="R172" s="85" t="s">
        <v>107</v>
      </c>
      <c r="S172" s="85" t="s">
        <v>107</v>
      </c>
      <c r="T172" s="85" t="s">
        <v>107</v>
      </c>
      <c r="U172" s="85" t="s">
        <v>107</v>
      </c>
      <c r="V172" s="85" t="s">
        <v>107</v>
      </c>
      <c r="W172" s="85" t="s">
        <v>107</v>
      </c>
      <c r="X172" s="85" t="s">
        <v>107</v>
      </c>
      <c r="Y172" s="85" t="s">
        <v>107</v>
      </c>
      <c r="Z172" s="85" t="s">
        <v>107</v>
      </c>
      <c r="AA172" s="85" t="s">
        <v>107</v>
      </c>
      <c r="AB172" s="85" t="s">
        <v>107</v>
      </c>
      <c r="AC172" s="85" t="s">
        <v>107</v>
      </c>
      <c r="AD172" s="85" t="s">
        <v>107</v>
      </c>
      <c r="AE172" s="85" t="s">
        <v>107</v>
      </c>
      <c r="AF172" s="85" t="s">
        <v>107</v>
      </c>
      <c r="AG172" s="86">
        <v>43234</v>
      </c>
      <c r="AH172" s="85" t="s">
        <v>107</v>
      </c>
      <c r="AI172" s="85" t="s">
        <v>107</v>
      </c>
      <c r="AJ172" s="85" t="s">
        <v>107</v>
      </c>
      <c r="AK172" s="85" t="s">
        <v>107</v>
      </c>
      <c r="AL172" s="85" t="s">
        <v>107</v>
      </c>
      <c r="AM172" s="85" t="s">
        <v>107</v>
      </c>
      <c r="AN172" s="86">
        <v>43405</v>
      </c>
      <c r="AO172" s="86">
        <v>43224</v>
      </c>
      <c r="AP172" s="86">
        <v>43171</v>
      </c>
      <c r="AQ172" s="86">
        <v>41310</v>
      </c>
      <c r="AR172" s="86">
        <v>43158</v>
      </c>
      <c r="AS172" s="86">
        <v>43167</v>
      </c>
      <c r="AT172" s="86">
        <v>43158</v>
      </c>
      <c r="AU172" s="85" t="s">
        <v>107</v>
      </c>
      <c r="AV172" s="86">
        <v>43158</v>
      </c>
      <c r="AW172" s="86">
        <v>43158</v>
      </c>
    </row>
    <row r="173" spans="1:49" x14ac:dyDescent="0.2">
      <c r="A173" s="85" t="s">
        <v>1870</v>
      </c>
      <c r="B173" s="85" t="s">
        <v>1871</v>
      </c>
      <c r="C173" s="85" t="s">
        <v>1872</v>
      </c>
      <c r="D173" s="85" t="s">
        <v>265</v>
      </c>
      <c r="E173" s="85" t="s">
        <v>149</v>
      </c>
      <c r="F173" s="85" t="s">
        <v>127</v>
      </c>
      <c r="G173" s="85" t="s">
        <v>4</v>
      </c>
      <c r="H173" s="85" t="s">
        <v>7</v>
      </c>
      <c r="I173" s="86">
        <v>43486</v>
      </c>
      <c r="J173" s="86">
        <v>43497</v>
      </c>
      <c r="K173" s="86">
        <v>43267</v>
      </c>
      <c r="L173" s="85" t="s">
        <v>99</v>
      </c>
      <c r="M173" s="86">
        <v>43496</v>
      </c>
      <c r="N173" s="85" t="s">
        <v>107</v>
      </c>
      <c r="O173" s="86">
        <v>42468</v>
      </c>
      <c r="P173" s="86">
        <v>43348</v>
      </c>
      <c r="Q173" s="86">
        <v>365</v>
      </c>
      <c r="R173" s="85" t="s">
        <v>1652</v>
      </c>
      <c r="S173" s="86">
        <v>43617</v>
      </c>
      <c r="T173" s="85" t="s">
        <v>1652</v>
      </c>
      <c r="U173" s="86">
        <v>43417</v>
      </c>
      <c r="V173" s="86">
        <v>43616</v>
      </c>
      <c r="W173" s="85" t="s">
        <v>1655</v>
      </c>
      <c r="X173" s="85" t="s">
        <v>114</v>
      </c>
      <c r="Y173" s="85">
        <v>1</v>
      </c>
      <c r="Z173" s="85" t="s">
        <v>114</v>
      </c>
      <c r="AA173" s="85"/>
      <c r="AB173" s="85" t="s">
        <v>114</v>
      </c>
      <c r="AC173" s="85" t="s">
        <v>114</v>
      </c>
      <c r="AD173" s="85" t="s">
        <v>114</v>
      </c>
      <c r="AE173" s="85"/>
      <c r="AF173" s="85"/>
      <c r="AG173" s="86">
        <v>43500</v>
      </c>
      <c r="AH173" s="85" t="s">
        <v>107</v>
      </c>
      <c r="AI173" s="85" t="s">
        <v>59</v>
      </c>
      <c r="AJ173" s="85" t="s">
        <v>59</v>
      </c>
      <c r="AK173" s="85" t="s">
        <v>59</v>
      </c>
      <c r="AL173" s="85" t="s">
        <v>107</v>
      </c>
      <c r="AM173" s="85" t="s">
        <v>107</v>
      </c>
      <c r="AN173" s="86">
        <v>43468</v>
      </c>
      <c r="AO173" s="86">
        <v>43468</v>
      </c>
      <c r="AP173" s="86">
        <v>43468</v>
      </c>
      <c r="AQ173" s="86">
        <v>43468</v>
      </c>
      <c r="AR173" s="86">
        <v>43468</v>
      </c>
      <c r="AS173" s="86">
        <v>43468</v>
      </c>
      <c r="AT173" s="86">
        <v>43468</v>
      </c>
      <c r="AU173" s="86">
        <v>43468</v>
      </c>
      <c r="AV173" s="86">
        <v>43468</v>
      </c>
      <c r="AW173" s="86">
        <v>43468</v>
      </c>
    </row>
    <row r="174" spans="1:49" x14ac:dyDescent="0.2">
      <c r="A174" s="85" t="s">
        <v>635</v>
      </c>
      <c r="B174" s="85" t="s">
        <v>636</v>
      </c>
      <c r="C174" s="85" t="s">
        <v>637</v>
      </c>
      <c r="D174" s="85" t="s">
        <v>638</v>
      </c>
      <c r="E174" s="85" t="s">
        <v>121</v>
      </c>
      <c r="F174" s="85" t="s">
        <v>245</v>
      </c>
      <c r="G174" s="85" t="s">
        <v>4</v>
      </c>
      <c r="H174" s="85" t="s">
        <v>12</v>
      </c>
      <c r="I174" s="86">
        <v>43207</v>
      </c>
      <c r="J174" s="86">
        <v>43133</v>
      </c>
      <c r="K174" s="86">
        <v>43133</v>
      </c>
      <c r="L174" s="85" t="s">
        <v>99</v>
      </c>
      <c r="M174" s="86">
        <v>43133</v>
      </c>
      <c r="N174" s="85" t="s">
        <v>107</v>
      </c>
      <c r="O174" s="86">
        <v>43283</v>
      </c>
      <c r="P174" s="86">
        <v>43158</v>
      </c>
      <c r="Q174" s="86">
        <v>43502</v>
      </c>
      <c r="R174" s="85" t="s">
        <v>1652</v>
      </c>
      <c r="S174" s="86">
        <v>43862</v>
      </c>
      <c r="T174" s="85" t="s">
        <v>1652</v>
      </c>
      <c r="U174" s="86">
        <v>43479</v>
      </c>
      <c r="V174" s="86">
        <v>43861</v>
      </c>
      <c r="W174" s="85" t="s">
        <v>1653</v>
      </c>
      <c r="X174" s="85" t="s">
        <v>114</v>
      </c>
      <c r="Y174" s="85">
        <v>2</v>
      </c>
      <c r="Z174" s="85" t="s">
        <v>114</v>
      </c>
      <c r="AA174" s="85"/>
      <c r="AB174" s="85" t="s">
        <v>114</v>
      </c>
      <c r="AC174" s="85" t="s">
        <v>114</v>
      </c>
      <c r="AD174" s="85" t="s">
        <v>114</v>
      </c>
      <c r="AE174" s="85"/>
      <c r="AF174" s="85"/>
      <c r="AG174" s="86">
        <v>43167</v>
      </c>
      <c r="AH174" s="85" t="s">
        <v>107</v>
      </c>
      <c r="AI174" s="85"/>
      <c r="AJ174" s="85" t="s">
        <v>1767</v>
      </c>
      <c r="AK174" s="86">
        <v>43130</v>
      </c>
      <c r="AL174" s="85" t="s">
        <v>107</v>
      </c>
      <c r="AM174" s="85" t="s">
        <v>107</v>
      </c>
      <c r="AN174" s="86">
        <v>43480</v>
      </c>
      <c r="AO174" s="86">
        <v>43222</v>
      </c>
      <c r="AP174" s="86">
        <v>43132</v>
      </c>
      <c r="AQ174" s="86">
        <v>43480</v>
      </c>
      <c r="AR174" s="86">
        <v>43480</v>
      </c>
      <c r="AS174" s="86">
        <v>43480</v>
      </c>
      <c r="AT174" s="86">
        <v>43480</v>
      </c>
      <c r="AU174" s="86">
        <v>43480</v>
      </c>
      <c r="AV174" s="86">
        <v>43480</v>
      </c>
      <c r="AW174" s="86">
        <v>43480</v>
      </c>
    </row>
    <row r="175" spans="1:49" x14ac:dyDescent="0.2">
      <c r="A175" s="85" t="s">
        <v>639</v>
      </c>
      <c r="B175" s="85" t="s">
        <v>640</v>
      </c>
      <c r="C175" s="85" t="s">
        <v>641</v>
      </c>
      <c r="D175" s="85" t="s">
        <v>188</v>
      </c>
      <c r="E175" s="85" t="s">
        <v>126</v>
      </c>
      <c r="F175" s="85" t="s">
        <v>100</v>
      </c>
      <c r="G175" s="85" t="s">
        <v>4</v>
      </c>
      <c r="H175" s="85" t="s">
        <v>8</v>
      </c>
      <c r="I175" s="86">
        <v>43471</v>
      </c>
      <c r="J175" s="86">
        <v>43442</v>
      </c>
      <c r="K175" s="86">
        <v>43471</v>
      </c>
      <c r="L175" s="85" t="s">
        <v>99</v>
      </c>
      <c r="M175" s="86">
        <v>43306</v>
      </c>
      <c r="N175" s="86">
        <v>43192</v>
      </c>
      <c r="O175" s="86">
        <v>43369</v>
      </c>
      <c r="P175" s="86">
        <v>43243</v>
      </c>
      <c r="Q175" s="86">
        <v>43390</v>
      </c>
      <c r="R175" s="85" t="s">
        <v>1652</v>
      </c>
      <c r="S175" s="86">
        <v>44166</v>
      </c>
      <c r="T175" s="85" t="s">
        <v>1652</v>
      </c>
      <c r="U175" s="85" t="s">
        <v>107</v>
      </c>
      <c r="V175" s="85" t="s">
        <v>107</v>
      </c>
      <c r="W175" s="85" t="s">
        <v>107</v>
      </c>
      <c r="X175" s="85" t="s">
        <v>107</v>
      </c>
      <c r="Y175" s="85" t="s">
        <v>107</v>
      </c>
      <c r="Z175" s="85" t="s">
        <v>107</v>
      </c>
      <c r="AA175" s="85" t="s">
        <v>107</v>
      </c>
      <c r="AB175" s="85" t="s">
        <v>107</v>
      </c>
      <c r="AC175" s="85" t="s">
        <v>107</v>
      </c>
      <c r="AD175" s="85" t="s">
        <v>107</v>
      </c>
      <c r="AE175" s="85" t="s">
        <v>107</v>
      </c>
      <c r="AF175" s="85" t="s">
        <v>107</v>
      </c>
      <c r="AG175" s="86">
        <v>43503</v>
      </c>
      <c r="AH175" s="85" t="s">
        <v>1918</v>
      </c>
      <c r="AI175" s="85" t="s">
        <v>107</v>
      </c>
      <c r="AJ175" s="85" t="s">
        <v>107</v>
      </c>
      <c r="AK175" s="86">
        <v>43199</v>
      </c>
      <c r="AL175" s="85" t="s">
        <v>107</v>
      </c>
      <c r="AM175" s="85" t="s">
        <v>107</v>
      </c>
      <c r="AN175" s="86">
        <v>43375</v>
      </c>
      <c r="AO175" s="86">
        <v>43207</v>
      </c>
      <c r="AP175" s="86">
        <v>43196</v>
      </c>
      <c r="AQ175" s="86">
        <v>43196</v>
      </c>
      <c r="AR175" s="86">
        <v>43196</v>
      </c>
      <c r="AS175" s="86">
        <v>43196</v>
      </c>
      <c r="AT175" s="86">
        <v>43196</v>
      </c>
      <c r="AU175" s="86">
        <v>43196</v>
      </c>
      <c r="AV175" s="86">
        <v>43196</v>
      </c>
      <c r="AW175" s="86">
        <v>43196</v>
      </c>
    </row>
    <row r="176" spans="1:49" x14ac:dyDescent="0.2">
      <c r="A176" s="85" t="s">
        <v>642</v>
      </c>
      <c r="B176" s="85" t="s">
        <v>643</v>
      </c>
      <c r="C176" s="85" t="s">
        <v>644</v>
      </c>
      <c r="D176" s="85" t="s">
        <v>225</v>
      </c>
      <c r="E176" s="85" t="s">
        <v>105</v>
      </c>
      <c r="F176" s="85" t="s">
        <v>144</v>
      </c>
      <c r="G176" s="85" t="s">
        <v>4</v>
      </c>
      <c r="H176" s="85" t="s">
        <v>12</v>
      </c>
      <c r="I176" s="86">
        <v>43182</v>
      </c>
      <c r="J176" s="86">
        <v>43486</v>
      </c>
      <c r="K176" s="86">
        <v>43167</v>
      </c>
      <c r="L176" s="85" t="s">
        <v>99</v>
      </c>
      <c r="M176" s="86">
        <v>43144</v>
      </c>
      <c r="N176" s="85" t="s">
        <v>107</v>
      </c>
      <c r="O176" s="86">
        <v>43144</v>
      </c>
      <c r="P176" s="86">
        <v>43213</v>
      </c>
      <c r="Q176" s="86">
        <v>43490</v>
      </c>
      <c r="R176" s="85" t="s">
        <v>1652</v>
      </c>
      <c r="S176" s="86">
        <v>44166</v>
      </c>
      <c r="T176" s="85" t="s">
        <v>1652</v>
      </c>
      <c r="U176" s="86">
        <v>43160</v>
      </c>
      <c r="V176" s="86">
        <v>43555</v>
      </c>
      <c r="W176" s="85" t="s">
        <v>1653</v>
      </c>
      <c r="X176" s="85" t="s">
        <v>114</v>
      </c>
      <c r="Y176" s="85">
        <v>1</v>
      </c>
      <c r="Z176" s="85" t="s">
        <v>114</v>
      </c>
      <c r="AA176" s="85"/>
      <c r="AB176" s="85" t="s">
        <v>211</v>
      </c>
      <c r="AC176" s="85" t="s">
        <v>114</v>
      </c>
      <c r="AD176" s="85" t="s">
        <v>211</v>
      </c>
      <c r="AE176" s="85" t="s">
        <v>1748</v>
      </c>
      <c r="AF176" s="86">
        <v>43524</v>
      </c>
      <c r="AG176" s="86">
        <v>43179</v>
      </c>
      <c r="AH176" s="85" t="s">
        <v>107</v>
      </c>
      <c r="AI176" s="86">
        <v>41426</v>
      </c>
      <c r="AJ176" s="86">
        <v>43250</v>
      </c>
      <c r="AK176" s="86">
        <v>43220</v>
      </c>
      <c r="AL176" s="85" t="s">
        <v>107</v>
      </c>
      <c r="AM176" s="85" t="s">
        <v>107</v>
      </c>
      <c r="AN176" s="85"/>
      <c r="AO176" s="86">
        <v>43216</v>
      </c>
      <c r="AP176" s="86">
        <v>43157</v>
      </c>
      <c r="AQ176" s="86">
        <v>41530</v>
      </c>
      <c r="AR176" s="86">
        <v>43125</v>
      </c>
      <c r="AS176" s="86">
        <v>43216</v>
      </c>
      <c r="AT176" s="86">
        <v>43125</v>
      </c>
      <c r="AU176" s="86">
        <v>43125</v>
      </c>
      <c r="AV176" s="86">
        <v>43125</v>
      </c>
      <c r="AW176" s="86">
        <v>43125</v>
      </c>
    </row>
    <row r="177" spans="1:49" x14ac:dyDescent="0.2">
      <c r="A177" s="85" t="s">
        <v>646</v>
      </c>
      <c r="B177" s="85" t="s">
        <v>647</v>
      </c>
      <c r="C177" s="85" t="s">
        <v>644</v>
      </c>
      <c r="D177" s="85" t="s">
        <v>648</v>
      </c>
      <c r="E177" s="85" t="s">
        <v>149</v>
      </c>
      <c r="F177" s="85" t="s">
        <v>113</v>
      </c>
      <c r="G177" s="85" t="s">
        <v>4</v>
      </c>
      <c r="H177" s="85" t="s">
        <v>13</v>
      </c>
      <c r="I177" s="86">
        <v>43320</v>
      </c>
      <c r="J177" s="86">
        <v>43416</v>
      </c>
      <c r="K177" s="86">
        <v>43174</v>
      </c>
      <c r="L177" s="85" t="s">
        <v>99</v>
      </c>
      <c r="M177" s="86">
        <v>43416</v>
      </c>
      <c r="N177" s="85" t="s">
        <v>107</v>
      </c>
      <c r="O177" s="86">
        <v>43174</v>
      </c>
      <c r="P177" s="86">
        <v>43292</v>
      </c>
      <c r="Q177" s="86">
        <v>43526</v>
      </c>
      <c r="R177" s="85" t="s">
        <v>1652</v>
      </c>
      <c r="S177" s="86">
        <v>44835</v>
      </c>
      <c r="T177" s="85" t="s">
        <v>1652</v>
      </c>
      <c r="U177" s="86">
        <v>43244</v>
      </c>
      <c r="V177" s="86">
        <v>43616</v>
      </c>
      <c r="W177" s="85" t="s">
        <v>1653</v>
      </c>
      <c r="X177" s="85" t="s">
        <v>114</v>
      </c>
      <c r="Y177" s="85">
        <v>2</v>
      </c>
      <c r="Z177" s="85" t="s">
        <v>114</v>
      </c>
      <c r="AA177" s="85"/>
      <c r="AB177" s="85" t="s">
        <v>211</v>
      </c>
      <c r="AC177" s="85" t="s">
        <v>114</v>
      </c>
      <c r="AD177" s="85" t="s">
        <v>211</v>
      </c>
      <c r="AE177" s="85" t="s">
        <v>1656</v>
      </c>
      <c r="AF177" s="86">
        <v>43594</v>
      </c>
      <c r="AG177" s="86">
        <v>43178</v>
      </c>
      <c r="AH177" s="85" t="s">
        <v>107</v>
      </c>
      <c r="AI177" s="86">
        <v>42521</v>
      </c>
      <c r="AJ177" s="85"/>
      <c r="AK177" s="86">
        <v>43174</v>
      </c>
      <c r="AL177" s="85" t="s">
        <v>107</v>
      </c>
      <c r="AM177" s="85" t="s">
        <v>107</v>
      </c>
      <c r="AN177" s="86">
        <v>43480</v>
      </c>
      <c r="AO177" s="86">
        <v>43231</v>
      </c>
      <c r="AP177" s="86">
        <v>43060</v>
      </c>
      <c r="AQ177" s="86">
        <v>43480</v>
      </c>
      <c r="AR177" s="86">
        <v>43480</v>
      </c>
      <c r="AS177" s="86">
        <v>43480</v>
      </c>
      <c r="AT177" s="86">
        <v>43480</v>
      </c>
      <c r="AU177" s="86">
        <v>43480</v>
      </c>
      <c r="AV177" s="86">
        <v>43480</v>
      </c>
      <c r="AW177" s="86">
        <v>43480</v>
      </c>
    </row>
    <row r="178" spans="1:49" x14ac:dyDescent="0.2">
      <c r="A178" s="85" t="s">
        <v>649</v>
      </c>
      <c r="B178" s="85" t="s">
        <v>650</v>
      </c>
      <c r="C178" s="85" t="s">
        <v>651</v>
      </c>
      <c r="D178" s="85" t="s">
        <v>652</v>
      </c>
      <c r="E178" s="85" t="s">
        <v>126</v>
      </c>
      <c r="F178" s="85" t="s">
        <v>144</v>
      </c>
      <c r="G178" s="85" t="s">
        <v>4</v>
      </c>
      <c r="H178" s="85" t="s">
        <v>5</v>
      </c>
      <c r="I178" s="86">
        <v>43374</v>
      </c>
      <c r="J178" s="86">
        <v>43397</v>
      </c>
      <c r="K178" s="86">
        <v>43167</v>
      </c>
      <c r="L178" s="85" t="s">
        <v>99</v>
      </c>
      <c r="M178" s="86">
        <v>42970</v>
      </c>
      <c r="N178" s="85" t="s">
        <v>107</v>
      </c>
      <c r="O178" s="86">
        <v>43167</v>
      </c>
      <c r="P178" s="86">
        <v>43377</v>
      </c>
      <c r="Q178" s="86">
        <v>43532</v>
      </c>
      <c r="R178" s="85" t="s">
        <v>1652</v>
      </c>
      <c r="S178" s="86">
        <v>43647</v>
      </c>
      <c r="T178" s="85" t="s">
        <v>1652</v>
      </c>
      <c r="U178" s="86">
        <v>43363</v>
      </c>
      <c r="V178" s="86">
        <v>43555</v>
      </c>
      <c r="W178" s="85" t="s">
        <v>1655</v>
      </c>
      <c r="X178" s="85" t="s">
        <v>114</v>
      </c>
      <c r="Y178" s="85">
        <v>1</v>
      </c>
      <c r="Z178" s="85" t="s">
        <v>114</v>
      </c>
      <c r="AA178" s="85"/>
      <c r="AB178" s="85" t="s">
        <v>211</v>
      </c>
      <c r="AC178" s="85" t="s">
        <v>114</v>
      </c>
      <c r="AD178" s="85" t="s">
        <v>211</v>
      </c>
      <c r="AE178" s="85" t="s">
        <v>1656</v>
      </c>
      <c r="AF178" s="86">
        <v>43574</v>
      </c>
      <c r="AG178" s="86">
        <v>43186</v>
      </c>
      <c r="AH178" s="85" t="s">
        <v>107</v>
      </c>
      <c r="AI178" s="85"/>
      <c r="AJ178" s="85"/>
      <c r="AK178" s="86">
        <v>43167</v>
      </c>
      <c r="AL178" s="85" t="s">
        <v>107</v>
      </c>
      <c r="AM178" s="85" t="s">
        <v>107</v>
      </c>
      <c r="AN178" s="85"/>
      <c r="AO178" s="86">
        <v>43207</v>
      </c>
      <c r="AP178" s="86">
        <v>43125</v>
      </c>
      <c r="AQ178" s="86">
        <v>43125</v>
      </c>
      <c r="AR178" s="86">
        <v>43125</v>
      </c>
      <c r="AS178" s="86">
        <v>42989</v>
      </c>
      <c r="AT178" s="86">
        <v>43125</v>
      </c>
      <c r="AU178" s="86">
        <v>43125</v>
      </c>
      <c r="AV178" s="86">
        <v>43125</v>
      </c>
      <c r="AW178" s="86">
        <v>43125</v>
      </c>
    </row>
    <row r="179" spans="1:49" x14ac:dyDescent="0.2">
      <c r="A179" s="85" t="s">
        <v>653</v>
      </c>
      <c r="B179" s="85" t="s">
        <v>654</v>
      </c>
      <c r="C179" s="85" t="s">
        <v>655</v>
      </c>
      <c r="D179" s="85" t="s">
        <v>656</v>
      </c>
      <c r="E179" s="85" t="s">
        <v>141</v>
      </c>
      <c r="F179" s="85" t="s">
        <v>122</v>
      </c>
      <c r="G179" s="85" t="s">
        <v>4</v>
      </c>
      <c r="H179" s="85" t="s">
        <v>12</v>
      </c>
      <c r="I179" s="86">
        <v>43435</v>
      </c>
      <c r="J179" s="86">
        <v>43302</v>
      </c>
      <c r="K179" s="86">
        <v>43441</v>
      </c>
      <c r="L179" s="85" t="s">
        <v>99</v>
      </c>
      <c r="M179" s="86">
        <v>42753</v>
      </c>
      <c r="N179" s="85" t="s">
        <v>107</v>
      </c>
      <c r="O179" s="86">
        <v>42968</v>
      </c>
      <c r="P179" s="86">
        <v>43284</v>
      </c>
      <c r="Q179" s="86">
        <v>43638</v>
      </c>
      <c r="R179" s="85" t="s">
        <v>1652</v>
      </c>
      <c r="S179" s="86">
        <v>43739</v>
      </c>
      <c r="T179" s="85" t="s">
        <v>1652</v>
      </c>
      <c r="U179" s="86">
        <v>43349</v>
      </c>
      <c r="V179" s="86">
        <v>43738</v>
      </c>
      <c r="W179" s="85" t="s">
        <v>1653</v>
      </c>
      <c r="X179" s="85" t="s">
        <v>114</v>
      </c>
      <c r="Y179" s="85">
        <v>1</v>
      </c>
      <c r="Z179" s="85" t="s">
        <v>114</v>
      </c>
      <c r="AA179" s="85"/>
      <c r="AB179" s="85" t="s">
        <v>114</v>
      </c>
      <c r="AC179" s="85" t="s">
        <v>114</v>
      </c>
      <c r="AD179" s="85" t="s">
        <v>114</v>
      </c>
      <c r="AE179" s="85"/>
      <c r="AF179" s="85"/>
      <c r="AG179" s="86">
        <v>43168</v>
      </c>
      <c r="AH179" s="85" t="s">
        <v>107</v>
      </c>
      <c r="AI179" s="86">
        <v>43250</v>
      </c>
      <c r="AJ179" s="86">
        <v>43396</v>
      </c>
      <c r="AK179" s="86">
        <v>42977</v>
      </c>
      <c r="AL179" s="85" t="s">
        <v>107</v>
      </c>
      <c r="AM179" s="85" t="s">
        <v>107</v>
      </c>
      <c r="AN179" s="86">
        <v>43390</v>
      </c>
      <c r="AO179" s="86">
        <v>43207</v>
      </c>
      <c r="AP179" s="86">
        <v>43165</v>
      </c>
      <c r="AQ179" s="86">
        <v>43164</v>
      </c>
      <c r="AR179" s="86">
        <v>43164</v>
      </c>
      <c r="AS179" s="86">
        <v>43164</v>
      </c>
      <c r="AT179" s="86">
        <v>43164</v>
      </c>
      <c r="AU179" s="86">
        <v>43164</v>
      </c>
      <c r="AV179" s="86">
        <v>43164</v>
      </c>
      <c r="AW179" s="86">
        <v>43164</v>
      </c>
    </row>
    <row r="180" spans="1:49" x14ac:dyDescent="0.2">
      <c r="A180" s="85" t="s">
        <v>657</v>
      </c>
      <c r="B180" s="85" t="s">
        <v>658</v>
      </c>
      <c r="C180" s="85" t="s">
        <v>659</v>
      </c>
      <c r="D180" s="85" t="s">
        <v>660</v>
      </c>
      <c r="E180" s="85" t="s">
        <v>222</v>
      </c>
      <c r="F180" s="85" t="s">
        <v>122</v>
      </c>
      <c r="G180" s="85" t="s">
        <v>4</v>
      </c>
      <c r="H180" s="85" t="s">
        <v>13</v>
      </c>
      <c r="I180" s="86">
        <v>43185</v>
      </c>
      <c r="J180" s="86">
        <v>43195</v>
      </c>
      <c r="K180" s="86">
        <v>43199</v>
      </c>
      <c r="L180" s="85" t="s">
        <v>99</v>
      </c>
      <c r="M180" s="86">
        <v>43130</v>
      </c>
      <c r="N180" s="85" t="s">
        <v>107</v>
      </c>
      <c r="O180" s="86">
        <v>43199</v>
      </c>
      <c r="P180" s="86">
        <v>43333</v>
      </c>
      <c r="Q180" s="86">
        <v>43564</v>
      </c>
      <c r="R180" s="85" t="s">
        <v>1652</v>
      </c>
      <c r="S180" s="86">
        <v>44105</v>
      </c>
      <c r="T180" s="85" t="s">
        <v>1652</v>
      </c>
      <c r="U180" s="86">
        <v>43354</v>
      </c>
      <c r="V180" s="86">
        <v>43738</v>
      </c>
      <c r="W180" s="85" t="s">
        <v>1653</v>
      </c>
      <c r="X180" s="85" t="s">
        <v>114</v>
      </c>
      <c r="Y180" s="85">
        <v>1</v>
      </c>
      <c r="Z180" s="85" t="s">
        <v>114</v>
      </c>
      <c r="AA180" s="85"/>
      <c r="AB180" s="85" t="s">
        <v>114</v>
      </c>
      <c r="AC180" s="85" t="s">
        <v>114</v>
      </c>
      <c r="AD180" s="85" t="s">
        <v>114</v>
      </c>
      <c r="AE180" s="85"/>
      <c r="AF180" s="85"/>
      <c r="AG180" s="86">
        <v>43507</v>
      </c>
      <c r="AH180" s="85" t="s">
        <v>107</v>
      </c>
      <c r="AI180" s="86">
        <v>43187</v>
      </c>
      <c r="AJ180" s="86">
        <v>43215</v>
      </c>
      <c r="AK180" s="86">
        <v>43195</v>
      </c>
      <c r="AL180" s="85" t="s">
        <v>107</v>
      </c>
      <c r="AM180" s="85" t="s">
        <v>107</v>
      </c>
      <c r="AN180" s="86">
        <v>43507</v>
      </c>
      <c r="AO180" s="86">
        <v>43207</v>
      </c>
      <c r="AP180" s="86">
        <v>43507</v>
      </c>
      <c r="AQ180" s="86">
        <v>43124</v>
      </c>
      <c r="AR180" s="86">
        <v>43507</v>
      </c>
      <c r="AS180" s="86">
        <v>43507</v>
      </c>
      <c r="AT180" s="86">
        <v>43507</v>
      </c>
      <c r="AU180" s="86">
        <v>43507</v>
      </c>
      <c r="AV180" s="86">
        <v>43507</v>
      </c>
      <c r="AW180" s="86">
        <v>43507</v>
      </c>
    </row>
    <row r="181" spans="1:49" x14ac:dyDescent="0.2">
      <c r="A181" s="85" t="s">
        <v>1558</v>
      </c>
      <c r="B181" s="85" t="s">
        <v>1559</v>
      </c>
      <c r="C181" s="85" t="s">
        <v>1560</v>
      </c>
      <c r="D181" s="85" t="s">
        <v>661</v>
      </c>
      <c r="E181" s="85" t="s">
        <v>119</v>
      </c>
      <c r="F181" s="85" t="s">
        <v>106</v>
      </c>
      <c r="G181" s="85" t="s">
        <v>4</v>
      </c>
      <c r="H181" s="85" t="s">
        <v>12</v>
      </c>
      <c r="I181" s="85" t="s">
        <v>107</v>
      </c>
      <c r="J181" s="85" t="s">
        <v>59</v>
      </c>
      <c r="K181" s="85" t="s">
        <v>59</v>
      </c>
      <c r="L181" s="85" t="s">
        <v>107</v>
      </c>
      <c r="M181" s="85" t="s">
        <v>107</v>
      </c>
      <c r="N181" s="85" t="s">
        <v>107</v>
      </c>
      <c r="O181" s="85" t="s">
        <v>107</v>
      </c>
      <c r="P181" s="85" t="s">
        <v>107</v>
      </c>
      <c r="Q181" s="85" t="s">
        <v>59</v>
      </c>
      <c r="R181" s="85" t="s">
        <v>107</v>
      </c>
      <c r="S181" s="85" t="s">
        <v>107</v>
      </c>
      <c r="T181" s="85" t="s">
        <v>107</v>
      </c>
      <c r="U181" s="85" t="s">
        <v>107</v>
      </c>
      <c r="V181" s="85" t="s">
        <v>107</v>
      </c>
      <c r="W181" s="85" t="s">
        <v>107</v>
      </c>
      <c r="X181" s="85" t="s">
        <v>107</v>
      </c>
      <c r="Y181" s="85" t="s">
        <v>107</v>
      </c>
      <c r="Z181" s="85" t="s">
        <v>107</v>
      </c>
      <c r="AA181" s="85" t="s">
        <v>107</v>
      </c>
      <c r="AB181" s="85" t="s">
        <v>107</v>
      </c>
      <c r="AC181" s="85" t="s">
        <v>107</v>
      </c>
      <c r="AD181" s="85" t="s">
        <v>107</v>
      </c>
      <c r="AE181" s="85" t="s">
        <v>107</v>
      </c>
      <c r="AF181" s="85" t="s">
        <v>107</v>
      </c>
      <c r="AG181" s="85" t="s">
        <v>59</v>
      </c>
      <c r="AH181" s="85" t="s">
        <v>107</v>
      </c>
      <c r="AI181" s="85" t="s">
        <v>107</v>
      </c>
      <c r="AJ181" s="85" t="s">
        <v>107</v>
      </c>
      <c r="AK181" s="85" t="s">
        <v>107</v>
      </c>
      <c r="AL181" s="85" t="s">
        <v>107</v>
      </c>
      <c r="AM181" s="85" t="s">
        <v>107</v>
      </c>
      <c r="AN181" s="86">
        <v>43376</v>
      </c>
      <c r="AO181" s="86">
        <v>43305</v>
      </c>
      <c r="AP181" s="86">
        <v>43305</v>
      </c>
      <c r="AQ181" s="86">
        <v>43305</v>
      </c>
      <c r="AR181" s="86">
        <v>43305</v>
      </c>
      <c r="AS181" s="86">
        <v>43305</v>
      </c>
      <c r="AT181" s="86">
        <v>43305</v>
      </c>
      <c r="AU181" s="85" t="s">
        <v>107</v>
      </c>
      <c r="AV181" s="86">
        <v>43305</v>
      </c>
      <c r="AW181" s="86">
        <v>43305</v>
      </c>
    </row>
    <row r="182" spans="1:49" x14ac:dyDescent="0.2">
      <c r="A182" s="85" t="s">
        <v>662</v>
      </c>
      <c r="B182" s="85" t="s">
        <v>663</v>
      </c>
      <c r="C182" s="85" t="s">
        <v>664</v>
      </c>
      <c r="D182" s="85" t="s">
        <v>400</v>
      </c>
      <c r="E182" s="85" t="s">
        <v>158</v>
      </c>
      <c r="F182" s="85" t="s">
        <v>106</v>
      </c>
      <c r="G182" s="85" t="s">
        <v>4</v>
      </c>
      <c r="H182" s="85" t="s">
        <v>7</v>
      </c>
      <c r="I182" s="85" t="s">
        <v>107</v>
      </c>
      <c r="J182" s="86">
        <v>43167</v>
      </c>
      <c r="K182" s="86">
        <v>43504</v>
      </c>
      <c r="L182" s="85" t="s">
        <v>107</v>
      </c>
      <c r="M182" s="85" t="s">
        <v>107</v>
      </c>
      <c r="N182" s="85" t="s">
        <v>107</v>
      </c>
      <c r="O182" s="85" t="s">
        <v>107</v>
      </c>
      <c r="P182" s="85" t="s">
        <v>107</v>
      </c>
      <c r="Q182" s="86">
        <v>43532</v>
      </c>
      <c r="R182" s="85" t="s">
        <v>107</v>
      </c>
      <c r="S182" s="85" t="s">
        <v>107</v>
      </c>
      <c r="T182" s="85" t="s">
        <v>107</v>
      </c>
      <c r="U182" s="85" t="s">
        <v>107</v>
      </c>
      <c r="V182" s="85" t="s">
        <v>107</v>
      </c>
      <c r="W182" s="85" t="s">
        <v>107</v>
      </c>
      <c r="X182" s="85" t="s">
        <v>107</v>
      </c>
      <c r="Y182" s="85" t="s">
        <v>107</v>
      </c>
      <c r="Z182" s="85" t="s">
        <v>107</v>
      </c>
      <c r="AA182" s="85" t="s">
        <v>107</v>
      </c>
      <c r="AB182" s="85" t="s">
        <v>107</v>
      </c>
      <c r="AC182" s="85" t="s">
        <v>107</v>
      </c>
      <c r="AD182" s="85" t="s">
        <v>107</v>
      </c>
      <c r="AE182" s="85" t="s">
        <v>107</v>
      </c>
      <c r="AF182" s="85" t="s">
        <v>107</v>
      </c>
      <c r="AG182" s="86">
        <v>43507</v>
      </c>
      <c r="AH182" s="85" t="s">
        <v>107</v>
      </c>
      <c r="AI182" s="85" t="s">
        <v>107</v>
      </c>
      <c r="AJ182" s="85" t="s">
        <v>107</v>
      </c>
      <c r="AK182" s="85" t="s">
        <v>107</v>
      </c>
      <c r="AL182" s="85" t="s">
        <v>107</v>
      </c>
      <c r="AM182" s="85" t="s">
        <v>107</v>
      </c>
      <c r="AN182" s="86">
        <v>43398</v>
      </c>
      <c r="AO182" s="86">
        <v>43207</v>
      </c>
      <c r="AP182" s="86">
        <v>43364</v>
      </c>
      <c r="AQ182" s="86">
        <v>43364</v>
      </c>
      <c r="AR182" s="86">
        <v>43364</v>
      </c>
      <c r="AS182" s="86">
        <v>43364</v>
      </c>
      <c r="AT182" s="86">
        <v>43364</v>
      </c>
      <c r="AU182" s="85" t="s">
        <v>107</v>
      </c>
      <c r="AV182" s="86">
        <v>43364</v>
      </c>
      <c r="AW182" s="86">
        <v>43364</v>
      </c>
    </row>
    <row r="183" spans="1:49" x14ac:dyDescent="0.2">
      <c r="A183" s="85" t="s">
        <v>665</v>
      </c>
      <c r="B183" s="85" t="s">
        <v>666</v>
      </c>
      <c r="C183" s="85" t="s">
        <v>667</v>
      </c>
      <c r="D183" s="85" t="s">
        <v>668</v>
      </c>
      <c r="E183" s="85" t="s">
        <v>149</v>
      </c>
      <c r="F183" s="85" t="s">
        <v>106</v>
      </c>
      <c r="G183" s="85" t="s">
        <v>4</v>
      </c>
      <c r="H183" s="85" t="s">
        <v>5</v>
      </c>
      <c r="I183" s="85" t="s">
        <v>107</v>
      </c>
      <c r="J183" s="86">
        <v>43167</v>
      </c>
      <c r="K183" s="86">
        <v>43167</v>
      </c>
      <c r="L183" s="85" t="s">
        <v>107</v>
      </c>
      <c r="M183" s="85" t="s">
        <v>107</v>
      </c>
      <c r="N183" s="85" t="s">
        <v>107</v>
      </c>
      <c r="O183" s="85" t="s">
        <v>107</v>
      </c>
      <c r="P183" s="85" t="s">
        <v>107</v>
      </c>
      <c r="Q183" s="86">
        <v>43532</v>
      </c>
      <c r="R183" s="85" t="s">
        <v>107</v>
      </c>
      <c r="S183" s="85" t="s">
        <v>107</v>
      </c>
      <c r="T183" s="85" t="s">
        <v>107</v>
      </c>
      <c r="U183" s="85" t="s">
        <v>107</v>
      </c>
      <c r="V183" s="85" t="s">
        <v>107</v>
      </c>
      <c r="W183" s="85" t="s">
        <v>107</v>
      </c>
      <c r="X183" s="85" t="s">
        <v>107</v>
      </c>
      <c r="Y183" s="85" t="s">
        <v>107</v>
      </c>
      <c r="Z183" s="85" t="s">
        <v>107</v>
      </c>
      <c r="AA183" s="85" t="s">
        <v>107</v>
      </c>
      <c r="AB183" s="85" t="s">
        <v>107</v>
      </c>
      <c r="AC183" s="85" t="s">
        <v>107</v>
      </c>
      <c r="AD183" s="85" t="s">
        <v>107</v>
      </c>
      <c r="AE183" s="85" t="s">
        <v>107</v>
      </c>
      <c r="AF183" s="85" t="s">
        <v>107</v>
      </c>
      <c r="AG183" s="86">
        <v>43167</v>
      </c>
      <c r="AH183" s="85" t="s">
        <v>1957</v>
      </c>
      <c r="AI183" s="85" t="s">
        <v>107</v>
      </c>
      <c r="AJ183" s="85" t="s">
        <v>107</v>
      </c>
      <c r="AK183" s="85" t="s">
        <v>107</v>
      </c>
      <c r="AL183" s="85" t="s">
        <v>107</v>
      </c>
      <c r="AM183" s="85" t="s">
        <v>107</v>
      </c>
      <c r="AN183" s="86">
        <v>43375</v>
      </c>
      <c r="AO183" s="86">
        <v>43207</v>
      </c>
      <c r="AP183" s="86">
        <v>43273</v>
      </c>
      <c r="AQ183" s="86">
        <v>43273</v>
      </c>
      <c r="AR183" s="86">
        <v>43273</v>
      </c>
      <c r="AS183" s="86">
        <v>43273</v>
      </c>
      <c r="AT183" s="86">
        <v>43273</v>
      </c>
      <c r="AU183" s="85" t="s">
        <v>107</v>
      </c>
      <c r="AV183" s="86">
        <v>43273</v>
      </c>
      <c r="AW183" s="86">
        <v>43273</v>
      </c>
    </row>
    <row r="184" spans="1:49" x14ac:dyDescent="0.2">
      <c r="A184" s="85" t="s">
        <v>669</v>
      </c>
      <c r="B184" s="85" t="s">
        <v>670</v>
      </c>
      <c r="C184" s="85" t="s">
        <v>667</v>
      </c>
      <c r="D184" s="85" t="s">
        <v>671</v>
      </c>
      <c r="E184" s="85" t="s">
        <v>222</v>
      </c>
      <c r="F184" s="85" t="s">
        <v>122</v>
      </c>
      <c r="G184" s="85" t="s">
        <v>4</v>
      </c>
      <c r="H184" s="85" t="s">
        <v>5</v>
      </c>
      <c r="I184" s="86">
        <v>43371</v>
      </c>
      <c r="J184" s="86">
        <v>43444</v>
      </c>
      <c r="K184" s="86">
        <v>43167</v>
      </c>
      <c r="L184" s="85" t="s">
        <v>99</v>
      </c>
      <c r="M184" s="86">
        <v>42960</v>
      </c>
      <c r="N184" s="85" t="s">
        <v>107</v>
      </c>
      <c r="O184" s="86">
        <v>43167</v>
      </c>
      <c r="P184" s="86">
        <v>43298</v>
      </c>
      <c r="Q184" s="86">
        <v>43532</v>
      </c>
      <c r="R184" s="85" t="s">
        <v>1652</v>
      </c>
      <c r="S184" s="86">
        <v>43617</v>
      </c>
      <c r="T184" s="85" t="s">
        <v>1652</v>
      </c>
      <c r="U184" s="86">
        <v>43424</v>
      </c>
      <c r="V184" s="86">
        <v>43616</v>
      </c>
      <c r="W184" s="85" t="s">
        <v>1655</v>
      </c>
      <c r="X184" s="85" t="s">
        <v>114</v>
      </c>
      <c r="Y184" s="85">
        <v>1</v>
      </c>
      <c r="Z184" s="85" t="s">
        <v>114</v>
      </c>
      <c r="AA184" s="85"/>
      <c r="AB184" s="85" t="s">
        <v>211</v>
      </c>
      <c r="AC184" s="85" t="s">
        <v>114</v>
      </c>
      <c r="AD184" s="85" t="s">
        <v>211</v>
      </c>
      <c r="AE184" s="85" t="s">
        <v>1656</v>
      </c>
      <c r="AF184" s="86">
        <v>43587</v>
      </c>
      <c r="AG184" s="86">
        <v>43297</v>
      </c>
      <c r="AH184" s="85" t="s">
        <v>107</v>
      </c>
      <c r="AI184" s="85"/>
      <c r="AJ184" s="86">
        <v>43431</v>
      </c>
      <c r="AK184" s="86">
        <v>43167</v>
      </c>
      <c r="AL184" s="85" t="s">
        <v>107</v>
      </c>
      <c r="AM184" s="85" t="s">
        <v>107</v>
      </c>
      <c r="AN184" s="86">
        <v>43375</v>
      </c>
      <c r="AO184" s="86">
        <v>43207</v>
      </c>
      <c r="AP184" s="86">
        <v>43160</v>
      </c>
      <c r="AQ184" s="86">
        <v>42738</v>
      </c>
      <c r="AR184" s="86">
        <v>43126</v>
      </c>
      <c r="AS184" s="86">
        <v>43123</v>
      </c>
      <c r="AT184" s="86">
        <v>42738</v>
      </c>
      <c r="AU184" s="86">
        <v>43126</v>
      </c>
      <c r="AV184" s="86">
        <v>43126</v>
      </c>
      <c r="AW184" s="86">
        <v>43126</v>
      </c>
    </row>
    <row r="185" spans="1:49" x14ac:dyDescent="0.2">
      <c r="A185" s="85" t="s">
        <v>672</v>
      </c>
      <c r="B185" s="85" t="s">
        <v>673</v>
      </c>
      <c r="C185" s="85" t="s">
        <v>674</v>
      </c>
      <c r="D185" s="85" t="s">
        <v>675</v>
      </c>
      <c r="E185" s="85" t="s">
        <v>291</v>
      </c>
      <c r="F185" s="85" t="s">
        <v>122</v>
      </c>
      <c r="G185" s="85" t="s">
        <v>4</v>
      </c>
      <c r="H185" s="85" t="s">
        <v>8</v>
      </c>
      <c r="I185" s="86">
        <v>43494</v>
      </c>
      <c r="J185" s="86">
        <v>43474</v>
      </c>
      <c r="K185" s="86">
        <v>43474</v>
      </c>
      <c r="L185" s="85" t="s">
        <v>99</v>
      </c>
      <c r="M185" s="86">
        <v>43122</v>
      </c>
      <c r="N185" s="85" t="s">
        <v>107</v>
      </c>
      <c r="O185" s="86">
        <v>43275</v>
      </c>
      <c r="P185" s="86">
        <v>43213</v>
      </c>
      <c r="Q185" s="86">
        <v>43639</v>
      </c>
      <c r="R185" s="85" t="s">
        <v>1652</v>
      </c>
      <c r="S185" s="86">
        <v>43770</v>
      </c>
      <c r="T185" s="85" t="s">
        <v>1652</v>
      </c>
      <c r="U185" s="86">
        <v>43300</v>
      </c>
      <c r="V185" s="86">
        <v>43677</v>
      </c>
      <c r="W185" s="85" t="s">
        <v>1653</v>
      </c>
      <c r="X185" s="85" t="s">
        <v>114</v>
      </c>
      <c r="Y185" s="85">
        <v>1</v>
      </c>
      <c r="Z185" s="85" t="s">
        <v>211</v>
      </c>
      <c r="AA185" s="85"/>
      <c r="AB185" s="85" t="s">
        <v>114</v>
      </c>
      <c r="AC185" s="85" t="s">
        <v>114</v>
      </c>
      <c r="AD185" s="85" t="s">
        <v>211</v>
      </c>
      <c r="AE185" s="85" t="s">
        <v>1782</v>
      </c>
      <c r="AF185" s="86">
        <v>43542</v>
      </c>
      <c r="AG185" s="86">
        <v>43133</v>
      </c>
      <c r="AH185" s="85" t="s">
        <v>107</v>
      </c>
      <c r="AI185" s="86">
        <v>43130</v>
      </c>
      <c r="AJ185" s="86">
        <v>43377</v>
      </c>
      <c r="AK185" s="86">
        <v>43122</v>
      </c>
      <c r="AL185" s="85" t="s">
        <v>107</v>
      </c>
      <c r="AM185" s="85" t="s">
        <v>107</v>
      </c>
      <c r="AN185" s="86">
        <v>43474</v>
      </c>
      <c r="AO185" s="86">
        <v>43209</v>
      </c>
      <c r="AP185" s="86">
        <v>43474</v>
      </c>
      <c r="AQ185" s="86">
        <v>43118</v>
      </c>
      <c r="AR185" s="86">
        <v>43474</v>
      </c>
      <c r="AS185" s="86">
        <v>43474</v>
      </c>
      <c r="AT185" s="86">
        <v>43474</v>
      </c>
      <c r="AU185" s="86">
        <v>43474</v>
      </c>
      <c r="AV185" s="86">
        <v>43474</v>
      </c>
      <c r="AW185" s="86">
        <v>43474</v>
      </c>
    </row>
    <row r="186" spans="1:49" x14ac:dyDescent="0.2">
      <c r="A186" s="85" t="s">
        <v>676</v>
      </c>
      <c r="B186" s="85" t="s">
        <v>677</v>
      </c>
      <c r="C186" s="85" t="s">
        <v>678</v>
      </c>
      <c r="D186" s="85" t="s">
        <v>679</v>
      </c>
      <c r="E186" s="85" t="s">
        <v>126</v>
      </c>
      <c r="F186" s="85" t="s">
        <v>100</v>
      </c>
      <c r="G186" s="85" t="s">
        <v>4</v>
      </c>
      <c r="H186" s="85" t="s">
        <v>12</v>
      </c>
      <c r="I186" s="86">
        <v>43494</v>
      </c>
      <c r="J186" s="86">
        <v>43260</v>
      </c>
      <c r="K186" s="86">
        <v>43260</v>
      </c>
      <c r="L186" s="85" t="s">
        <v>99</v>
      </c>
      <c r="M186" s="86">
        <v>43273</v>
      </c>
      <c r="N186" s="86">
        <v>43455</v>
      </c>
      <c r="O186" s="86">
        <v>42720</v>
      </c>
      <c r="P186" s="86">
        <v>43292</v>
      </c>
      <c r="Q186" s="86">
        <v>43397</v>
      </c>
      <c r="R186" s="85" t="s">
        <v>1652</v>
      </c>
      <c r="S186" s="86">
        <v>43983</v>
      </c>
      <c r="T186" s="85" t="s">
        <v>1652</v>
      </c>
      <c r="U186" s="85" t="s">
        <v>107</v>
      </c>
      <c r="V186" s="85" t="s">
        <v>107</v>
      </c>
      <c r="W186" s="85" t="s">
        <v>107</v>
      </c>
      <c r="X186" s="85" t="s">
        <v>107</v>
      </c>
      <c r="Y186" s="85" t="s">
        <v>107</v>
      </c>
      <c r="Z186" s="85" t="s">
        <v>107</v>
      </c>
      <c r="AA186" s="85" t="s">
        <v>107</v>
      </c>
      <c r="AB186" s="85" t="s">
        <v>107</v>
      </c>
      <c r="AC186" s="85" t="s">
        <v>107</v>
      </c>
      <c r="AD186" s="85" t="s">
        <v>107</v>
      </c>
      <c r="AE186" s="85" t="s">
        <v>107</v>
      </c>
      <c r="AF186" s="85" t="s">
        <v>107</v>
      </c>
      <c r="AG186" s="86">
        <v>43503</v>
      </c>
      <c r="AH186" s="85" t="s">
        <v>1938</v>
      </c>
      <c r="AI186" s="85" t="s">
        <v>107</v>
      </c>
      <c r="AJ186" s="85" t="s">
        <v>107</v>
      </c>
      <c r="AK186" s="86">
        <v>42070</v>
      </c>
      <c r="AL186" s="85" t="s">
        <v>107</v>
      </c>
      <c r="AM186" s="85" t="s">
        <v>107</v>
      </c>
      <c r="AN186" s="86">
        <v>43480</v>
      </c>
      <c r="AO186" s="86">
        <v>43213</v>
      </c>
      <c r="AP186" s="86">
        <v>43480</v>
      </c>
      <c r="AQ186" s="86">
        <v>42320</v>
      </c>
      <c r="AR186" s="86">
        <v>43480</v>
      </c>
      <c r="AS186" s="86">
        <v>43480</v>
      </c>
      <c r="AT186" s="86">
        <v>43480</v>
      </c>
      <c r="AU186" s="86">
        <v>43480</v>
      </c>
      <c r="AV186" s="86">
        <v>43480</v>
      </c>
      <c r="AW186" s="86">
        <v>43480</v>
      </c>
    </row>
    <row r="187" spans="1:49" x14ac:dyDescent="0.2">
      <c r="A187" s="85" t="s">
        <v>680</v>
      </c>
      <c r="B187" s="85" t="s">
        <v>681</v>
      </c>
      <c r="C187" s="85" t="s">
        <v>682</v>
      </c>
      <c r="D187" s="85" t="s">
        <v>157</v>
      </c>
      <c r="E187" s="85" t="s">
        <v>126</v>
      </c>
      <c r="F187" s="85" t="s">
        <v>106</v>
      </c>
      <c r="G187" s="85" t="s">
        <v>4</v>
      </c>
      <c r="H187" s="85" t="s">
        <v>5</v>
      </c>
      <c r="I187" s="85" t="s">
        <v>107</v>
      </c>
      <c r="J187" s="86">
        <v>43167</v>
      </c>
      <c r="K187" s="86">
        <v>43167</v>
      </c>
      <c r="L187" s="85" t="s">
        <v>107</v>
      </c>
      <c r="M187" s="85" t="s">
        <v>107</v>
      </c>
      <c r="N187" s="85" t="s">
        <v>107</v>
      </c>
      <c r="O187" s="85" t="s">
        <v>107</v>
      </c>
      <c r="P187" s="85" t="s">
        <v>107</v>
      </c>
      <c r="Q187" s="86">
        <v>43532</v>
      </c>
      <c r="R187" s="85" t="s">
        <v>107</v>
      </c>
      <c r="S187" s="85" t="s">
        <v>107</v>
      </c>
      <c r="T187" s="85" t="s">
        <v>107</v>
      </c>
      <c r="U187" s="85" t="s">
        <v>107</v>
      </c>
      <c r="V187" s="85" t="s">
        <v>107</v>
      </c>
      <c r="W187" s="85" t="s">
        <v>107</v>
      </c>
      <c r="X187" s="85" t="s">
        <v>107</v>
      </c>
      <c r="Y187" s="85" t="s">
        <v>107</v>
      </c>
      <c r="Z187" s="85" t="s">
        <v>107</v>
      </c>
      <c r="AA187" s="85" t="s">
        <v>107</v>
      </c>
      <c r="AB187" s="85" t="s">
        <v>107</v>
      </c>
      <c r="AC187" s="85" t="s">
        <v>107</v>
      </c>
      <c r="AD187" s="85" t="s">
        <v>107</v>
      </c>
      <c r="AE187" s="85" t="s">
        <v>107</v>
      </c>
      <c r="AF187" s="85" t="s">
        <v>107</v>
      </c>
      <c r="AG187" s="86">
        <v>43167</v>
      </c>
      <c r="AH187" s="85" t="s">
        <v>1958</v>
      </c>
      <c r="AI187" s="85" t="s">
        <v>107</v>
      </c>
      <c r="AJ187" s="85" t="s">
        <v>107</v>
      </c>
      <c r="AK187" s="85" t="s">
        <v>107</v>
      </c>
      <c r="AL187" s="85" t="s">
        <v>107</v>
      </c>
      <c r="AM187" s="85" t="s">
        <v>107</v>
      </c>
      <c r="AN187" s="86">
        <v>43375</v>
      </c>
      <c r="AO187" s="86">
        <v>43244</v>
      </c>
      <c r="AP187" s="86">
        <v>43160</v>
      </c>
      <c r="AQ187" s="86">
        <v>41535</v>
      </c>
      <c r="AR187" s="86">
        <v>43160</v>
      </c>
      <c r="AS187" s="86">
        <v>43109</v>
      </c>
      <c r="AT187" s="86">
        <v>43160</v>
      </c>
      <c r="AU187" s="85" t="s">
        <v>107</v>
      </c>
      <c r="AV187" s="86">
        <v>43160</v>
      </c>
      <c r="AW187" s="86">
        <v>43160</v>
      </c>
    </row>
    <row r="188" spans="1:49" x14ac:dyDescent="0.2">
      <c r="A188" s="85" t="s">
        <v>1700</v>
      </c>
      <c r="B188" s="85" t="s">
        <v>1701</v>
      </c>
      <c r="C188" s="85" t="s">
        <v>1702</v>
      </c>
      <c r="D188" s="85" t="s">
        <v>782</v>
      </c>
      <c r="E188" s="85" t="s">
        <v>141</v>
      </c>
      <c r="F188" s="85" t="s">
        <v>106</v>
      </c>
      <c r="G188" s="85" t="s">
        <v>4</v>
      </c>
      <c r="H188" s="85" t="s">
        <v>12</v>
      </c>
      <c r="I188" s="85" t="s">
        <v>107</v>
      </c>
      <c r="J188" s="85" t="s">
        <v>59</v>
      </c>
      <c r="K188" s="85" t="s">
        <v>59</v>
      </c>
      <c r="L188" s="85" t="s">
        <v>107</v>
      </c>
      <c r="M188" s="85" t="s">
        <v>107</v>
      </c>
      <c r="N188" s="85" t="s">
        <v>107</v>
      </c>
      <c r="O188" s="85" t="s">
        <v>107</v>
      </c>
      <c r="P188" s="85" t="s">
        <v>107</v>
      </c>
      <c r="Q188" s="85" t="s">
        <v>59</v>
      </c>
      <c r="R188" s="85" t="s">
        <v>107</v>
      </c>
      <c r="S188" s="85" t="s">
        <v>107</v>
      </c>
      <c r="T188" s="85" t="s">
        <v>107</v>
      </c>
      <c r="U188" s="85" t="s">
        <v>107</v>
      </c>
      <c r="V188" s="85" t="s">
        <v>107</v>
      </c>
      <c r="W188" s="85" t="s">
        <v>107</v>
      </c>
      <c r="X188" s="85" t="s">
        <v>107</v>
      </c>
      <c r="Y188" s="85" t="s">
        <v>107</v>
      </c>
      <c r="Z188" s="85" t="s">
        <v>107</v>
      </c>
      <c r="AA188" s="85" t="s">
        <v>107</v>
      </c>
      <c r="AB188" s="85" t="s">
        <v>107</v>
      </c>
      <c r="AC188" s="85" t="s">
        <v>107</v>
      </c>
      <c r="AD188" s="85" t="s">
        <v>107</v>
      </c>
      <c r="AE188" s="85" t="s">
        <v>107</v>
      </c>
      <c r="AF188" s="85" t="s">
        <v>107</v>
      </c>
      <c r="AG188" s="85" t="s">
        <v>59</v>
      </c>
      <c r="AH188" s="85" t="s">
        <v>1959</v>
      </c>
      <c r="AI188" s="85" t="s">
        <v>107</v>
      </c>
      <c r="AJ188" s="85" t="s">
        <v>107</v>
      </c>
      <c r="AK188" s="85" t="s">
        <v>107</v>
      </c>
      <c r="AL188" s="85" t="s">
        <v>107</v>
      </c>
      <c r="AM188" s="85" t="s">
        <v>107</v>
      </c>
      <c r="AN188" s="86">
        <v>43418</v>
      </c>
      <c r="AO188" s="86">
        <v>43418</v>
      </c>
      <c r="AP188" s="86">
        <v>43418</v>
      </c>
      <c r="AQ188" s="86">
        <v>43418</v>
      </c>
      <c r="AR188" s="86">
        <v>43418</v>
      </c>
      <c r="AS188" s="86">
        <v>43418</v>
      </c>
      <c r="AT188" s="86">
        <v>43418</v>
      </c>
      <c r="AU188" s="85" t="s">
        <v>107</v>
      </c>
      <c r="AV188" s="86">
        <v>43418</v>
      </c>
      <c r="AW188" s="86">
        <v>43418</v>
      </c>
    </row>
    <row r="189" spans="1:49" x14ac:dyDescent="0.2">
      <c r="A189" s="85" t="s">
        <v>683</v>
      </c>
      <c r="B189" s="85" t="s">
        <v>684</v>
      </c>
      <c r="C189" s="85" t="s">
        <v>685</v>
      </c>
      <c r="D189" s="85" t="s">
        <v>686</v>
      </c>
      <c r="E189" s="85" t="s">
        <v>291</v>
      </c>
      <c r="F189" s="85" t="s">
        <v>113</v>
      </c>
      <c r="G189" s="85" t="s">
        <v>4</v>
      </c>
      <c r="H189" s="85" t="s">
        <v>8</v>
      </c>
      <c r="I189" s="86">
        <v>43475</v>
      </c>
      <c r="J189" s="86">
        <v>43507</v>
      </c>
      <c r="K189" s="86">
        <v>43479</v>
      </c>
      <c r="L189" s="85" t="s">
        <v>99</v>
      </c>
      <c r="M189" s="86">
        <v>42502</v>
      </c>
      <c r="N189" s="85" t="s">
        <v>107</v>
      </c>
      <c r="O189" s="86">
        <v>43137</v>
      </c>
      <c r="P189" s="86">
        <v>43172</v>
      </c>
      <c r="Q189" s="86">
        <v>43844</v>
      </c>
      <c r="R189" s="85" t="s">
        <v>1652</v>
      </c>
      <c r="S189" s="86">
        <v>45108</v>
      </c>
      <c r="T189" s="85" t="s">
        <v>1652</v>
      </c>
      <c r="U189" s="86">
        <v>43495</v>
      </c>
      <c r="V189" s="86">
        <v>43781</v>
      </c>
      <c r="W189" s="85" t="s">
        <v>1662</v>
      </c>
      <c r="X189" s="85" t="s">
        <v>114</v>
      </c>
      <c r="Y189" s="85">
        <v>1</v>
      </c>
      <c r="Z189" s="85" t="s">
        <v>114</v>
      </c>
      <c r="AA189" s="85"/>
      <c r="AB189" s="85" t="s">
        <v>114</v>
      </c>
      <c r="AC189" s="85" t="s">
        <v>114</v>
      </c>
      <c r="AD189" s="85" t="s">
        <v>114</v>
      </c>
      <c r="AE189" s="85"/>
      <c r="AF189" s="85"/>
      <c r="AG189" s="86">
        <v>43479</v>
      </c>
      <c r="AH189" s="85" t="s">
        <v>107</v>
      </c>
      <c r="AI189" s="86">
        <v>42491</v>
      </c>
      <c r="AJ189" s="86">
        <v>43177</v>
      </c>
      <c r="AK189" s="86">
        <v>43137</v>
      </c>
      <c r="AL189" s="85" t="s">
        <v>107</v>
      </c>
      <c r="AM189" s="85" t="s">
        <v>107</v>
      </c>
      <c r="AN189" s="86">
        <v>43405</v>
      </c>
      <c r="AO189" s="86">
        <v>43209</v>
      </c>
      <c r="AP189" s="86">
        <v>43353</v>
      </c>
      <c r="AQ189" s="86">
        <v>42515</v>
      </c>
      <c r="AR189" s="86">
        <v>43353</v>
      </c>
      <c r="AS189" s="86">
        <v>43353</v>
      </c>
      <c r="AT189" s="86">
        <v>43353</v>
      </c>
      <c r="AU189" s="86">
        <v>43353</v>
      </c>
      <c r="AV189" s="86">
        <v>43353</v>
      </c>
      <c r="AW189" s="86">
        <v>43353</v>
      </c>
    </row>
    <row r="190" spans="1:49" x14ac:dyDescent="0.2">
      <c r="A190" s="85" t="s">
        <v>687</v>
      </c>
      <c r="B190" s="85" t="s">
        <v>688</v>
      </c>
      <c r="C190" s="85" t="s">
        <v>689</v>
      </c>
      <c r="D190" s="85" t="s">
        <v>690</v>
      </c>
      <c r="E190" s="85" t="s">
        <v>121</v>
      </c>
      <c r="F190" s="85" t="s">
        <v>136</v>
      </c>
      <c r="G190" s="85" t="s">
        <v>4</v>
      </c>
      <c r="H190" s="85" t="s">
        <v>7</v>
      </c>
      <c r="I190" s="86">
        <v>43468</v>
      </c>
      <c r="J190" s="86">
        <v>43493</v>
      </c>
      <c r="K190" s="86">
        <v>43146</v>
      </c>
      <c r="L190" s="85" t="s">
        <v>99</v>
      </c>
      <c r="M190" s="86">
        <v>42312</v>
      </c>
      <c r="N190" s="85" t="s">
        <v>107</v>
      </c>
      <c r="O190" s="86">
        <v>43146</v>
      </c>
      <c r="P190" s="86">
        <v>43392</v>
      </c>
      <c r="Q190" s="86">
        <v>43390</v>
      </c>
      <c r="R190" s="85" t="s">
        <v>1652</v>
      </c>
      <c r="S190" s="86">
        <v>44075</v>
      </c>
      <c r="T190" s="85" t="s">
        <v>1652</v>
      </c>
      <c r="U190" s="86">
        <v>43410</v>
      </c>
      <c r="V190" s="86">
        <v>43616</v>
      </c>
      <c r="W190" s="85" t="s">
        <v>1655</v>
      </c>
      <c r="X190" s="85" t="s">
        <v>114</v>
      </c>
      <c r="Y190" s="85">
        <v>2</v>
      </c>
      <c r="Z190" s="85" t="s">
        <v>114</v>
      </c>
      <c r="AA190" s="85"/>
      <c r="AB190" s="85" t="s">
        <v>114</v>
      </c>
      <c r="AC190" s="85" t="s">
        <v>114</v>
      </c>
      <c r="AD190" s="85" t="s">
        <v>114</v>
      </c>
      <c r="AE190" s="85"/>
      <c r="AF190" s="85"/>
      <c r="AG190" s="86">
        <v>43497</v>
      </c>
      <c r="AH190" s="85" t="s">
        <v>1960</v>
      </c>
      <c r="AI190" s="86">
        <v>40828</v>
      </c>
      <c r="AJ190" s="86">
        <v>43173</v>
      </c>
      <c r="AK190" s="86">
        <v>42063</v>
      </c>
      <c r="AL190" s="85" t="s">
        <v>107</v>
      </c>
      <c r="AM190" s="85" t="s">
        <v>107</v>
      </c>
      <c r="AN190" s="85"/>
      <c r="AO190" s="85"/>
      <c r="AP190" s="86">
        <v>43046</v>
      </c>
      <c r="AQ190" s="86">
        <v>41638</v>
      </c>
      <c r="AR190" s="86">
        <v>43073</v>
      </c>
      <c r="AS190" s="86">
        <v>42885</v>
      </c>
      <c r="AT190" s="86">
        <v>43073</v>
      </c>
      <c r="AU190" s="86">
        <v>43073</v>
      </c>
      <c r="AV190" s="86">
        <v>42882</v>
      </c>
      <c r="AW190" s="86">
        <v>43073</v>
      </c>
    </row>
    <row r="191" spans="1:49" x14ac:dyDescent="0.2">
      <c r="A191" s="85" t="s">
        <v>691</v>
      </c>
      <c r="B191" s="85" t="s">
        <v>692</v>
      </c>
      <c r="C191" s="85" t="s">
        <v>693</v>
      </c>
      <c r="D191" s="85" t="s">
        <v>528</v>
      </c>
      <c r="E191" s="85" t="s">
        <v>143</v>
      </c>
      <c r="F191" s="85" t="s">
        <v>122</v>
      </c>
      <c r="G191" s="85" t="s">
        <v>4</v>
      </c>
      <c r="H191" s="85" t="s">
        <v>7</v>
      </c>
      <c r="I191" s="86">
        <v>43464</v>
      </c>
      <c r="J191" s="86">
        <v>43167</v>
      </c>
      <c r="K191" s="86">
        <v>43164</v>
      </c>
      <c r="L191" s="85" t="s">
        <v>99</v>
      </c>
      <c r="M191" s="86">
        <v>42936</v>
      </c>
      <c r="N191" s="85" t="s">
        <v>107</v>
      </c>
      <c r="O191" s="86">
        <v>42934</v>
      </c>
      <c r="P191" s="86">
        <v>43214</v>
      </c>
      <c r="Q191" s="86">
        <v>43532</v>
      </c>
      <c r="R191" s="85" t="s">
        <v>1652</v>
      </c>
      <c r="S191" s="86">
        <v>43891</v>
      </c>
      <c r="T191" s="85" t="s">
        <v>1652</v>
      </c>
      <c r="U191" s="86">
        <v>43237</v>
      </c>
      <c r="V191" s="86">
        <v>43616</v>
      </c>
      <c r="W191" s="85" t="s">
        <v>1653</v>
      </c>
      <c r="X191" s="85" t="s">
        <v>114</v>
      </c>
      <c r="Y191" s="85">
        <v>1</v>
      </c>
      <c r="Z191" s="85" t="s">
        <v>114</v>
      </c>
      <c r="AA191" s="85"/>
      <c r="AB191" s="85" t="s">
        <v>114</v>
      </c>
      <c r="AC191" s="85" t="s">
        <v>114</v>
      </c>
      <c r="AD191" s="85" t="s">
        <v>114</v>
      </c>
      <c r="AE191" s="85"/>
      <c r="AF191" s="85"/>
      <c r="AG191" s="86">
        <v>43167</v>
      </c>
      <c r="AH191" s="85" t="s">
        <v>107</v>
      </c>
      <c r="AI191" s="86">
        <v>43029</v>
      </c>
      <c r="AJ191" s="86">
        <v>43411</v>
      </c>
      <c r="AK191" s="86">
        <v>43164</v>
      </c>
      <c r="AL191" s="85" t="s">
        <v>107</v>
      </c>
      <c r="AM191" s="85" t="s">
        <v>107</v>
      </c>
      <c r="AN191" s="86">
        <v>43398</v>
      </c>
      <c r="AO191" s="86">
        <v>43207</v>
      </c>
      <c r="AP191" s="86">
        <v>43048</v>
      </c>
      <c r="AQ191" s="86">
        <v>42942</v>
      </c>
      <c r="AR191" s="86">
        <v>43241</v>
      </c>
      <c r="AS191" s="86">
        <v>43241</v>
      </c>
      <c r="AT191" s="86">
        <v>43241</v>
      </c>
      <c r="AU191" s="86">
        <v>43241</v>
      </c>
      <c r="AV191" s="86">
        <v>43241</v>
      </c>
      <c r="AW191" s="86">
        <v>43241</v>
      </c>
    </row>
    <row r="192" spans="1:49" x14ac:dyDescent="0.2">
      <c r="A192" s="85" t="s">
        <v>694</v>
      </c>
      <c r="B192" s="85" t="s">
        <v>695</v>
      </c>
      <c r="C192" s="85" t="s">
        <v>696</v>
      </c>
      <c r="D192" s="85" t="s">
        <v>697</v>
      </c>
      <c r="E192" s="85" t="s">
        <v>121</v>
      </c>
      <c r="F192" s="85" t="s">
        <v>122</v>
      </c>
      <c r="G192" s="85" t="s">
        <v>4</v>
      </c>
      <c r="H192" s="85" t="s">
        <v>8</v>
      </c>
      <c r="I192" s="86">
        <v>43475</v>
      </c>
      <c r="J192" s="86">
        <v>43493</v>
      </c>
      <c r="K192" s="86">
        <v>43130</v>
      </c>
      <c r="L192" s="85" t="s">
        <v>99</v>
      </c>
      <c r="M192" s="86">
        <v>43133</v>
      </c>
      <c r="N192" s="85" t="s">
        <v>107</v>
      </c>
      <c r="O192" s="86">
        <v>43275</v>
      </c>
      <c r="P192" s="86">
        <v>43158</v>
      </c>
      <c r="Q192" s="86">
        <v>43502</v>
      </c>
      <c r="R192" s="85" t="s">
        <v>1652</v>
      </c>
      <c r="S192" s="86">
        <v>44105</v>
      </c>
      <c r="T192" s="85" t="s">
        <v>1652</v>
      </c>
      <c r="U192" s="86">
        <v>43482</v>
      </c>
      <c r="V192" s="86">
        <v>43572</v>
      </c>
      <c r="W192" s="85" t="s">
        <v>1791</v>
      </c>
      <c r="X192" s="85" t="s">
        <v>114</v>
      </c>
      <c r="Y192" s="85">
        <v>1</v>
      </c>
      <c r="Z192" s="85" t="s">
        <v>114</v>
      </c>
      <c r="AA192" s="85"/>
      <c r="AB192" s="85" t="s">
        <v>211</v>
      </c>
      <c r="AC192" s="85" t="s">
        <v>114</v>
      </c>
      <c r="AD192" s="85" t="s">
        <v>211</v>
      </c>
      <c r="AE192" s="85" t="s">
        <v>1656</v>
      </c>
      <c r="AF192" s="86">
        <v>43590</v>
      </c>
      <c r="AG192" s="86">
        <v>43168</v>
      </c>
      <c r="AH192" s="85" t="s">
        <v>107</v>
      </c>
      <c r="AI192" s="86">
        <v>43130</v>
      </c>
      <c r="AJ192" s="86">
        <v>43377</v>
      </c>
      <c r="AK192" s="86">
        <v>43138</v>
      </c>
      <c r="AL192" s="85" t="s">
        <v>107</v>
      </c>
      <c r="AM192" s="85" t="s">
        <v>107</v>
      </c>
      <c r="AN192" s="86">
        <v>43405</v>
      </c>
      <c r="AO192" s="86">
        <v>43207</v>
      </c>
      <c r="AP192" s="86">
        <v>43122</v>
      </c>
      <c r="AQ192" s="86">
        <v>43132</v>
      </c>
      <c r="AR192" s="86">
        <v>43132</v>
      </c>
      <c r="AS192" s="86">
        <v>43132</v>
      </c>
      <c r="AT192" s="86">
        <v>43132</v>
      </c>
      <c r="AU192" s="86">
        <v>43132</v>
      </c>
      <c r="AV192" s="86">
        <v>43325</v>
      </c>
      <c r="AW192" s="86">
        <v>43132</v>
      </c>
    </row>
    <row r="193" spans="1:49" x14ac:dyDescent="0.2">
      <c r="A193" s="85" t="s">
        <v>698</v>
      </c>
      <c r="B193" s="85" t="s">
        <v>699</v>
      </c>
      <c r="C193" s="85" t="s">
        <v>700</v>
      </c>
      <c r="D193" s="85" t="s">
        <v>188</v>
      </c>
      <c r="E193" s="85" t="s">
        <v>158</v>
      </c>
      <c r="F193" s="85" t="s">
        <v>113</v>
      </c>
      <c r="G193" s="85" t="s">
        <v>4</v>
      </c>
      <c r="H193" s="85" t="s">
        <v>12</v>
      </c>
      <c r="I193" s="86">
        <v>43369</v>
      </c>
      <c r="J193" s="86">
        <v>43199</v>
      </c>
      <c r="K193" s="86">
        <v>43276</v>
      </c>
      <c r="L193" s="85" t="s">
        <v>99</v>
      </c>
      <c r="M193" s="86">
        <v>42083</v>
      </c>
      <c r="N193" s="85" t="s">
        <v>107</v>
      </c>
      <c r="O193" s="86">
        <v>43276</v>
      </c>
      <c r="P193" s="86">
        <v>43249</v>
      </c>
      <c r="Q193" s="86">
        <v>43641</v>
      </c>
      <c r="R193" s="85" t="s">
        <v>1652</v>
      </c>
      <c r="S193" s="85" t="s">
        <v>59</v>
      </c>
      <c r="T193" s="85" t="s">
        <v>59</v>
      </c>
      <c r="U193" s="86">
        <v>43398</v>
      </c>
      <c r="V193" s="86">
        <v>43585</v>
      </c>
      <c r="W193" s="85" t="s">
        <v>1657</v>
      </c>
      <c r="X193" s="85" t="s">
        <v>114</v>
      </c>
      <c r="Y193" s="85">
        <v>1</v>
      </c>
      <c r="Z193" s="85" t="s">
        <v>114</v>
      </c>
      <c r="AA193" s="85" t="s">
        <v>1659</v>
      </c>
      <c r="AB193" s="85" t="s">
        <v>114</v>
      </c>
      <c r="AC193" s="85" t="s">
        <v>114</v>
      </c>
      <c r="AD193" s="85" t="s">
        <v>114</v>
      </c>
      <c r="AE193" s="85"/>
      <c r="AF193" s="85"/>
      <c r="AG193" s="86">
        <v>43276</v>
      </c>
      <c r="AH193" s="85" t="s">
        <v>107</v>
      </c>
      <c r="AI193" s="86">
        <v>43396</v>
      </c>
      <c r="AJ193" s="86">
        <v>43396</v>
      </c>
      <c r="AK193" s="86">
        <v>42866</v>
      </c>
      <c r="AL193" s="85" t="s">
        <v>107</v>
      </c>
      <c r="AM193" s="85" t="s">
        <v>107</v>
      </c>
      <c r="AN193" s="85"/>
      <c r="AO193" s="86">
        <v>43257</v>
      </c>
      <c r="AP193" s="86">
        <v>43251</v>
      </c>
      <c r="AQ193" s="86">
        <v>43251</v>
      </c>
      <c r="AR193" s="86">
        <v>43251</v>
      </c>
      <c r="AS193" s="86">
        <v>43251</v>
      </c>
      <c r="AT193" s="86">
        <v>43251</v>
      </c>
      <c r="AU193" s="86">
        <v>43251</v>
      </c>
      <c r="AV193" s="86">
        <v>43251</v>
      </c>
      <c r="AW193" s="86">
        <v>43251</v>
      </c>
    </row>
    <row r="194" spans="1:49" x14ac:dyDescent="0.2">
      <c r="A194" s="85" t="s">
        <v>701</v>
      </c>
      <c r="B194" s="85" t="s">
        <v>702</v>
      </c>
      <c r="C194" s="85" t="s">
        <v>703</v>
      </c>
      <c r="D194" s="85" t="s">
        <v>704</v>
      </c>
      <c r="E194" s="85" t="s">
        <v>121</v>
      </c>
      <c r="F194" s="85" t="s">
        <v>127</v>
      </c>
      <c r="G194" s="85" t="s">
        <v>4</v>
      </c>
      <c r="H194" s="85" t="s">
        <v>1670</v>
      </c>
      <c r="I194" s="86">
        <v>43462</v>
      </c>
      <c r="J194" s="86">
        <v>43167</v>
      </c>
      <c r="K194" s="86">
        <v>43167</v>
      </c>
      <c r="L194" s="85" t="s">
        <v>99</v>
      </c>
      <c r="M194" s="86">
        <v>42772</v>
      </c>
      <c r="N194" s="85" t="s">
        <v>107</v>
      </c>
      <c r="O194" s="86">
        <v>43167</v>
      </c>
      <c r="P194" s="86">
        <v>43377</v>
      </c>
      <c r="Q194" s="86">
        <v>43532</v>
      </c>
      <c r="R194" s="85" t="s">
        <v>1652</v>
      </c>
      <c r="S194" s="86">
        <v>43709</v>
      </c>
      <c r="T194" s="85" t="s">
        <v>1652</v>
      </c>
      <c r="U194" s="86">
        <v>43453</v>
      </c>
      <c r="V194" s="86">
        <v>43646</v>
      </c>
      <c r="W194" s="85" t="s">
        <v>1657</v>
      </c>
      <c r="X194" s="85" t="s">
        <v>114</v>
      </c>
      <c r="Y194" s="85">
        <v>1</v>
      </c>
      <c r="Z194" s="85" t="s">
        <v>114</v>
      </c>
      <c r="AA194" s="85" t="s">
        <v>1659</v>
      </c>
      <c r="AB194" s="85" t="s">
        <v>211</v>
      </c>
      <c r="AC194" s="85" t="s">
        <v>114</v>
      </c>
      <c r="AD194" s="85" t="s">
        <v>211</v>
      </c>
      <c r="AE194" s="85" t="s">
        <v>1656</v>
      </c>
      <c r="AF194" s="85"/>
      <c r="AG194" s="86">
        <v>43518</v>
      </c>
      <c r="AH194" s="85" t="s">
        <v>107</v>
      </c>
      <c r="AI194" s="85"/>
      <c r="AJ194" s="85"/>
      <c r="AK194" s="86">
        <v>43167</v>
      </c>
      <c r="AL194" s="85" t="s">
        <v>107</v>
      </c>
      <c r="AM194" s="85" t="s">
        <v>107</v>
      </c>
      <c r="AN194" s="86">
        <v>43467</v>
      </c>
      <c r="AO194" s="86">
        <v>43467</v>
      </c>
      <c r="AP194" s="86">
        <v>43467</v>
      </c>
      <c r="AQ194" s="86">
        <v>43467</v>
      </c>
      <c r="AR194" s="86">
        <v>43467</v>
      </c>
      <c r="AS194" s="86">
        <v>43467</v>
      </c>
      <c r="AT194" s="86">
        <v>43467</v>
      </c>
      <c r="AU194" s="86">
        <v>43467</v>
      </c>
      <c r="AV194" s="86">
        <v>43467</v>
      </c>
      <c r="AW194" s="86">
        <v>43467</v>
      </c>
    </row>
    <row r="195" spans="1:49" x14ac:dyDescent="0.2">
      <c r="A195" s="85" t="s">
        <v>705</v>
      </c>
      <c r="B195" s="85" t="s">
        <v>706</v>
      </c>
      <c r="C195" s="85" t="s">
        <v>707</v>
      </c>
      <c r="D195" s="85" t="s">
        <v>265</v>
      </c>
      <c r="E195" s="85" t="s">
        <v>114</v>
      </c>
      <c r="F195" s="85" t="s">
        <v>106</v>
      </c>
      <c r="G195" s="85" t="s">
        <v>4</v>
      </c>
      <c r="H195" s="85" t="s">
        <v>12</v>
      </c>
      <c r="I195" s="85" t="s">
        <v>107</v>
      </c>
      <c r="J195" s="86">
        <v>43318</v>
      </c>
      <c r="K195" s="86">
        <v>43283</v>
      </c>
      <c r="L195" s="85" t="s">
        <v>107</v>
      </c>
      <c r="M195" s="85" t="s">
        <v>107</v>
      </c>
      <c r="N195" s="85" t="s">
        <v>107</v>
      </c>
      <c r="O195" s="85" t="s">
        <v>107</v>
      </c>
      <c r="P195" s="85" t="s">
        <v>107</v>
      </c>
      <c r="Q195" s="86">
        <v>43847</v>
      </c>
      <c r="R195" s="85" t="s">
        <v>107</v>
      </c>
      <c r="S195" s="85" t="s">
        <v>107</v>
      </c>
      <c r="T195" s="85" t="s">
        <v>107</v>
      </c>
      <c r="U195" s="85" t="s">
        <v>107</v>
      </c>
      <c r="V195" s="85" t="s">
        <v>107</v>
      </c>
      <c r="W195" s="85" t="s">
        <v>107</v>
      </c>
      <c r="X195" s="85" t="s">
        <v>107</v>
      </c>
      <c r="Y195" s="85" t="s">
        <v>107</v>
      </c>
      <c r="Z195" s="85" t="s">
        <v>107</v>
      </c>
      <c r="AA195" s="85" t="s">
        <v>107</v>
      </c>
      <c r="AB195" s="85" t="s">
        <v>107</v>
      </c>
      <c r="AC195" s="85" t="s">
        <v>107</v>
      </c>
      <c r="AD195" s="85" t="s">
        <v>107</v>
      </c>
      <c r="AE195" s="85" t="s">
        <v>107</v>
      </c>
      <c r="AF195" s="85" t="s">
        <v>107</v>
      </c>
      <c r="AG195" s="86">
        <v>43178</v>
      </c>
      <c r="AH195" s="85" t="s">
        <v>107</v>
      </c>
      <c r="AI195" s="85" t="s">
        <v>107</v>
      </c>
      <c r="AJ195" s="85" t="s">
        <v>107</v>
      </c>
      <c r="AK195" s="85" t="s">
        <v>107</v>
      </c>
      <c r="AL195" s="85" t="s">
        <v>107</v>
      </c>
      <c r="AM195" s="85" t="s">
        <v>107</v>
      </c>
      <c r="AN195" s="86">
        <v>43480</v>
      </c>
      <c r="AO195" s="86">
        <v>43213</v>
      </c>
      <c r="AP195" s="86">
        <v>43480</v>
      </c>
      <c r="AQ195" s="86">
        <v>42635</v>
      </c>
      <c r="AR195" s="86">
        <v>43480</v>
      </c>
      <c r="AS195" s="86">
        <v>43480</v>
      </c>
      <c r="AT195" s="86">
        <v>43480</v>
      </c>
      <c r="AU195" s="85" t="s">
        <v>107</v>
      </c>
      <c r="AV195" s="86">
        <v>43480</v>
      </c>
      <c r="AW195" s="86">
        <v>43480</v>
      </c>
    </row>
    <row r="196" spans="1:49" x14ac:dyDescent="0.2">
      <c r="A196" s="85" t="s">
        <v>709</v>
      </c>
      <c r="B196" s="85" t="s">
        <v>710</v>
      </c>
      <c r="C196" s="85" t="s">
        <v>708</v>
      </c>
      <c r="D196" s="85" t="s">
        <v>244</v>
      </c>
      <c r="E196" s="85" t="s">
        <v>222</v>
      </c>
      <c r="F196" s="85" t="s">
        <v>270</v>
      </c>
      <c r="G196" s="85" t="s">
        <v>4</v>
      </c>
      <c r="H196" s="85" t="s">
        <v>12</v>
      </c>
      <c r="I196" s="86">
        <v>43456</v>
      </c>
      <c r="J196" s="86">
        <v>43345</v>
      </c>
      <c r="K196" s="86">
        <v>43482</v>
      </c>
      <c r="L196" s="85" t="s">
        <v>99</v>
      </c>
      <c r="M196" s="86">
        <v>43276</v>
      </c>
      <c r="N196" s="85" t="s">
        <v>107</v>
      </c>
      <c r="O196" s="86">
        <v>43000</v>
      </c>
      <c r="P196" s="86">
        <v>43319</v>
      </c>
      <c r="Q196" s="86">
        <v>43847</v>
      </c>
      <c r="R196" s="85" t="s">
        <v>1652</v>
      </c>
      <c r="S196" s="86">
        <v>44986</v>
      </c>
      <c r="T196" s="85" t="s">
        <v>1652</v>
      </c>
      <c r="U196" s="86">
        <v>43188</v>
      </c>
      <c r="V196" s="86">
        <v>43555</v>
      </c>
      <c r="W196" s="85" t="s">
        <v>1653</v>
      </c>
      <c r="X196" s="85" t="s">
        <v>119</v>
      </c>
      <c r="Y196" s="85">
        <v>1</v>
      </c>
      <c r="Z196" s="85" t="s">
        <v>114</v>
      </c>
      <c r="AA196" s="85"/>
      <c r="AB196" s="85" t="s">
        <v>114</v>
      </c>
      <c r="AC196" s="85" t="s">
        <v>114</v>
      </c>
      <c r="AD196" s="85" t="s">
        <v>119</v>
      </c>
      <c r="AE196" s="85" t="s">
        <v>1783</v>
      </c>
      <c r="AF196" s="85"/>
      <c r="AG196" s="86">
        <v>43272</v>
      </c>
      <c r="AH196" s="85" t="s">
        <v>1961</v>
      </c>
      <c r="AI196" s="86">
        <v>43396</v>
      </c>
      <c r="AJ196" s="86">
        <v>43396</v>
      </c>
      <c r="AK196" s="85"/>
      <c r="AL196" s="85"/>
      <c r="AM196" s="85"/>
      <c r="AN196" s="86">
        <v>43480</v>
      </c>
      <c r="AO196" s="86">
        <v>43251</v>
      </c>
      <c r="AP196" s="86">
        <v>43480</v>
      </c>
      <c r="AQ196" s="86">
        <v>43251</v>
      </c>
      <c r="AR196" s="86">
        <v>43480</v>
      </c>
      <c r="AS196" s="86">
        <v>43480</v>
      </c>
      <c r="AT196" s="86">
        <v>43480</v>
      </c>
      <c r="AU196" s="86">
        <v>43480</v>
      </c>
      <c r="AV196" s="86">
        <v>43480</v>
      </c>
      <c r="AW196" s="86">
        <v>43480</v>
      </c>
    </row>
    <row r="197" spans="1:49" x14ac:dyDescent="0.2">
      <c r="A197" s="85" t="s">
        <v>711</v>
      </c>
      <c r="B197" s="85" t="s">
        <v>712</v>
      </c>
      <c r="C197" s="85" t="s">
        <v>713</v>
      </c>
      <c r="D197" s="85" t="s">
        <v>368</v>
      </c>
      <c r="E197" s="85" t="s">
        <v>714</v>
      </c>
      <c r="F197" s="85" t="s">
        <v>715</v>
      </c>
      <c r="G197" s="85" t="s">
        <v>4</v>
      </c>
      <c r="H197" s="85" t="s">
        <v>1670</v>
      </c>
      <c r="I197" s="86">
        <v>43434</v>
      </c>
      <c r="J197" s="86">
        <v>43298</v>
      </c>
      <c r="K197" s="86">
        <v>43270</v>
      </c>
      <c r="L197" s="85" t="s">
        <v>99</v>
      </c>
      <c r="M197" s="86">
        <v>43371</v>
      </c>
      <c r="N197" s="85" t="s">
        <v>107</v>
      </c>
      <c r="O197" s="86">
        <v>43270</v>
      </c>
      <c r="P197" s="86">
        <v>43369</v>
      </c>
      <c r="Q197" s="86">
        <v>43634</v>
      </c>
      <c r="R197" s="85" t="s">
        <v>1652</v>
      </c>
      <c r="S197" s="86">
        <v>43922</v>
      </c>
      <c r="T197" s="85" t="s">
        <v>1652</v>
      </c>
      <c r="U197" s="86">
        <v>43244</v>
      </c>
      <c r="V197" s="86">
        <v>43616</v>
      </c>
      <c r="W197" s="85" t="s">
        <v>1653</v>
      </c>
      <c r="X197" s="85" t="s">
        <v>114</v>
      </c>
      <c r="Y197" s="85">
        <v>1</v>
      </c>
      <c r="Z197" s="85" t="s">
        <v>114</v>
      </c>
      <c r="AA197" s="85" t="s">
        <v>1663</v>
      </c>
      <c r="AB197" s="85" t="s">
        <v>114</v>
      </c>
      <c r="AC197" s="85" t="s">
        <v>114</v>
      </c>
      <c r="AD197" s="85" t="s">
        <v>114</v>
      </c>
      <c r="AE197" s="85"/>
      <c r="AF197" s="85"/>
      <c r="AG197" s="86">
        <v>43269</v>
      </c>
      <c r="AH197" s="85" t="s">
        <v>107</v>
      </c>
      <c r="AI197" s="86">
        <v>43377</v>
      </c>
      <c r="AJ197" s="86">
        <v>43377</v>
      </c>
      <c r="AK197" s="86">
        <v>43059</v>
      </c>
      <c r="AL197" s="85"/>
      <c r="AM197" s="85"/>
      <c r="AN197" s="86">
        <v>43375</v>
      </c>
      <c r="AO197" s="86">
        <v>43207</v>
      </c>
      <c r="AP197" s="86">
        <v>43039</v>
      </c>
      <c r="AQ197" s="86">
        <v>42917</v>
      </c>
      <c r="AR197" s="86">
        <v>43298</v>
      </c>
      <c r="AS197" s="86">
        <v>43298</v>
      </c>
      <c r="AT197" s="86">
        <v>42969</v>
      </c>
      <c r="AU197" s="86">
        <v>43298</v>
      </c>
      <c r="AV197" s="86">
        <v>43298</v>
      </c>
      <c r="AW197" s="86">
        <v>43298</v>
      </c>
    </row>
    <row r="198" spans="1:49" x14ac:dyDescent="0.2">
      <c r="A198" s="85" t="s">
        <v>716</v>
      </c>
      <c r="B198" s="85" t="s">
        <v>717</v>
      </c>
      <c r="C198" s="85" t="s">
        <v>718</v>
      </c>
      <c r="D198" s="85" t="s">
        <v>719</v>
      </c>
      <c r="E198" s="85" t="s">
        <v>141</v>
      </c>
      <c r="F198" s="85" t="s">
        <v>113</v>
      </c>
      <c r="G198" s="85" t="s">
        <v>4</v>
      </c>
      <c r="H198" s="85" t="s">
        <v>7</v>
      </c>
      <c r="I198" s="85" t="s">
        <v>59</v>
      </c>
      <c r="J198" s="86">
        <v>43141</v>
      </c>
      <c r="K198" s="86">
        <v>43368</v>
      </c>
      <c r="L198" s="85" t="s">
        <v>99</v>
      </c>
      <c r="M198" s="86">
        <v>42529</v>
      </c>
      <c r="N198" s="85" t="s">
        <v>107</v>
      </c>
      <c r="O198" s="86">
        <v>42525</v>
      </c>
      <c r="P198" s="86">
        <v>43365</v>
      </c>
      <c r="Q198" s="86">
        <v>43726</v>
      </c>
      <c r="R198" s="85" t="s">
        <v>1652</v>
      </c>
      <c r="S198" s="86">
        <v>43344</v>
      </c>
      <c r="T198" s="85" t="s">
        <v>1652</v>
      </c>
      <c r="U198" s="85" t="s">
        <v>59</v>
      </c>
      <c r="V198" s="85" t="s">
        <v>59</v>
      </c>
      <c r="W198" s="85" t="s">
        <v>59</v>
      </c>
      <c r="X198" s="85" t="s">
        <v>114</v>
      </c>
      <c r="Y198" s="85">
        <v>1</v>
      </c>
      <c r="Z198" s="85" t="s">
        <v>114</v>
      </c>
      <c r="AA198" s="85"/>
      <c r="AB198" s="85" t="s">
        <v>114</v>
      </c>
      <c r="AC198" s="85" t="s">
        <v>114</v>
      </c>
      <c r="AD198" s="85" t="s">
        <v>114</v>
      </c>
      <c r="AE198" s="85"/>
      <c r="AF198" s="85"/>
      <c r="AG198" s="85" t="s">
        <v>59</v>
      </c>
      <c r="AH198" s="85" t="s">
        <v>107</v>
      </c>
      <c r="AI198" s="86">
        <v>43313</v>
      </c>
      <c r="AJ198" s="86">
        <v>43411</v>
      </c>
      <c r="AK198" s="86">
        <v>42499</v>
      </c>
      <c r="AL198" s="85" t="s">
        <v>107</v>
      </c>
      <c r="AM198" s="85" t="s">
        <v>107</v>
      </c>
      <c r="AN198" s="86">
        <v>43398</v>
      </c>
      <c r="AO198" s="86">
        <v>43398</v>
      </c>
      <c r="AP198" s="86">
        <v>43264</v>
      </c>
      <c r="AQ198" s="86">
        <v>43264</v>
      </c>
      <c r="AR198" s="86">
        <v>43264</v>
      </c>
      <c r="AS198" s="86">
        <v>43264</v>
      </c>
      <c r="AT198" s="86">
        <v>43264</v>
      </c>
      <c r="AU198" s="86">
        <v>43264</v>
      </c>
      <c r="AV198" s="86">
        <v>43264</v>
      </c>
      <c r="AW198" s="86">
        <v>43264</v>
      </c>
    </row>
    <row r="199" spans="1:49" x14ac:dyDescent="0.2">
      <c r="A199" s="85" t="s">
        <v>720</v>
      </c>
      <c r="B199" s="85" t="s">
        <v>721</v>
      </c>
      <c r="C199" s="85" t="s">
        <v>722</v>
      </c>
      <c r="D199" s="85" t="s">
        <v>482</v>
      </c>
      <c r="E199" s="85" t="s">
        <v>149</v>
      </c>
      <c r="F199" s="85" t="s">
        <v>106</v>
      </c>
      <c r="G199" s="85" t="s">
        <v>4</v>
      </c>
      <c r="H199" s="85" t="s">
        <v>5</v>
      </c>
      <c r="I199" s="85" t="s">
        <v>107</v>
      </c>
      <c r="J199" s="85" t="s">
        <v>59</v>
      </c>
      <c r="K199" s="85" t="s">
        <v>59</v>
      </c>
      <c r="L199" s="85" t="s">
        <v>107</v>
      </c>
      <c r="M199" s="85" t="s">
        <v>107</v>
      </c>
      <c r="N199" s="85" t="s">
        <v>107</v>
      </c>
      <c r="O199" s="85" t="s">
        <v>107</v>
      </c>
      <c r="P199" s="85" t="s">
        <v>107</v>
      </c>
      <c r="Q199" s="86">
        <v>43550</v>
      </c>
      <c r="R199" s="85" t="s">
        <v>107</v>
      </c>
      <c r="S199" s="85" t="s">
        <v>107</v>
      </c>
      <c r="T199" s="85" t="s">
        <v>107</v>
      </c>
      <c r="U199" s="85" t="s">
        <v>107</v>
      </c>
      <c r="V199" s="85" t="s">
        <v>107</v>
      </c>
      <c r="W199" s="85" t="s">
        <v>107</v>
      </c>
      <c r="X199" s="85" t="s">
        <v>107</v>
      </c>
      <c r="Y199" s="85" t="s">
        <v>107</v>
      </c>
      <c r="Z199" s="85" t="s">
        <v>107</v>
      </c>
      <c r="AA199" s="85" t="s">
        <v>107</v>
      </c>
      <c r="AB199" s="85" t="s">
        <v>107</v>
      </c>
      <c r="AC199" s="85" t="s">
        <v>107</v>
      </c>
      <c r="AD199" s="85" t="s">
        <v>107</v>
      </c>
      <c r="AE199" s="85" t="s">
        <v>107</v>
      </c>
      <c r="AF199" s="85" t="s">
        <v>107</v>
      </c>
      <c r="AG199" s="86">
        <v>43175</v>
      </c>
      <c r="AH199" s="85" t="s">
        <v>107</v>
      </c>
      <c r="AI199" s="85" t="s">
        <v>107</v>
      </c>
      <c r="AJ199" s="85" t="s">
        <v>107</v>
      </c>
      <c r="AK199" s="85" t="s">
        <v>107</v>
      </c>
      <c r="AL199" s="85" t="s">
        <v>107</v>
      </c>
      <c r="AM199" s="85" t="s">
        <v>107</v>
      </c>
      <c r="AN199" s="86">
        <v>43375</v>
      </c>
      <c r="AO199" s="86">
        <v>43207</v>
      </c>
      <c r="AP199" s="86">
        <v>43160</v>
      </c>
      <c r="AQ199" s="86">
        <v>42008</v>
      </c>
      <c r="AR199" s="86">
        <v>43160</v>
      </c>
      <c r="AS199" s="86">
        <v>43226</v>
      </c>
      <c r="AT199" s="86">
        <v>43160</v>
      </c>
      <c r="AU199" s="85" t="s">
        <v>107</v>
      </c>
      <c r="AV199" s="86">
        <v>43160</v>
      </c>
      <c r="AW199" s="86">
        <v>43160</v>
      </c>
    </row>
    <row r="200" spans="1:49" x14ac:dyDescent="0.2">
      <c r="A200" s="85" t="s">
        <v>1796</v>
      </c>
      <c r="B200" s="85" t="s">
        <v>1797</v>
      </c>
      <c r="C200" s="85" t="s">
        <v>1798</v>
      </c>
      <c r="D200" s="85" t="s">
        <v>1799</v>
      </c>
      <c r="E200" s="85" t="s">
        <v>126</v>
      </c>
      <c r="F200" s="85" t="s">
        <v>245</v>
      </c>
      <c r="G200" s="85" t="s">
        <v>4</v>
      </c>
      <c r="H200" s="85" t="s">
        <v>12</v>
      </c>
      <c r="I200" s="85" t="s">
        <v>59</v>
      </c>
      <c r="J200" s="85" t="s">
        <v>59</v>
      </c>
      <c r="K200" s="85" t="s">
        <v>59</v>
      </c>
      <c r="L200" s="85" t="s">
        <v>59</v>
      </c>
      <c r="M200" s="85" t="s">
        <v>59</v>
      </c>
      <c r="N200" s="85" t="s">
        <v>107</v>
      </c>
      <c r="O200" s="85" t="s">
        <v>59</v>
      </c>
      <c r="P200" s="85" t="s">
        <v>59</v>
      </c>
      <c r="Q200" s="85" t="s">
        <v>59</v>
      </c>
      <c r="R200" s="85" t="s">
        <v>1658</v>
      </c>
      <c r="S200" s="85" t="s">
        <v>59</v>
      </c>
      <c r="T200" s="85" t="s">
        <v>59</v>
      </c>
      <c r="U200" s="85" t="s">
        <v>59</v>
      </c>
      <c r="V200" s="85" t="s">
        <v>59</v>
      </c>
      <c r="W200" s="85" t="s">
        <v>59</v>
      </c>
      <c r="X200" s="85" t="s">
        <v>59</v>
      </c>
      <c r="Y200" s="85" t="s">
        <v>59</v>
      </c>
      <c r="Z200" s="85" t="s">
        <v>59</v>
      </c>
      <c r="AA200" s="85" t="s">
        <v>59</v>
      </c>
      <c r="AB200" s="85" t="s">
        <v>59</v>
      </c>
      <c r="AC200" s="85" t="s">
        <v>59</v>
      </c>
      <c r="AD200" s="85" t="s">
        <v>59</v>
      </c>
      <c r="AE200" s="85" t="s">
        <v>59</v>
      </c>
      <c r="AF200" s="85" t="s">
        <v>59</v>
      </c>
      <c r="AG200" s="85" t="s">
        <v>59</v>
      </c>
      <c r="AH200" s="85" t="s">
        <v>107</v>
      </c>
      <c r="AI200" s="85" t="s">
        <v>59</v>
      </c>
      <c r="AJ200" s="85" t="s">
        <v>59</v>
      </c>
      <c r="AK200" s="85" t="s">
        <v>59</v>
      </c>
      <c r="AL200" s="85" t="s">
        <v>107</v>
      </c>
      <c r="AM200" s="85" t="s">
        <v>107</v>
      </c>
      <c r="AN200" s="85" t="s">
        <v>59</v>
      </c>
      <c r="AO200" s="85" t="s">
        <v>59</v>
      </c>
      <c r="AP200" s="85" t="s">
        <v>59</v>
      </c>
      <c r="AQ200" s="85" t="s">
        <v>59</v>
      </c>
      <c r="AR200" s="85" t="s">
        <v>59</v>
      </c>
      <c r="AS200" s="85" t="s">
        <v>59</v>
      </c>
      <c r="AT200" s="85" t="s">
        <v>59</v>
      </c>
      <c r="AU200" s="85" t="s">
        <v>59</v>
      </c>
      <c r="AV200" s="85" t="s">
        <v>59</v>
      </c>
      <c r="AW200" s="85" t="s">
        <v>59</v>
      </c>
    </row>
    <row r="201" spans="1:49" x14ac:dyDescent="0.2">
      <c r="A201" s="85" t="s">
        <v>723</v>
      </c>
      <c r="B201" s="85" t="s">
        <v>724</v>
      </c>
      <c r="C201" s="85" t="s">
        <v>725</v>
      </c>
      <c r="D201" s="85" t="s">
        <v>349</v>
      </c>
      <c r="E201" s="85" t="s">
        <v>231</v>
      </c>
      <c r="F201" s="85" t="s">
        <v>106</v>
      </c>
      <c r="G201" s="85" t="s">
        <v>4</v>
      </c>
      <c r="H201" s="85" t="s">
        <v>7</v>
      </c>
      <c r="I201" s="85" t="s">
        <v>107</v>
      </c>
      <c r="J201" s="85" t="s">
        <v>59</v>
      </c>
      <c r="K201" s="85" t="s">
        <v>59</v>
      </c>
      <c r="L201" s="85" t="s">
        <v>107</v>
      </c>
      <c r="M201" s="85" t="s">
        <v>107</v>
      </c>
      <c r="N201" s="85" t="s">
        <v>107</v>
      </c>
      <c r="O201" s="85" t="s">
        <v>107</v>
      </c>
      <c r="P201" s="85" t="s">
        <v>107</v>
      </c>
      <c r="Q201" s="85" t="s">
        <v>59</v>
      </c>
      <c r="R201" s="85" t="s">
        <v>107</v>
      </c>
      <c r="S201" s="85" t="s">
        <v>107</v>
      </c>
      <c r="T201" s="85" t="s">
        <v>107</v>
      </c>
      <c r="U201" s="85" t="s">
        <v>107</v>
      </c>
      <c r="V201" s="85" t="s">
        <v>107</v>
      </c>
      <c r="W201" s="85" t="s">
        <v>107</v>
      </c>
      <c r="X201" s="85" t="s">
        <v>107</v>
      </c>
      <c r="Y201" s="85" t="s">
        <v>107</v>
      </c>
      <c r="Z201" s="85" t="s">
        <v>107</v>
      </c>
      <c r="AA201" s="85" t="s">
        <v>107</v>
      </c>
      <c r="AB201" s="85" t="s">
        <v>107</v>
      </c>
      <c r="AC201" s="85" t="s">
        <v>107</v>
      </c>
      <c r="AD201" s="85" t="s">
        <v>107</v>
      </c>
      <c r="AE201" s="85" t="s">
        <v>107</v>
      </c>
      <c r="AF201" s="85" t="s">
        <v>107</v>
      </c>
      <c r="AG201" s="86">
        <v>43203</v>
      </c>
      <c r="AH201" s="85" t="s">
        <v>1962</v>
      </c>
      <c r="AI201" s="85" t="s">
        <v>107</v>
      </c>
      <c r="AJ201" s="85" t="s">
        <v>107</v>
      </c>
      <c r="AK201" s="85" t="s">
        <v>107</v>
      </c>
      <c r="AL201" s="85" t="s">
        <v>107</v>
      </c>
      <c r="AM201" s="85" t="s">
        <v>107</v>
      </c>
      <c r="AN201" s="86">
        <v>43375</v>
      </c>
      <c r="AO201" s="85"/>
      <c r="AP201" s="86">
        <v>43200</v>
      </c>
      <c r="AQ201" s="86">
        <v>43200</v>
      </c>
      <c r="AR201" s="86">
        <v>43200</v>
      </c>
      <c r="AS201" s="86">
        <v>43200</v>
      </c>
      <c r="AT201" s="86">
        <v>43200</v>
      </c>
      <c r="AU201" s="86" t="s">
        <v>107</v>
      </c>
      <c r="AV201" s="86">
        <v>43200</v>
      </c>
      <c r="AW201" s="86">
        <v>43200</v>
      </c>
    </row>
    <row r="202" spans="1:49" x14ac:dyDescent="0.2">
      <c r="A202" s="85" t="s">
        <v>726</v>
      </c>
      <c r="B202" s="85" t="s">
        <v>727</v>
      </c>
      <c r="C202" s="85" t="s">
        <v>728</v>
      </c>
      <c r="D202" s="85" t="s">
        <v>729</v>
      </c>
      <c r="E202" s="85" t="s">
        <v>149</v>
      </c>
      <c r="F202" s="85" t="s">
        <v>122</v>
      </c>
      <c r="G202" s="85" t="s">
        <v>4</v>
      </c>
      <c r="H202" s="85" t="s">
        <v>8</v>
      </c>
      <c r="I202" s="86">
        <v>43475</v>
      </c>
      <c r="J202" s="86">
        <v>43507</v>
      </c>
      <c r="K202" s="86">
        <v>43167</v>
      </c>
      <c r="L202" s="85" t="s">
        <v>99</v>
      </c>
      <c r="M202" s="86">
        <v>42648</v>
      </c>
      <c r="N202" s="85" t="s">
        <v>107</v>
      </c>
      <c r="O202" s="86">
        <v>43167</v>
      </c>
      <c r="P202" s="86">
        <v>43172</v>
      </c>
      <c r="Q202" s="86">
        <v>43532</v>
      </c>
      <c r="R202" s="85" t="s">
        <v>1652</v>
      </c>
      <c r="S202" s="86">
        <v>43497</v>
      </c>
      <c r="T202" s="85" t="s">
        <v>1652</v>
      </c>
      <c r="U202" s="86">
        <v>43433</v>
      </c>
      <c r="V202" s="86">
        <v>43616</v>
      </c>
      <c r="W202" s="85" t="s">
        <v>1657</v>
      </c>
      <c r="X202" s="85" t="s">
        <v>114</v>
      </c>
      <c r="Y202" s="85">
        <v>1</v>
      </c>
      <c r="Z202" s="85" t="s">
        <v>114</v>
      </c>
      <c r="AA202" s="85"/>
      <c r="AB202" s="85" t="s">
        <v>114</v>
      </c>
      <c r="AC202" s="85" t="s">
        <v>114</v>
      </c>
      <c r="AD202" s="85" t="s">
        <v>114</v>
      </c>
      <c r="AE202" s="85"/>
      <c r="AF202" s="85"/>
      <c r="AG202" s="86">
        <v>43297</v>
      </c>
      <c r="AH202" s="85" t="s">
        <v>107</v>
      </c>
      <c r="AI202" s="86">
        <v>42633</v>
      </c>
      <c r="AJ202" s="86">
        <v>43177</v>
      </c>
      <c r="AK202" s="86">
        <v>43167</v>
      </c>
      <c r="AL202" s="85" t="s">
        <v>107</v>
      </c>
      <c r="AM202" s="85" t="s">
        <v>107</v>
      </c>
      <c r="AN202" s="86">
        <v>43502</v>
      </c>
      <c r="AO202" s="86">
        <v>43209</v>
      </c>
      <c r="AP202" s="86">
        <v>43502</v>
      </c>
      <c r="AQ202" s="86">
        <v>42670</v>
      </c>
      <c r="AR202" s="86">
        <v>43502</v>
      </c>
      <c r="AS202" s="86">
        <v>43502</v>
      </c>
      <c r="AT202" s="86">
        <v>43502</v>
      </c>
      <c r="AU202" s="86">
        <v>43502</v>
      </c>
      <c r="AV202" s="86">
        <v>43502</v>
      </c>
      <c r="AW202" s="86">
        <v>43502</v>
      </c>
    </row>
    <row r="203" spans="1:49" x14ac:dyDescent="0.2">
      <c r="A203" s="85" t="s">
        <v>730</v>
      </c>
      <c r="B203" s="85" t="s">
        <v>731</v>
      </c>
      <c r="C203" s="85" t="s">
        <v>732</v>
      </c>
      <c r="D203" s="85" t="s">
        <v>733</v>
      </c>
      <c r="E203" s="85" t="s">
        <v>231</v>
      </c>
      <c r="F203" s="85" t="s">
        <v>144</v>
      </c>
      <c r="G203" s="85" t="s">
        <v>4</v>
      </c>
      <c r="H203" s="85" t="s">
        <v>18</v>
      </c>
      <c r="I203" s="86">
        <v>43451</v>
      </c>
      <c r="J203" s="86">
        <v>43195</v>
      </c>
      <c r="K203" s="86">
        <v>43199</v>
      </c>
      <c r="L203" s="85" t="s">
        <v>99</v>
      </c>
      <c r="M203" s="86">
        <v>42878</v>
      </c>
      <c r="N203" s="85" t="s">
        <v>107</v>
      </c>
      <c r="O203" s="86">
        <v>43199</v>
      </c>
      <c r="P203" s="86">
        <v>43298</v>
      </c>
      <c r="Q203" s="86">
        <v>43564</v>
      </c>
      <c r="R203" s="85" t="s">
        <v>1652</v>
      </c>
      <c r="S203" s="86">
        <v>45047</v>
      </c>
      <c r="T203" s="85" t="s">
        <v>1652</v>
      </c>
      <c r="U203" s="86">
        <v>43328</v>
      </c>
      <c r="V203" s="86">
        <v>43524</v>
      </c>
      <c r="W203" s="85" t="s">
        <v>1655</v>
      </c>
      <c r="X203" s="85" t="s">
        <v>114</v>
      </c>
      <c r="Y203" s="85">
        <v>1</v>
      </c>
      <c r="Z203" s="85" t="s">
        <v>114</v>
      </c>
      <c r="AA203" s="85"/>
      <c r="AB203" s="85" t="s">
        <v>114</v>
      </c>
      <c r="AC203" s="85" t="s">
        <v>114</v>
      </c>
      <c r="AD203" s="85" t="s">
        <v>114</v>
      </c>
      <c r="AE203" s="85"/>
      <c r="AF203" s="85"/>
      <c r="AG203" s="86">
        <v>43195</v>
      </c>
      <c r="AH203" s="85" t="s">
        <v>107</v>
      </c>
      <c r="AI203" s="86">
        <v>42231</v>
      </c>
      <c r="AJ203" s="86">
        <v>43172</v>
      </c>
      <c r="AK203" s="86">
        <v>43195</v>
      </c>
      <c r="AL203" s="86">
        <v>42115</v>
      </c>
      <c r="AM203" s="86">
        <v>42115</v>
      </c>
      <c r="AN203" s="86">
        <v>43375</v>
      </c>
      <c r="AO203" s="86">
        <v>43207</v>
      </c>
      <c r="AP203" s="86">
        <v>43158</v>
      </c>
      <c r="AQ203" s="86">
        <v>43158</v>
      </c>
      <c r="AR203" s="86">
        <v>43158</v>
      </c>
      <c r="AS203" s="86">
        <v>43158</v>
      </c>
      <c r="AT203" s="86">
        <v>43158</v>
      </c>
      <c r="AU203" s="86">
        <v>43158</v>
      </c>
      <c r="AV203" s="86">
        <v>43158</v>
      </c>
      <c r="AW203" s="86">
        <v>43158</v>
      </c>
    </row>
    <row r="204" spans="1:49" x14ac:dyDescent="0.2">
      <c r="A204" s="85" t="s">
        <v>734</v>
      </c>
      <c r="B204" s="85" t="s">
        <v>735</v>
      </c>
      <c r="C204" s="85" t="s">
        <v>736</v>
      </c>
      <c r="D204" s="85" t="s">
        <v>191</v>
      </c>
      <c r="E204" s="85" t="s">
        <v>121</v>
      </c>
      <c r="F204" s="85" t="s">
        <v>106</v>
      </c>
      <c r="G204" s="85" t="s">
        <v>4</v>
      </c>
      <c r="H204" s="85" t="s">
        <v>5</v>
      </c>
      <c r="I204" s="85" t="s">
        <v>107</v>
      </c>
      <c r="J204" s="86">
        <v>43226</v>
      </c>
      <c r="K204" s="86">
        <v>43226</v>
      </c>
      <c r="L204" s="85" t="s">
        <v>107</v>
      </c>
      <c r="M204" s="85" t="s">
        <v>107</v>
      </c>
      <c r="N204" s="85" t="s">
        <v>107</v>
      </c>
      <c r="O204" s="85" t="s">
        <v>107</v>
      </c>
      <c r="P204" s="85" t="s">
        <v>107</v>
      </c>
      <c r="Q204" s="86">
        <v>43550</v>
      </c>
      <c r="R204" s="85" t="s">
        <v>107</v>
      </c>
      <c r="S204" s="85" t="s">
        <v>107</v>
      </c>
      <c r="T204" s="85" t="s">
        <v>107</v>
      </c>
      <c r="U204" s="85" t="s">
        <v>107</v>
      </c>
      <c r="V204" s="85" t="s">
        <v>107</v>
      </c>
      <c r="W204" s="85" t="s">
        <v>107</v>
      </c>
      <c r="X204" s="85" t="s">
        <v>107</v>
      </c>
      <c r="Y204" s="85" t="s">
        <v>107</v>
      </c>
      <c r="Z204" s="85" t="s">
        <v>107</v>
      </c>
      <c r="AA204" s="85" t="s">
        <v>107</v>
      </c>
      <c r="AB204" s="85" t="s">
        <v>107</v>
      </c>
      <c r="AC204" s="85" t="s">
        <v>107</v>
      </c>
      <c r="AD204" s="85" t="s">
        <v>107</v>
      </c>
      <c r="AE204" s="85" t="s">
        <v>107</v>
      </c>
      <c r="AF204" s="85" t="s">
        <v>107</v>
      </c>
      <c r="AG204" s="86">
        <v>43175</v>
      </c>
      <c r="AH204" s="85" t="s">
        <v>107</v>
      </c>
      <c r="AI204" s="85" t="s">
        <v>107</v>
      </c>
      <c r="AJ204" s="85" t="s">
        <v>107</v>
      </c>
      <c r="AK204" s="85" t="s">
        <v>107</v>
      </c>
      <c r="AL204" s="85" t="s">
        <v>107</v>
      </c>
      <c r="AM204" s="85" t="s">
        <v>107</v>
      </c>
      <c r="AN204" s="86">
        <v>43375</v>
      </c>
      <c r="AO204" s="86">
        <v>43207</v>
      </c>
      <c r="AP204" s="86">
        <v>43046</v>
      </c>
      <c r="AQ204" s="86">
        <v>41533</v>
      </c>
      <c r="AR204" s="86">
        <v>43273</v>
      </c>
      <c r="AS204" s="86">
        <v>43273</v>
      </c>
      <c r="AT204" s="86">
        <v>43127</v>
      </c>
      <c r="AU204" s="85" t="s">
        <v>107</v>
      </c>
      <c r="AV204" s="86">
        <v>43273</v>
      </c>
      <c r="AW204" s="86">
        <v>43121</v>
      </c>
    </row>
    <row r="205" spans="1:49" x14ac:dyDescent="0.2">
      <c r="A205" s="85" t="s">
        <v>737</v>
      </c>
      <c r="B205" s="85" t="s">
        <v>738</v>
      </c>
      <c r="C205" s="85" t="s">
        <v>739</v>
      </c>
      <c r="D205" s="85" t="s">
        <v>740</v>
      </c>
      <c r="E205" s="85" t="s">
        <v>231</v>
      </c>
      <c r="F205" s="85" t="s">
        <v>113</v>
      </c>
      <c r="G205" s="85" t="s">
        <v>4</v>
      </c>
      <c r="H205" s="85" t="s">
        <v>12</v>
      </c>
      <c r="I205" s="86">
        <v>43451</v>
      </c>
      <c r="J205" s="86">
        <v>43249</v>
      </c>
      <c r="K205" s="86">
        <v>43456</v>
      </c>
      <c r="L205" s="85" t="s">
        <v>99</v>
      </c>
      <c r="M205" s="86">
        <v>42925</v>
      </c>
      <c r="N205" s="85" t="s">
        <v>107</v>
      </c>
      <c r="O205" s="86">
        <v>43482</v>
      </c>
      <c r="P205" s="86">
        <v>43263</v>
      </c>
      <c r="Q205" s="86">
        <v>365</v>
      </c>
      <c r="R205" s="85" t="s">
        <v>1652</v>
      </c>
      <c r="S205" s="86">
        <v>44105</v>
      </c>
      <c r="T205" s="85" t="s">
        <v>1652</v>
      </c>
      <c r="U205" s="86">
        <v>43180</v>
      </c>
      <c r="V205" s="86">
        <v>43555</v>
      </c>
      <c r="W205" s="85" t="s">
        <v>1653</v>
      </c>
      <c r="X205" s="85" t="s">
        <v>114</v>
      </c>
      <c r="Y205" s="85">
        <v>1</v>
      </c>
      <c r="Z205" s="85" t="s">
        <v>211</v>
      </c>
      <c r="AA205" s="85"/>
      <c r="AB205" s="85" t="s">
        <v>114</v>
      </c>
      <c r="AC205" s="85" t="s">
        <v>114</v>
      </c>
      <c r="AD205" s="85" t="s">
        <v>211</v>
      </c>
      <c r="AE205" s="85" t="s">
        <v>1661</v>
      </c>
      <c r="AF205" s="86">
        <v>43586</v>
      </c>
      <c r="AG205" s="86">
        <v>43272</v>
      </c>
      <c r="AH205" s="85" t="s">
        <v>107</v>
      </c>
      <c r="AI205" s="86">
        <v>43396</v>
      </c>
      <c r="AJ205" s="86">
        <v>43396</v>
      </c>
      <c r="AK205" s="86">
        <v>42029</v>
      </c>
      <c r="AL205" s="85" t="s">
        <v>107</v>
      </c>
      <c r="AM205" s="85" t="s">
        <v>107</v>
      </c>
      <c r="AN205" s="86">
        <v>43480</v>
      </c>
      <c r="AO205" s="86">
        <v>43256</v>
      </c>
      <c r="AP205" s="86">
        <v>43480</v>
      </c>
      <c r="AQ205" s="86">
        <v>43256</v>
      </c>
      <c r="AR205" s="86">
        <v>43480</v>
      </c>
      <c r="AS205" s="86">
        <v>43480</v>
      </c>
      <c r="AT205" s="86">
        <v>43480</v>
      </c>
      <c r="AU205" s="86">
        <v>43480</v>
      </c>
      <c r="AV205" s="86">
        <v>43480</v>
      </c>
      <c r="AW205" s="86">
        <v>43480</v>
      </c>
    </row>
    <row r="206" spans="1:49" x14ac:dyDescent="0.2">
      <c r="A206" s="85" t="s">
        <v>741</v>
      </c>
      <c r="B206" s="85" t="s">
        <v>742</v>
      </c>
      <c r="C206" s="85" t="s">
        <v>743</v>
      </c>
      <c r="D206" s="85" t="s">
        <v>744</v>
      </c>
      <c r="E206" s="85" t="s">
        <v>141</v>
      </c>
      <c r="F206" s="85" t="s">
        <v>100</v>
      </c>
      <c r="G206" s="85" t="s">
        <v>4</v>
      </c>
      <c r="H206" s="85" t="s">
        <v>5</v>
      </c>
      <c r="I206" s="86">
        <v>43379</v>
      </c>
      <c r="J206" s="86">
        <v>43407</v>
      </c>
      <c r="K206" s="86">
        <v>43407</v>
      </c>
      <c r="L206" s="85" t="s">
        <v>99</v>
      </c>
      <c r="M206" s="86">
        <v>43254</v>
      </c>
      <c r="N206" s="86">
        <v>43319</v>
      </c>
      <c r="O206" s="86">
        <v>43167</v>
      </c>
      <c r="P206" s="86">
        <v>43305</v>
      </c>
      <c r="Q206" s="86">
        <v>43532</v>
      </c>
      <c r="R206" s="85" t="s">
        <v>1652</v>
      </c>
      <c r="S206" s="86">
        <v>43922</v>
      </c>
      <c r="T206" s="85" t="s">
        <v>1652</v>
      </c>
      <c r="U206" s="85" t="s">
        <v>107</v>
      </c>
      <c r="V206" s="85" t="s">
        <v>107</v>
      </c>
      <c r="W206" s="85" t="s">
        <v>107</v>
      </c>
      <c r="X206" s="85" t="s">
        <v>107</v>
      </c>
      <c r="Y206" s="85" t="s">
        <v>107</v>
      </c>
      <c r="Z206" s="85" t="s">
        <v>107</v>
      </c>
      <c r="AA206" s="85" t="s">
        <v>107</v>
      </c>
      <c r="AB206" s="85" t="s">
        <v>107</v>
      </c>
      <c r="AC206" s="85" t="s">
        <v>107</v>
      </c>
      <c r="AD206" s="85" t="s">
        <v>107</v>
      </c>
      <c r="AE206" s="85" t="s">
        <v>107</v>
      </c>
      <c r="AF206" s="85" t="s">
        <v>107</v>
      </c>
      <c r="AG206" s="86">
        <v>43405</v>
      </c>
      <c r="AH206" s="85" t="s">
        <v>107</v>
      </c>
      <c r="AI206" s="85" t="s">
        <v>107</v>
      </c>
      <c r="AJ206" s="85" t="s">
        <v>107</v>
      </c>
      <c r="AK206" s="86">
        <v>43167</v>
      </c>
      <c r="AL206" s="85" t="s">
        <v>107</v>
      </c>
      <c r="AM206" s="85" t="s">
        <v>107</v>
      </c>
      <c r="AN206" s="86">
        <v>43405</v>
      </c>
      <c r="AO206" s="86">
        <v>43207</v>
      </c>
      <c r="AP206" s="86">
        <v>43160</v>
      </c>
      <c r="AQ206" s="86">
        <v>42297</v>
      </c>
      <c r="AR206" s="86">
        <v>43160</v>
      </c>
      <c r="AS206" s="86">
        <v>43405</v>
      </c>
      <c r="AT206" s="86">
        <v>43160</v>
      </c>
      <c r="AU206" s="86">
        <v>43160</v>
      </c>
      <c r="AV206" s="86">
        <v>43160</v>
      </c>
      <c r="AW206" s="86">
        <v>43160</v>
      </c>
    </row>
    <row r="207" spans="1:49" x14ac:dyDescent="0.2">
      <c r="A207" s="85" t="s">
        <v>745</v>
      </c>
      <c r="B207" s="85" t="s">
        <v>746</v>
      </c>
      <c r="C207" s="85" t="s">
        <v>747</v>
      </c>
      <c r="D207" s="85" t="s">
        <v>748</v>
      </c>
      <c r="E207" s="85" t="s">
        <v>158</v>
      </c>
      <c r="F207" s="85" t="s">
        <v>100</v>
      </c>
      <c r="G207" s="85" t="s">
        <v>4</v>
      </c>
      <c r="H207" s="85" t="s">
        <v>6</v>
      </c>
      <c r="I207" s="86">
        <v>43391</v>
      </c>
      <c r="J207" s="86">
        <v>43479</v>
      </c>
      <c r="K207" s="86">
        <v>43479</v>
      </c>
      <c r="L207" s="85" t="s">
        <v>99</v>
      </c>
      <c r="M207" s="86">
        <v>43026</v>
      </c>
      <c r="N207" s="86">
        <v>43452</v>
      </c>
      <c r="O207" s="86">
        <v>42753</v>
      </c>
      <c r="P207" s="86">
        <v>43243</v>
      </c>
      <c r="Q207" s="86">
        <v>43391</v>
      </c>
      <c r="R207" s="85" t="s">
        <v>1652</v>
      </c>
      <c r="S207" s="86">
        <v>44136</v>
      </c>
      <c r="T207" s="85" t="s">
        <v>1652</v>
      </c>
      <c r="U207" s="85" t="s">
        <v>107</v>
      </c>
      <c r="V207" s="85" t="s">
        <v>107</v>
      </c>
      <c r="W207" s="85" t="s">
        <v>107</v>
      </c>
      <c r="X207" s="85" t="s">
        <v>107</v>
      </c>
      <c r="Y207" s="85" t="s">
        <v>107</v>
      </c>
      <c r="Z207" s="85" t="s">
        <v>107</v>
      </c>
      <c r="AA207" s="85" t="s">
        <v>107</v>
      </c>
      <c r="AB207" s="85" t="s">
        <v>107</v>
      </c>
      <c r="AC207" s="85" t="s">
        <v>107</v>
      </c>
      <c r="AD207" s="85" t="s">
        <v>107</v>
      </c>
      <c r="AE207" s="85" t="s">
        <v>107</v>
      </c>
      <c r="AF207" s="85" t="s">
        <v>107</v>
      </c>
      <c r="AG207" s="86">
        <v>43262</v>
      </c>
      <c r="AH207" s="85" t="s">
        <v>107</v>
      </c>
      <c r="AI207" s="85" t="s">
        <v>107</v>
      </c>
      <c r="AJ207" s="85" t="s">
        <v>107</v>
      </c>
      <c r="AK207" s="86">
        <v>42067</v>
      </c>
      <c r="AL207" s="85" t="s">
        <v>107</v>
      </c>
      <c r="AM207" s="85" t="s">
        <v>107</v>
      </c>
      <c r="AN207" s="86">
        <v>43432</v>
      </c>
      <c r="AO207" s="86">
        <v>43207</v>
      </c>
      <c r="AP207" s="86">
        <v>43432</v>
      </c>
      <c r="AQ207" s="86">
        <v>41638</v>
      </c>
      <c r="AR207" s="86">
        <v>43432</v>
      </c>
      <c r="AS207" s="86">
        <v>43432</v>
      </c>
      <c r="AT207" s="86">
        <v>43432</v>
      </c>
      <c r="AU207" s="86">
        <v>43432</v>
      </c>
      <c r="AV207" s="86">
        <v>43432</v>
      </c>
      <c r="AW207" s="86">
        <v>43432</v>
      </c>
    </row>
    <row r="208" spans="1:49" x14ac:dyDescent="0.2">
      <c r="A208" s="85" t="s">
        <v>749</v>
      </c>
      <c r="B208" s="85" t="s">
        <v>750</v>
      </c>
      <c r="C208" s="85" t="s">
        <v>751</v>
      </c>
      <c r="D208" s="85" t="s">
        <v>623</v>
      </c>
      <c r="E208" s="85" t="s">
        <v>149</v>
      </c>
      <c r="F208" s="85" t="s">
        <v>144</v>
      </c>
      <c r="G208" s="85" t="s">
        <v>4</v>
      </c>
      <c r="H208" s="85" t="s">
        <v>9</v>
      </c>
      <c r="I208" s="86">
        <v>43430</v>
      </c>
      <c r="J208" s="86">
        <v>43199</v>
      </c>
      <c r="K208" s="86">
        <v>43315</v>
      </c>
      <c r="L208" s="85" t="s">
        <v>99</v>
      </c>
      <c r="M208" s="86">
        <v>42967</v>
      </c>
      <c r="N208" s="85" t="s">
        <v>107</v>
      </c>
      <c r="O208" s="86">
        <v>43315</v>
      </c>
      <c r="P208" s="86">
        <v>43299</v>
      </c>
      <c r="Q208" s="86">
        <v>43564</v>
      </c>
      <c r="R208" s="85" t="s">
        <v>1652</v>
      </c>
      <c r="S208" s="86">
        <v>43678</v>
      </c>
      <c r="T208" s="85" t="s">
        <v>1652</v>
      </c>
      <c r="U208" s="86">
        <v>43396</v>
      </c>
      <c r="V208" s="86">
        <v>43585</v>
      </c>
      <c r="W208" s="85" t="s">
        <v>1655</v>
      </c>
      <c r="X208" s="85" t="s">
        <v>114</v>
      </c>
      <c r="Y208" s="85">
        <v>1</v>
      </c>
      <c r="Z208" s="85" t="s">
        <v>114</v>
      </c>
      <c r="AA208" s="85"/>
      <c r="AB208" s="85" t="s">
        <v>114</v>
      </c>
      <c r="AC208" s="85" t="s">
        <v>114</v>
      </c>
      <c r="AD208" s="85" t="s">
        <v>114</v>
      </c>
      <c r="AE208" s="85"/>
      <c r="AF208" s="85"/>
      <c r="AG208" s="86">
        <v>43503</v>
      </c>
      <c r="AH208" s="85" t="s">
        <v>107</v>
      </c>
      <c r="AI208" s="86">
        <v>41448</v>
      </c>
      <c r="AJ208" s="86">
        <v>43173</v>
      </c>
      <c r="AK208" s="86">
        <v>42063</v>
      </c>
      <c r="AL208" s="85" t="s">
        <v>107</v>
      </c>
      <c r="AM208" s="85" t="s">
        <v>107</v>
      </c>
      <c r="AN208" s="86">
        <v>43375</v>
      </c>
      <c r="AO208" s="86">
        <v>43207</v>
      </c>
      <c r="AP208" s="86">
        <v>43069</v>
      </c>
      <c r="AQ208" s="86">
        <v>41639</v>
      </c>
      <c r="AR208" s="86">
        <v>43118</v>
      </c>
      <c r="AS208" s="86">
        <v>43132</v>
      </c>
      <c r="AT208" s="86">
        <v>43118</v>
      </c>
      <c r="AU208" s="86">
        <v>43118</v>
      </c>
      <c r="AV208" s="86">
        <v>43118</v>
      </c>
      <c r="AW208" s="86">
        <v>43118</v>
      </c>
    </row>
    <row r="209" spans="1:49" x14ac:dyDescent="0.2">
      <c r="A209" s="85" t="s">
        <v>752</v>
      </c>
      <c r="B209" s="85" t="s">
        <v>753</v>
      </c>
      <c r="C209" s="85" t="s">
        <v>754</v>
      </c>
      <c r="D209" s="85" t="s">
        <v>755</v>
      </c>
      <c r="E209" s="85" t="s">
        <v>149</v>
      </c>
      <c r="F209" s="85" t="s">
        <v>113</v>
      </c>
      <c r="G209" s="85" t="s">
        <v>4</v>
      </c>
      <c r="H209" s="85" t="s">
        <v>12</v>
      </c>
      <c r="I209" s="86">
        <v>43372</v>
      </c>
      <c r="J209" s="86">
        <v>43499</v>
      </c>
      <c r="K209" s="86">
        <v>43125</v>
      </c>
      <c r="L209" s="85" t="s">
        <v>99</v>
      </c>
      <c r="M209" s="86">
        <v>42744</v>
      </c>
      <c r="N209" s="85" t="s">
        <v>107</v>
      </c>
      <c r="O209" s="86">
        <v>43125</v>
      </c>
      <c r="P209" s="86">
        <v>43213</v>
      </c>
      <c r="Q209" s="86">
        <v>43490</v>
      </c>
      <c r="R209" s="85" t="s">
        <v>1652</v>
      </c>
      <c r="S209" s="86">
        <v>43678</v>
      </c>
      <c r="T209" s="85" t="s">
        <v>1652</v>
      </c>
      <c r="U209" s="86">
        <v>43471</v>
      </c>
      <c r="V209" s="86">
        <v>43677</v>
      </c>
      <c r="W209" s="85" t="s">
        <v>1655</v>
      </c>
      <c r="X209" s="85" t="s">
        <v>114</v>
      </c>
      <c r="Y209" s="85">
        <v>1</v>
      </c>
      <c r="Z209" s="85" t="s">
        <v>114</v>
      </c>
      <c r="AA209" s="85"/>
      <c r="AB209" s="85" t="s">
        <v>211</v>
      </c>
      <c r="AC209" s="85" t="s">
        <v>114</v>
      </c>
      <c r="AD209" s="85" t="s">
        <v>211</v>
      </c>
      <c r="AE209" s="85" t="s">
        <v>1656</v>
      </c>
      <c r="AF209" s="86">
        <v>43544</v>
      </c>
      <c r="AG209" s="86">
        <v>43227</v>
      </c>
      <c r="AH209" s="85" t="s">
        <v>107</v>
      </c>
      <c r="AI209" s="86">
        <v>42730</v>
      </c>
      <c r="AJ209" s="86">
        <v>43219</v>
      </c>
      <c r="AK209" s="86">
        <v>43125</v>
      </c>
      <c r="AL209" s="85" t="s">
        <v>107</v>
      </c>
      <c r="AM209" s="85" t="s">
        <v>107</v>
      </c>
      <c r="AN209" s="86">
        <v>43480</v>
      </c>
      <c r="AO209" s="86">
        <v>43213</v>
      </c>
      <c r="AP209" s="86">
        <v>43480</v>
      </c>
      <c r="AQ209" s="86">
        <v>42738</v>
      </c>
      <c r="AR209" s="86">
        <v>43480</v>
      </c>
      <c r="AS209" s="86">
        <v>43480</v>
      </c>
      <c r="AT209" s="86">
        <v>43480</v>
      </c>
      <c r="AU209" s="86">
        <v>43480</v>
      </c>
      <c r="AV209" s="86">
        <v>43480</v>
      </c>
      <c r="AW209" s="86">
        <v>43480</v>
      </c>
    </row>
    <row r="210" spans="1:49" x14ac:dyDescent="0.2">
      <c r="A210" s="85" t="s">
        <v>757</v>
      </c>
      <c r="B210" s="85" t="s">
        <v>758</v>
      </c>
      <c r="C210" s="85" t="s">
        <v>756</v>
      </c>
      <c r="D210" s="85" t="s">
        <v>759</v>
      </c>
      <c r="E210" s="85" t="s">
        <v>149</v>
      </c>
      <c r="F210" s="85" t="s">
        <v>100</v>
      </c>
      <c r="G210" s="85" t="s">
        <v>4</v>
      </c>
      <c r="H210" s="85" t="s">
        <v>5</v>
      </c>
      <c r="I210" s="86">
        <v>43505</v>
      </c>
      <c r="J210" s="86">
        <v>43319</v>
      </c>
      <c r="K210" s="86">
        <v>43505</v>
      </c>
      <c r="L210" s="85" t="s">
        <v>99</v>
      </c>
      <c r="M210" s="86">
        <v>43227</v>
      </c>
      <c r="N210" s="86">
        <v>43227</v>
      </c>
      <c r="O210" s="86">
        <v>43406</v>
      </c>
      <c r="P210" s="86">
        <v>43377</v>
      </c>
      <c r="Q210" s="86">
        <v>43385</v>
      </c>
      <c r="R210" s="85" t="s">
        <v>1652</v>
      </c>
      <c r="S210" s="86">
        <v>43891</v>
      </c>
      <c r="T210" s="85" t="s">
        <v>1652</v>
      </c>
      <c r="U210" s="85" t="s">
        <v>107</v>
      </c>
      <c r="V210" s="85" t="s">
        <v>107</v>
      </c>
      <c r="W210" s="85" t="s">
        <v>107</v>
      </c>
      <c r="X210" s="85" t="s">
        <v>107</v>
      </c>
      <c r="Y210" s="85" t="s">
        <v>107</v>
      </c>
      <c r="Z210" s="85" t="s">
        <v>107</v>
      </c>
      <c r="AA210" s="85" t="s">
        <v>107</v>
      </c>
      <c r="AB210" s="85" t="s">
        <v>107</v>
      </c>
      <c r="AC210" s="85" t="s">
        <v>107</v>
      </c>
      <c r="AD210" s="85" t="s">
        <v>107</v>
      </c>
      <c r="AE210" s="85" t="s">
        <v>107</v>
      </c>
      <c r="AF210" s="85" t="s">
        <v>107</v>
      </c>
      <c r="AG210" s="86">
        <v>43409</v>
      </c>
      <c r="AH210" s="85" t="s">
        <v>1963</v>
      </c>
      <c r="AI210" s="85" t="s">
        <v>107</v>
      </c>
      <c r="AJ210" s="85" t="s">
        <v>107</v>
      </c>
      <c r="AK210" s="86">
        <v>42061</v>
      </c>
      <c r="AL210" s="85" t="s">
        <v>107</v>
      </c>
      <c r="AM210" s="85" t="s">
        <v>107</v>
      </c>
      <c r="AN210" s="86">
        <v>43375</v>
      </c>
      <c r="AO210" s="86">
        <v>43206</v>
      </c>
      <c r="AP210" s="86">
        <v>43047</v>
      </c>
      <c r="AQ210" s="86">
        <v>43439</v>
      </c>
      <c r="AR210" s="86">
        <v>43439</v>
      </c>
      <c r="AS210" s="86">
        <v>43439</v>
      </c>
      <c r="AT210" s="86">
        <v>43439</v>
      </c>
      <c r="AU210" s="86">
        <v>43439</v>
      </c>
      <c r="AV210" s="86">
        <v>43439</v>
      </c>
      <c r="AW210" s="86">
        <v>43439</v>
      </c>
    </row>
    <row r="211" spans="1:49" x14ac:dyDescent="0.2">
      <c r="A211" s="85" t="s">
        <v>760</v>
      </c>
      <c r="B211" s="85" t="s">
        <v>761</v>
      </c>
      <c r="C211" s="85" t="s">
        <v>762</v>
      </c>
      <c r="D211" s="85" t="s">
        <v>456</v>
      </c>
      <c r="E211" s="85" t="s">
        <v>149</v>
      </c>
      <c r="F211" s="85" t="s">
        <v>100</v>
      </c>
      <c r="G211" s="85" t="s">
        <v>4</v>
      </c>
      <c r="H211" s="85" t="s">
        <v>7</v>
      </c>
      <c r="I211" s="85" t="s">
        <v>59</v>
      </c>
      <c r="J211" s="86">
        <v>43234</v>
      </c>
      <c r="K211" s="86">
        <v>43254</v>
      </c>
      <c r="L211" s="85" t="s">
        <v>99</v>
      </c>
      <c r="M211" s="86">
        <v>43271</v>
      </c>
      <c r="N211" s="86">
        <v>43271</v>
      </c>
      <c r="O211" s="86">
        <v>42708</v>
      </c>
      <c r="P211" s="86">
        <v>43243</v>
      </c>
      <c r="Q211" s="86">
        <v>43127</v>
      </c>
      <c r="R211" s="85" t="s">
        <v>1652</v>
      </c>
      <c r="S211" s="86">
        <v>44166</v>
      </c>
      <c r="T211" s="85" t="s">
        <v>1652</v>
      </c>
      <c r="U211" s="85" t="s">
        <v>107</v>
      </c>
      <c r="V211" s="85" t="s">
        <v>107</v>
      </c>
      <c r="W211" s="85" t="s">
        <v>107</v>
      </c>
      <c r="X211" s="85" t="s">
        <v>107</v>
      </c>
      <c r="Y211" s="85" t="s">
        <v>107</v>
      </c>
      <c r="Z211" s="85" t="s">
        <v>107</v>
      </c>
      <c r="AA211" s="85" t="s">
        <v>107</v>
      </c>
      <c r="AB211" s="85" t="s">
        <v>107</v>
      </c>
      <c r="AC211" s="85" t="s">
        <v>107</v>
      </c>
      <c r="AD211" s="85" t="s">
        <v>107</v>
      </c>
      <c r="AE211" s="85" t="s">
        <v>107</v>
      </c>
      <c r="AF211" s="85" t="s">
        <v>107</v>
      </c>
      <c r="AG211" s="86">
        <v>43194</v>
      </c>
      <c r="AH211" s="85" t="s">
        <v>107</v>
      </c>
      <c r="AI211" s="85" t="s">
        <v>107</v>
      </c>
      <c r="AJ211" s="85" t="s">
        <v>107</v>
      </c>
      <c r="AK211" s="86">
        <v>42138</v>
      </c>
      <c r="AL211" s="85" t="s">
        <v>107</v>
      </c>
      <c r="AM211" s="85" t="s">
        <v>107</v>
      </c>
      <c r="AN211" s="86">
        <v>43398</v>
      </c>
      <c r="AO211" s="86">
        <v>43207</v>
      </c>
      <c r="AP211" s="86">
        <v>43315</v>
      </c>
      <c r="AQ211" s="86">
        <v>43315</v>
      </c>
      <c r="AR211" s="86">
        <v>43315</v>
      </c>
      <c r="AS211" s="86">
        <v>43315</v>
      </c>
      <c r="AT211" s="86">
        <v>43315</v>
      </c>
      <c r="AU211" s="86">
        <v>43315</v>
      </c>
      <c r="AV211" s="86">
        <v>43315</v>
      </c>
      <c r="AW211" s="86">
        <v>43315</v>
      </c>
    </row>
    <row r="212" spans="1:49" x14ac:dyDescent="0.2">
      <c r="A212" s="85" t="s">
        <v>1703</v>
      </c>
      <c r="B212" s="85" t="s">
        <v>1704</v>
      </c>
      <c r="C212" s="85" t="s">
        <v>1705</v>
      </c>
      <c r="D212" s="85" t="s">
        <v>652</v>
      </c>
      <c r="E212" s="85" t="s">
        <v>158</v>
      </c>
      <c r="F212" s="85" t="s">
        <v>106</v>
      </c>
      <c r="G212" s="85" t="s">
        <v>4</v>
      </c>
      <c r="H212" s="85" t="s">
        <v>12</v>
      </c>
      <c r="I212" s="85" t="s">
        <v>107</v>
      </c>
      <c r="J212" s="86">
        <v>43432</v>
      </c>
      <c r="K212" s="86">
        <v>43482</v>
      </c>
      <c r="L212" s="85" t="s">
        <v>107</v>
      </c>
      <c r="M212" s="85" t="s">
        <v>107</v>
      </c>
      <c r="N212" s="85" t="s">
        <v>107</v>
      </c>
      <c r="O212" s="85" t="s">
        <v>107</v>
      </c>
      <c r="P212" s="85" t="s">
        <v>107</v>
      </c>
      <c r="Q212" s="86">
        <v>43847</v>
      </c>
      <c r="R212" s="85" t="s">
        <v>107</v>
      </c>
      <c r="S212" s="85" t="s">
        <v>107</v>
      </c>
      <c r="T212" s="85" t="s">
        <v>107</v>
      </c>
      <c r="U212" s="85" t="s">
        <v>107</v>
      </c>
      <c r="V212" s="85" t="s">
        <v>107</v>
      </c>
      <c r="W212" s="85" t="s">
        <v>107</v>
      </c>
      <c r="X212" s="85" t="s">
        <v>107</v>
      </c>
      <c r="Y212" s="85" t="s">
        <v>107</v>
      </c>
      <c r="Z212" s="85" t="s">
        <v>107</v>
      </c>
      <c r="AA212" s="85" t="s">
        <v>107</v>
      </c>
      <c r="AB212" s="85" t="s">
        <v>107</v>
      </c>
      <c r="AC212" s="85" t="s">
        <v>107</v>
      </c>
      <c r="AD212" s="85" t="s">
        <v>107</v>
      </c>
      <c r="AE212" s="85" t="s">
        <v>107</v>
      </c>
      <c r="AF212" s="85" t="s">
        <v>107</v>
      </c>
      <c r="AG212" s="85" t="s">
        <v>59</v>
      </c>
      <c r="AH212" s="85" t="s">
        <v>107</v>
      </c>
      <c r="AI212" s="85" t="s">
        <v>107</v>
      </c>
      <c r="AJ212" s="85" t="s">
        <v>107</v>
      </c>
      <c r="AK212" s="85" t="s">
        <v>107</v>
      </c>
      <c r="AL212" s="85" t="s">
        <v>107</v>
      </c>
      <c r="AM212" s="85" t="s">
        <v>107</v>
      </c>
      <c r="AN212" s="86">
        <v>43385</v>
      </c>
      <c r="AO212" s="86">
        <v>43385</v>
      </c>
      <c r="AP212" s="86">
        <v>43385</v>
      </c>
      <c r="AQ212" s="86">
        <v>43385</v>
      </c>
      <c r="AR212" s="86">
        <v>43385</v>
      </c>
      <c r="AS212" s="86">
        <v>43385</v>
      </c>
      <c r="AT212" s="86">
        <v>43385</v>
      </c>
      <c r="AU212" s="86" t="s">
        <v>107</v>
      </c>
      <c r="AV212" s="86">
        <v>43385</v>
      </c>
      <c r="AW212" s="86">
        <v>43385</v>
      </c>
    </row>
    <row r="213" spans="1:49" x14ac:dyDescent="0.2">
      <c r="A213" s="85" t="s">
        <v>763</v>
      </c>
      <c r="B213" s="85" t="s">
        <v>764</v>
      </c>
      <c r="C213" s="85" t="s">
        <v>765</v>
      </c>
      <c r="D213" s="85" t="s">
        <v>195</v>
      </c>
      <c r="E213" s="85" t="s">
        <v>291</v>
      </c>
      <c r="F213" s="85" t="s">
        <v>144</v>
      </c>
      <c r="G213" s="85" t="s">
        <v>4</v>
      </c>
      <c r="H213" s="85" t="s">
        <v>12</v>
      </c>
      <c r="I213" s="86">
        <v>43208</v>
      </c>
      <c r="J213" s="86">
        <v>43479</v>
      </c>
      <c r="K213" s="86">
        <v>43311</v>
      </c>
      <c r="L213" s="85" t="s">
        <v>99</v>
      </c>
      <c r="M213" s="86">
        <v>43311</v>
      </c>
      <c r="N213" s="85" t="s">
        <v>107</v>
      </c>
      <c r="O213" s="86">
        <v>43297</v>
      </c>
      <c r="P213" s="86">
        <v>43319</v>
      </c>
      <c r="Q213" s="86">
        <v>43431</v>
      </c>
      <c r="R213" s="85" t="s">
        <v>1652</v>
      </c>
      <c r="S213" s="86">
        <v>43586</v>
      </c>
      <c r="T213" s="85" t="s">
        <v>1652</v>
      </c>
      <c r="U213" s="86">
        <v>43481</v>
      </c>
      <c r="V213" s="86">
        <v>43677</v>
      </c>
      <c r="W213" s="85" t="s">
        <v>1655</v>
      </c>
      <c r="X213" s="85" t="s">
        <v>119</v>
      </c>
      <c r="Y213" s="85">
        <v>4</v>
      </c>
      <c r="Z213" s="85" t="s">
        <v>114</v>
      </c>
      <c r="AA213" s="85"/>
      <c r="AB213" s="85" t="s">
        <v>114</v>
      </c>
      <c r="AC213" s="85" t="s">
        <v>114</v>
      </c>
      <c r="AD213" s="85" t="s">
        <v>119</v>
      </c>
      <c r="AE213" s="85" t="s">
        <v>1964</v>
      </c>
      <c r="AF213" s="85"/>
      <c r="AG213" s="86">
        <v>43431</v>
      </c>
      <c r="AH213" s="85" t="s">
        <v>107</v>
      </c>
      <c r="AI213" s="86">
        <v>43219</v>
      </c>
      <c r="AJ213" s="86">
        <v>43219</v>
      </c>
      <c r="AK213" s="86">
        <v>43038</v>
      </c>
      <c r="AL213" s="85" t="s">
        <v>107</v>
      </c>
      <c r="AM213" s="85" t="s">
        <v>107</v>
      </c>
      <c r="AN213" s="86">
        <v>43480</v>
      </c>
      <c r="AO213" s="86">
        <v>43213</v>
      </c>
      <c r="AP213" s="86">
        <v>43480</v>
      </c>
      <c r="AQ213" s="86">
        <v>43278</v>
      </c>
      <c r="AR213" s="86">
        <v>43480</v>
      </c>
      <c r="AS213" s="86">
        <v>43480</v>
      </c>
      <c r="AT213" s="86">
        <v>43480</v>
      </c>
      <c r="AU213" s="86">
        <v>43480</v>
      </c>
      <c r="AV213" s="86">
        <v>43480</v>
      </c>
      <c r="AW213" s="86">
        <v>43480</v>
      </c>
    </row>
    <row r="214" spans="1:49" x14ac:dyDescent="0.2">
      <c r="A214" s="85" t="s">
        <v>766</v>
      </c>
      <c r="B214" s="85" t="s">
        <v>767</v>
      </c>
      <c r="C214" s="85" t="s">
        <v>768</v>
      </c>
      <c r="D214" s="85" t="s">
        <v>769</v>
      </c>
      <c r="E214" s="85" t="s">
        <v>141</v>
      </c>
      <c r="F214" s="85" t="s">
        <v>144</v>
      </c>
      <c r="G214" s="85" t="s">
        <v>4</v>
      </c>
      <c r="H214" s="85" t="s">
        <v>7</v>
      </c>
      <c r="I214" s="86">
        <v>43464</v>
      </c>
      <c r="J214" s="86">
        <v>43318</v>
      </c>
      <c r="K214" s="86">
        <v>43390</v>
      </c>
      <c r="L214" s="85" t="s">
        <v>99</v>
      </c>
      <c r="M214" s="86">
        <v>42925</v>
      </c>
      <c r="N214" s="85" t="s">
        <v>107</v>
      </c>
      <c r="O214" s="86">
        <v>42728</v>
      </c>
      <c r="P214" s="86">
        <v>43377</v>
      </c>
      <c r="Q214" s="86">
        <v>43738</v>
      </c>
      <c r="R214" s="85" t="s">
        <v>1652</v>
      </c>
      <c r="S214" s="86">
        <v>43678</v>
      </c>
      <c r="T214" s="85" t="s">
        <v>1652</v>
      </c>
      <c r="U214" s="86">
        <v>43402</v>
      </c>
      <c r="V214" s="86">
        <v>43585</v>
      </c>
      <c r="W214" s="85" t="s">
        <v>1655</v>
      </c>
      <c r="X214" s="85" t="s">
        <v>114</v>
      </c>
      <c r="Y214" s="85">
        <v>2</v>
      </c>
      <c r="Z214" s="85" t="s">
        <v>211</v>
      </c>
      <c r="AA214" s="85"/>
      <c r="AB214" s="85" t="s">
        <v>114</v>
      </c>
      <c r="AC214" s="85" t="s">
        <v>114</v>
      </c>
      <c r="AD214" s="85" t="s">
        <v>211</v>
      </c>
      <c r="AE214" s="85" t="s">
        <v>1661</v>
      </c>
      <c r="AF214" s="86">
        <v>43585</v>
      </c>
      <c r="AG214" s="86">
        <v>43238</v>
      </c>
      <c r="AH214" s="85" t="s">
        <v>107</v>
      </c>
      <c r="AI214" s="86">
        <v>43282</v>
      </c>
      <c r="AJ214" s="86">
        <v>43411</v>
      </c>
      <c r="AK214" s="86">
        <v>41472</v>
      </c>
      <c r="AL214" s="85"/>
      <c r="AM214" s="85"/>
      <c r="AN214" s="86">
        <v>43398</v>
      </c>
      <c r="AO214" s="86">
        <v>43370</v>
      </c>
      <c r="AP214" s="86">
        <v>43364</v>
      </c>
      <c r="AQ214" s="86">
        <v>43364</v>
      </c>
      <c r="AR214" s="86">
        <v>43364</v>
      </c>
      <c r="AS214" s="86">
        <v>43364</v>
      </c>
      <c r="AT214" s="86">
        <v>43364</v>
      </c>
      <c r="AU214" s="86">
        <v>43364</v>
      </c>
      <c r="AV214" s="86">
        <v>43364</v>
      </c>
      <c r="AW214" s="86">
        <v>43364</v>
      </c>
    </row>
    <row r="215" spans="1:49" x14ac:dyDescent="0.2">
      <c r="A215" s="85" t="s">
        <v>1874</v>
      </c>
      <c r="B215" s="85" t="s">
        <v>1875</v>
      </c>
      <c r="C215" s="85" t="s">
        <v>1876</v>
      </c>
      <c r="D215" s="85" t="s">
        <v>463</v>
      </c>
      <c r="E215" s="85" t="s">
        <v>141</v>
      </c>
      <c r="F215" s="85" t="s">
        <v>1877</v>
      </c>
      <c r="G215" s="85" t="s">
        <v>4</v>
      </c>
      <c r="H215" s="85" t="s">
        <v>5</v>
      </c>
      <c r="I215" s="85" t="s">
        <v>59</v>
      </c>
      <c r="J215" s="85" t="s">
        <v>59</v>
      </c>
      <c r="K215" s="85" t="s">
        <v>59</v>
      </c>
      <c r="L215" s="85" t="s">
        <v>59</v>
      </c>
      <c r="M215" s="85" t="s">
        <v>59</v>
      </c>
      <c r="N215" s="85" t="s">
        <v>107</v>
      </c>
      <c r="O215" s="85" t="s">
        <v>59</v>
      </c>
      <c r="P215" s="85" t="s">
        <v>59</v>
      </c>
      <c r="Q215" s="85" t="s">
        <v>59</v>
      </c>
      <c r="R215" s="85" t="s">
        <v>1658</v>
      </c>
      <c r="S215" s="85" t="s">
        <v>59</v>
      </c>
      <c r="T215" s="85" t="s">
        <v>59</v>
      </c>
      <c r="U215" s="85" t="s">
        <v>59</v>
      </c>
      <c r="V215" s="85" t="s">
        <v>59</v>
      </c>
      <c r="W215" s="85" t="s">
        <v>59</v>
      </c>
      <c r="X215" s="85" t="s">
        <v>59</v>
      </c>
      <c r="Y215" s="85" t="s">
        <v>59</v>
      </c>
      <c r="Z215" s="85" t="s">
        <v>59</v>
      </c>
      <c r="AA215" s="85" t="s">
        <v>59</v>
      </c>
      <c r="AB215" s="85" t="s">
        <v>59</v>
      </c>
      <c r="AC215" s="85" t="s">
        <v>59</v>
      </c>
      <c r="AD215" s="85" t="s">
        <v>59</v>
      </c>
      <c r="AE215" s="85" t="s">
        <v>59</v>
      </c>
      <c r="AF215" s="85" t="s">
        <v>59</v>
      </c>
      <c r="AG215" s="85" t="s">
        <v>59</v>
      </c>
      <c r="AH215" s="85" t="s">
        <v>107</v>
      </c>
      <c r="AI215" s="85" t="s">
        <v>59</v>
      </c>
      <c r="AJ215" s="85" t="s">
        <v>59</v>
      </c>
      <c r="AK215" s="85" t="s">
        <v>59</v>
      </c>
      <c r="AL215" s="85" t="s">
        <v>107</v>
      </c>
      <c r="AM215" s="85" t="s">
        <v>107</v>
      </c>
      <c r="AN215" s="85" t="s">
        <v>59</v>
      </c>
      <c r="AO215" s="85" t="s">
        <v>59</v>
      </c>
      <c r="AP215" s="85" t="s">
        <v>59</v>
      </c>
      <c r="AQ215" s="85" t="s">
        <v>59</v>
      </c>
      <c r="AR215" s="85" t="s">
        <v>59</v>
      </c>
      <c r="AS215" s="85" t="s">
        <v>59</v>
      </c>
      <c r="AT215" s="85" t="s">
        <v>59</v>
      </c>
      <c r="AU215" s="85" t="s">
        <v>59</v>
      </c>
      <c r="AV215" s="85" t="s">
        <v>59</v>
      </c>
      <c r="AW215" s="85" t="s">
        <v>59</v>
      </c>
    </row>
    <row r="216" spans="1:49" x14ac:dyDescent="0.2">
      <c r="A216" s="85" t="s">
        <v>770</v>
      </c>
      <c r="B216" s="85" t="s">
        <v>771</v>
      </c>
      <c r="C216" s="85" t="s">
        <v>772</v>
      </c>
      <c r="D216" s="85" t="s">
        <v>773</v>
      </c>
      <c r="E216" s="85" t="s">
        <v>149</v>
      </c>
      <c r="F216" s="85" t="s">
        <v>144</v>
      </c>
      <c r="G216" s="85" t="s">
        <v>4</v>
      </c>
      <c r="H216" s="85" t="s">
        <v>7</v>
      </c>
      <c r="I216" s="86">
        <v>43314</v>
      </c>
      <c r="J216" s="86">
        <v>43167</v>
      </c>
      <c r="K216" s="86">
        <v>43164</v>
      </c>
      <c r="L216" s="85" t="s">
        <v>99</v>
      </c>
      <c r="M216" s="86">
        <v>43243</v>
      </c>
      <c r="N216" s="85" t="s">
        <v>107</v>
      </c>
      <c r="O216" s="86">
        <v>43164</v>
      </c>
      <c r="P216" s="86">
        <v>43214</v>
      </c>
      <c r="Q216" s="86">
        <v>43532</v>
      </c>
      <c r="R216" s="85" t="s">
        <v>1652</v>
      </c>
      <c r="S216" s="86">
        <v>43678</v>
      </c>
      <c r="T216" s="85" t="s">
        <v>1652</v>
      </c>
      <c r="U216" s="86">
        <v>43228</v>
      </c>
      <c r="V216" s="86">
        <v>43616</v>
      </c>
      <c r="W216" s="85" t="s">
        <v>1653</v>
      </c>
      <c r="X216" s="85" t="s">
        <v>119</v>
      </c>
      <c r="Y216" s="85">
        <v>1</v>
      </c>
      <c r="Z216" s="85" t="s">
        <v>114</v>
      </c>
      <c r="AA216" s="85"/>
      <c r="AB216" s="85" t="s">
        <v>114</v>
      </c>
      <c r="AC216" s="85" t="s">
        <v>114</v>
      </c>
      <c r="AD216" s="85" t="s">
        <v>119</v>
      </c>
      <c r="AE216" s="85" t="s">
        <v>1721</v>
      </c>
      <c r="AF216" s="85"/>
      <c r="AG216" s="86">
        <v>43515</v>
      </c>
      <c r="AH216" s="85" t="s">
        <v>107</v>
      </c>
      <c r="AI216" s="85"/>
      <c r="AJ216" s="85"/>
      <c r="AK216" s="86">
        <v>43164</v>
      </c>
      <c r="AL216" s="85" t="s">
        <v>107</v>
      </c>
      <c r="AM216" s="85" t="s">
        <v>107</v>
      </c>
      <c r="AN216" s="85"/>
      <c r="AO216" s="86">
        <v>43207</v>
      </c>
      <c r="AP216" s="86">
        <v>43056</v>
      </c>
      <c r="AQ216" s="86">
        <v>43171</v>
      </c>
      <c r="AR216" s="86">
        <v>43171</v>
      </c>
      <c r="AS216" s="86">
        <v>43241</v>
      </c>
      <c r="AT216" s="86">
        <v>43171</v>
      </c>
      <c r="AU216" s="86">
        <v>43171</v>
      </c>
      <c r="AV216" s="86">
        <v>43171</v>
      </c>
      <c r="AW216" s="86">
        <v>43171</v>
      </c>
    </row>
    <row r="217" spans="1:49" x14ac:dyDescent="0.2">
      <c r="A217" s="85" t="s">
        <v>774</v>
      </c>
      <c r="B217" s="85" t="s">
        <v>775</v>
      </c>
      <c r="C217" s="85" t="s">
        <v>772</v>
      </c>
      <c r="D217" s="85" t="s">
        <v>244</v>
      </c>
      <c r="E217" s="85" t="s">
        <v>141</v>
      </c>
      <c r="F217" s="85" t="s">
        <v>106</v>
      </c>
      <c r="G217" s="85" t="s">
        <v>4</v>
      </c>
      <c r="H217" s="85" t="s">
        <v>7</v>
      </c>
      <c r="I217" s="85" t="s">
        <v>107</v>
      </c>
      <c r="J217" s="86">
        <v>43200</v>
      </c>
      <c r="K217" s="86">
        <v>43200</v>
      </c>
      <c r="L217" s="85" t="s">
        <v>107</v>
      </c>
      <c r="M217" s="85" t="s">
        <v>107</v>
      </c>
      <c r="N217" s="85" t="s">
        <v>107</v>
      </c>
      <c r="O217" s="85" t="s">
        <v>107</v>
      </c>
      <c r="P217" s="85" t="s">
        <v>107</v>
      </c>
      <c r="Q217" s="85" t="s">
        <v>59</v>
      </c>
      <c r="R217" s="85" t="s">
        <v>107</v>
      </c>
      <c r="S217" s="85" t="s">
        <v>107</v>
      </c>
      <c r="T217" s="85" t="s">
        <v>107</v>
      </c>
      <c r="U217" s="85" t="s">
        <v>107</v>
      </c>
      <c r="V217" s="85" t="s">
        <v>107</v>
      </c>
      <c r="W217" s="85" t="s">
        <v>107</v>
      </c>
      <c r="X217" s="85" t="s">
        <v>107</v>
      </c>
      <c r="Y217" s="85" t="s">
        <v>107</v>
      </c>
      <c r="Z217" s="85" t="s">
        <v>107</v>
      </c>
      <c r="AA217" s="85" t="s">
        <v>107</v>
      </c>
      <c r="AB217" s="85" t="s">
        <v>107</v>
      </c>
      <c r="AC217" s="85" t="s">
        <v>107</v>
      </c>
      <c r="AD217" s="85" t="s">
        <v>107</v>
      </c>
      <c r="AE217" s="85" t="s">
        <v>107</v>
      </c>
      <c r="AF217" s="85" t="s">
        <v>107</v>
      </c>
      <c r="AG217" s="86">
        <v>43203</v>
      </c>
      <c r="AH217" s="85" t="s">
        <v>107</v>
      </c>
      <c r="AI217" s="85" t="s">
        <v>107</v>
      </c>
      <c r="AJ217" s="85" t="s">
        <v>107</v>
      </c>
      <c r="AK217" s="85" t="s">
        <v>107</v>
      </c>
      <c r="AL217" s="85" t="s">
        <v>107</v>
      </c>
      <c r="AM217" s="85" t="s">
        <v>107</v>
      </c>
      <c r="AN217" s="86">
        <v>43398</v>
      </c>
      <c r="AO217" s="86">
        <v>43355</v>
      </c>
      <c r="AP217" s="86">
        <v>43200</v>
      </c>
      <c r="AQ217" s="86">
        <v>43200</v>
      </c>
      <c r="AR217" s="86">
        <v>43200</v>
      </c>
      <c r="AS217" s="86">
        <v>43200</v>
      </c>
      <c r="AT217" s="86">
        <v>43200</v>
      </c>
      <c r="AU217" s="85" t="s">
        <v>107</v>
      </c>
      <c r="AV217" s="86">
        <v>43200</v>
      </c>
      <c r="AW217" s="86">
        <v>43200</v>
      </c>
    </row>
    <row r="218" spans="1:49" x14ac:dyDescent="0.2">
      <c r="A218" s="85" t="s">
        <v>1965</v>
      </c>
      <c r="B218" s="85" t="s">
        <v>1966</v>
      </c>
      <c r="C218" s="85" t="s">
        <v>1967</v>
      </c>
      <c r="D218" s="85" t="s">
        <v>1968</v>
      </c>
      <c r="E218" s="85" t="s">
        <v>206</v>
      </c>
      <c r="F218" s="85" t="s">
        <v>106</v>
      </c>
      <c r="G218" s="85" t="s">
        <v>4</v>
      </c>
      <c r="H218" s="85" t="s">
        <v>12</v>
      </c>
      <c r="I218" s="85" t="s">
        <v>107</v>
      </c>
      <c r="J218" s="85" t="s">
        <v>59</v>
      </c>
      <c r="K218" s="85" t="s">
        <v>59</v>
      </c>
      <c r="L218" s="85" t="s">
        <v>107</v>
      </c>
      <c r="M218" s="85" t="s">
        <v>107</v>
      </c>
      <c r="N218" s="85" t="s">
        <v>107</v>
      </c>
      <c r="O218" s="85" t="s">
        <v>107</v>
      </c>
      <c r="P218" s="85" t="s">
        <v>107</v>
      </c>
      <c r="Q218" s="85" t="s">
        <v>59</v>
      </c>
      <c r="R218" s="85" t="s">
        <v>107</v>
      </c>
      <c r="S218" s="85" t="s">
        <v>107</v>
      </c>
      <c r="T218" s="85" t="s">
        <v>107</v>
      </c>
      <c r="U218" s="85" t="s">
        <v>107</v>
      </c>
      <c r="V218" s="85" t="s">
        <v>107</v>
      </c>
      <c r="W218" s="85" t="s">
        <v>107</v>
      </c>
      <c r="X218" s="85" t="s">
        <v>107</v>
      </c>
      <c r="Y218" s="85" t="s">
        <v>107</v>
      </c>
      <c r="Z218" s="85" t="s">
        <v>107</v>
      </c>
      <c r="AA218" s="85" t="s">
        <v>107</v>
      </c>
      <c r="AB218" s="85" t="s">
        <v>107</v>
      </c>
      <c r="AC218" s="85" t="s">
        <v>107</v>
      </c>
      <c r="AD218" s="85" t="s">
        <v>107</v>
      </c>
      <c r="AE218" s="85" t="s">
        <v>107</v>
      </c>
      <c r="AF218" s="85" t="s">
        <v>107</v>
      </c>
      <c r="AG218" s="86">
        <v>43517</v>
      </c>
      <c r="AH218" s="85" t="s">
        <v>107</v>
      </c>
      <c r="AI218" s="85" t="s">
        <v>107</v>
      </c>
      <c r="AJ218" s="85" t="s">
        <v>107</v>
      </c>
      <c r="AK218" s="85" t="s">
        <v>107</v>
      </c>
      <c r="AL218" s="85" t="s">
        <v>107</v>
      </c>
      <c r="AM218" s="85" t="s">
        <v>107</v>
      </c>
      <c r="AN218" s="86">
        <v>43516</v>
      </c>
      <c r="AO218" s="86">
        <v>43516</v>
      </c>
      <c r="AP218" s="86">
        <v>43516</v>
      </c>
      <c r="AQ218" s="86">
        <v>43516</v>
      </c>
      <c r="AR218" s="86">
        <v>43516</v>
      </c>
      <c r="AS218" s="86">
        <v>43516</v>
      </c>
      <c r="AT218" s="86">
        <v>43516</v>
      </c>
      <c r="AU218" s="86" t="s">
        <v>107</v>
      </c>
      <c r="AV218" s="86">
        <v>43516</v>
      </c>
      <c r="AW218" s="86">
        <v>43516</v>
      </c>
    </row>
    <row r="219" spans="1:49" x14ac:dyDescent="0.2">
      <c r="A219" s="85" t="s">
        <v>1749</v>
      </c>
      <c r="B219" s="85" t="s">
        <v>1750</v>
      </c>
      <c r="C219" s="85" t="s">
        <v>1751</v>
      </c>
      <c r="D219" s="85" t="s">
        <v>1752</v>
      </c>
      <c r="E219" s="85" t="s">
        <v>119</v>
      </c>
      <c r="F219" s="85" t="s">
        <v>136</v>
      </c>
      <c r="G219" s="85" t="s">
        <v>4</v>
      </c>
      <c r="H219" s="85"/>
      <c r="I219" s="86">
        <v>43362</v>
      </c>
      <c r="J219" s="86">
        <v>43284</v>
      </c>
      <c r="K219" s="86">
        <v>43207</v>
      </c>
      <c r="L219" s="85" t="s">
        <v>99</v>
      </c>
      <c r="M219" s="86">
        <v>43453</v>
      </c>
      <c r="N219" s="85" t="s">
        <v>107</v>
      </c>
      <c r="O219" s="86">
        <v>43509</v>
      </c>
      <c r="P219" s="86">
        <v>43139</v>
      </c>
      <c r="Q219" s="86">
        <v>365</v>
      </c>
      <c r="R219" s="85" t="s">
        <v>1652</v>
      </c>
      <c r="S219" s="86">
        <v>43952</v>
      </c>
      <c r="T219" s="85" t="s">
        <v>1652</v>
      </c>
      <c r="U219" s="86">
        <v>43493</v>
      </c>
      <c r="V219" s="86">
        <v>43677</v>
      </c>
      <c r="W219" s="85" t="s">
        <v>1655</v>
      </c>
      <c r="X219" s="85" t="s">
        <v>211</v>
      </c>
      <c r="Y219" s="85">
        <v>2</v>
      </c>
      <c r="Z219" s="85" t="s">
        <v>114</v>
      </c>
      <c r="AA219" s="85"/>
      <c r="AB219" s="85" t="s">
        <v>114</v>
      </c>
      <c r="AC219" s="85" t="s">
        <v>114</v>
      </c>
      <c r="AD219" s="85" t="s">
        <v>211</v>
      </c>
      <c r="AE219" s="85" t="s">
        <v>1664</v>
      </c>
      <c r="AF219" s="86">
        <v>43593</v>
      </c>
      <c r="AG219" s="86">
        <v>43434</v>
      </c>
      <c r="AH219" s="85" t="s">
        <v>1918</v>
      </c>
      <c r="AI219" s="85"/>
      <c r="AJ219" s="85"/>
      <c r="AK219" s="85"/>
      <c r="AL219" s="86">
        <v>43011</v>
      </c>
      <c r="AM219" s="86">
        <v>43011</v>
      </c>
      <c r="AN219" s="86">
        <v>43433</v>
      </c>
      <c r="AO219" s="86">
        <v>43433</v>
      </c>
      <c r="AP219" s="86">
        <v>43433</v>
      </c>
      <c r="AQ219" s="86">
        <v>43433</v>
      </c>
      <c r="AR219" s="86">
        <v>43433</v>
      </c>
      <c r="AS219" s="86">
        <v>43433</v>
      </c>
      <c r="AT219" s="86">
        <v>43433</v>
      </c>
      <c r="AU219" s="86">
        <v>43433</v>
      </c>
      <c r="AV219" s="86">
        <v>43433</v>
      </c>
      <c r="AW219" s="86">
        <v>43433</v>
      </c>
    </row>
    <row r="220" spans="1:49" x14ac:dyDescent="0.2">
      <c r="A220" s="85" t="s">
        <v>1706</v>
      </c>
      <c r="B220" s="85" t="s">
        <v>1707</v>
      </c>
      <c r="C220" s="85" t="s">
        <v>1708</v>
      </c>
      <c r="D220" s="85" t="s">
        <v>1709</v>
      </c>
      <c r="E220" s="85" t="s">
        <v>126</v>
      </c>
      <c r="F220" s="85" t="s">
        <v>122</v>
      </c>
      <c r="G220" s="85" t="s">
        <v>4</v>
      </c>
      <c r="H220" s="85" t="s">
        <v>12</v>
      </c>
      <c r="I220" s="86">
        <v>43486</v>
      </c>
      <c r="J220" s="85"/>
      <c r="K220" s="85"/>
      <c r="L220" s="85"/>
      <c r="M220" s="85"/>
      <c r="N220" s="85" t="s">
        <v>107</v>
      </c>
      <c r="O220" s="85"/>
      <c r="P220" s="85"/>
      <c r="Q220" s="86">
        <v>365</v>
      </c>
      <c r="R220" s="85" t="s">
        <v>1652</v>
      </c>
      <c r="S220" s="85" t="s">
        <v>59</v>
      </c>
      <c r="T220" s="85" t="s">
        <v>59</v>
      </c>
      <c r="U220" s="86">
        <v>43238</v>
      </c>
      <c r="V220" s="86">
        <v>43616</v>
      </c>
      <c r="W220" s="85" t="s">
        <v>1653</v>
      </c>
      <c r="X220" s="85" t="s">
        <v>114</v>
      </c>
      <c r="Y220" s="85">
        <v>2</v>
      </c>
      <c r="Z220" s="85" t="s">
        <v>114</v>
      </c>
      <c r="AA220" s="85"/>
      <c r="AB220" s="85" t="s">
        <v>211</v>
      </c>
      <c r="AC220" s="85" t="s">
        <v>114</v>
      </c>
      <c r="AD220" s="85" t="s">
        <v>211</v>
      </c>
      <c r="AE220" s="85" t="s">
        <v>1667</v>
      </c>
      <c r="AF220" s="86">
        <v>43594</v>
      </c>
      <c r="AG220" s="85" t="s">
        <v>59</v>
      </c>
      <c r="AH220" s="85" t="s">
        <v>107</v>
      </c>
      <c r="AI220" s="85"/>
      <c r="AJ220" s="85"/>
      <c r="AK220" s="85"/>
      <c r="AL220" s="85" t="s">
        <v>107</v>
      </c>
      <c r="AM220" s="85" t="s">
        <v>107</v>
      </c>
      <c r="AN220" s="86">
        <v>43424</v>
      </c>
      <c r="AO220" s="86">
        <v>43424</v>
      </c>
      <c r="AP220" s="86">
        <v>43424</v>
      </c>
      <c r="AQ220" s="86">
        <v>43424</v>
      </c>
      <c r="AR220" s="86">
        <v>43424</v>
      </c>
      <c r="AS220" s="86">
        <v>43424</v>
      </c>
      <c r="AT220" s="86">
        <v>43424</v>
      </c>
      <c r="AU220" s="86">
        <v>43424</v>
      </c>
      <c r="AV220" s="86">
        <v>43424</v>
      </c>
      <c r="AW220" s="86">
        <v>43424</v>
      </c>
    </row>
    <row r="221" spans="1:49" x14ac:dyDescent="0.2">
      <c r="A221" s="85" t="s">
        <v>776</v>
      </c>
      <c r="B221" s="85" t="s">
        <v>777</v>
      </c>
      <c r="C221" s="85" t="s">
        <v>778</v>
      </c>
      <c r="D221" s="85" t="s">
        <v>779</v>
      </c>
      <c r="E221" s="85" t="s">
        <v>231</v>
      </c>
      <c r="F221" s="85" t="s">
        <v>144</v>
      </c>
      <c r="G221" s="85" t="s">
        <v>4</v>
      </c>
      <c r="H221" s="85" t="s">
        <v>13</v>
      </c>
      <c r="I221" s="86">
        <v>43185</v>
      </c>
      <c r="J221" s="86">
        <v>43333</v>
      </c>
      <c r="K221" s="86">
        <v>43333</v>
      </c>
      <c r="L221" s="85" t="s">
        <v>99</v>
      </c>
      <c r="M221" s="86">
        <v>43301</v>
      </c>
      <c r="N221" s="85" t="s">
        <v>107</v>
      </c>
      <c r="O221" s="86">
        <v>43434</v>
      </c>
      <c r="P221" s="86">
        <v>43377</v>
      </c>
      <c r="Q221" s="86">
        <v>43799</v>
      </c>
      <c r="R221" s="85" t="s">
        <v>1652</v>
      </c>
      <c r="S221" s="86">
        <v>43556</v>
      </c>
      <c r="T221" s="85" t="s">
        <v>1652</v>
      </c>
      <c r="U221" s="86">
        <v>43482</v>
      </c>
      <c r="V221" s="86">
        <v>43737</v>
      </c>
      <c r="W221" s="85" t="s">
        <v>1662</v>
      </c>
      <c r="X221" s="85" t="s">
        <v>114</v>
      </c>
      <c r="Y221" s="85">
        <v>1</v>
      </c>
      <c r="Z221" s="85" t="s">
        <v>114</v>
      </c>
      <c r="AA221" s="85" t="s">
        <v>1659</v>
      </c>
      <c r="AB221" s="85" t="s">
        <v>114</v>
      </c>
      <c r="AC221" s="85" t="s">
        <v>114</v>
      </c>
      <c r="AD221" s="85" t="s">
        <v>114</v>
      </c>
      <c r="AE221" s="85"/>
      <c r="AF221" s="85"/>
      <c r="AG221" s="86">
        <v>43507</v>
      </c>
      <c r="AH221" s="85" t="s">
        <v>1920</v>
      </c>
      <c r="AI221" s="86">
        <v>42752</v>
      </c>
      <c r="AJ221" s="86">
        <v>43101</v>
      </c>
      <c r="AK221" s="85"/>
      <c r="AL221" s="85" t="s">
        <v>107</v>
      </c>
      <c r="AM221" s="85" t="s">
        <v>107</v>
      </c>
      <c r="AN221" s="86">
        <v>43390</v>
      </c>
      <c r="AO221" s="86">
        <v>43403</v>
      </c>
      <c r="AP221" s="86">
        <v>43055</v>
      </c>
      <c r="AQ221" s="86">
        <v>43403</v>
      </c>
      <c r="AR221" s="86">
        <v>43403</v>
      </c>
      <c r="AS221" s="86">
        <v>43403</v>
      </c>
      <c r="AT221" s="86">
        <v>43403</v>
      </c>
      <c r="AU221" s="86">
        <v>43403</v>
      </c>
      <c r="AV221" s="86">
        <v>43403</v>
      </c>
      <c r="AW221" s="86">
        <v>43403</v>
      </c>
    </row>
    <row r="222" spans="1:49" x14ac:dyDescent="0.2">
      <c r="A222" s="85" t="s">
        <v>780</v>
      </c>
      <c r="B222" s="85" t="s">
        <v>781</v>
      </c>
      <c r="C222" s="85" t="s">
        <v>782</v>
      </c>
      <c r="D222" s="85" t="s">
        <v>379</v>
      </c>
      <c r="E222" s="85" t="s">
        <v>126</v>
      </c>
      <c r="F222" s="85" t="s">
        <v>113</v>
      </c>
      <c r="G222" s="85" t="s">
        <v>4</v>
      </c>
      <c r="H222" s="85" t="s">
        <v>8</v>
      </c>
      <c r="I222" s="86">
        <v>43507</v>
      </c>
      <c r="J222" s="86">
        <v>43465</v>
      </c>
      <c r="K222" s="86">
        <v>43220</v>
      </c>
      <c r="L222" s="85" t="s">
        <v>99</v>
      </c>
      <c r="M222" s="86">
        <v>42482</v>
      </c>
      <c r="N222" s="85" t="s">
        <v>107</v>
      </c>
      <c r="O222" s="86">
        <v>43220</v>
      </c>
      <c r="P222" s="86">
        <v>43325</v>
      </c>
      <c r="Q222" s="86">
        <v>43581</v>
      </c>
      <c r="R222" s="85" t="s">
        <v>1652</v>
      </c>
      <c r="S222" s="86">
        <v>44287</v>
      </c>
      <c r="T222" s="85" t="s">
        <v>1652</v>
      </c>
      <c r="U222" s="86">
        <v>43452</v>
      </c>
      <c r="V222" s="86">
        <v>43646</v>
      </c>
      <c r="W222" s="85" t="s">
        <v>1655</v>
      </c>
      <c r="X222" s="85" t="s">
        <v>114</v>
      </c>
      <c r="Y222" s="85">
        <v>1</v>
      </c>
      <c r="Z222" s="85" t="s">
        <v>114</v>
      </c>
      <c r="AA222" s="85"/>
      <c r="AB222" s="85" t="s">
        <v>114</v>
      </c>
      <c r="AC222" s="85" t="s">
        <v>114</v>
      </c>
      <c r="AD222" s="85" t="s">
        <v>114</v>
      </c>
      <c r="AE222" s="85"/>
      <c r="AF222" s="85"/>
      <c r="AG222" s="86">
        <v>43507</v>
      </c>
      <c r="AH222" s="85" t="s">
        <v>107</v>
      </c>
      <c r="AI222" s="86">
        <v>43201</v>
      </c>
      <c r="AJ222" s="86">
        <v>43377</v>
      </c>
      <c r="AK222" s="86">
        <v>43220</v>
      </c>
      <c r="AL222" s="85" t="s">
        <v>107</v>
      </c>
      <c r="AM222" s="85" t="s">
        <v>107</v>
      </c>
      <c r="AN222" s="86">
        <v>43502</v>
      </c>
      <c r="AO222" s="86">
        <v>43502</v>
      </c>
      <c r="AP222" s="86">
        <v>43502</v>
      </c>
      <c r="AQ222" s="86">
        <v>43502</v>
      </c>
      <c r="AR222" s="86">
        <v>43502</v>
      </c>
      <c r="AS222" s="86">
        <v>43502</v>
      </c>
      <c r="AT222" s="86">
        <v>43502</v>
      </c>
      <c r="AU222" s="86">
        <v>43502</v>
      </c>
      <c r="AV222" s="86">
        <v>43502</v>
      </c>
      <c r="AW222" s="86">
        <v>43502</v>
      </c>
    </row>
    <row r="223" spans="1:49" x14ac:dyDescent="0.2">
      <c r="A223" s="85" t="s">
        <v>1710</v>
      </c>
      <c r="B223" s="85" t="s">
        <v>1711</v>
      </c>
      <c r="C223" s="85" t="s">
        <v>785</v>
      </c>
      <c r="D223" s="85" t="s">
        <v>609</v>
      </c>
      <c r="E223" s="85" t="s">
        <v>141</v>
      </c>
      <c r="F223" s="85" t="s">
        <v>144</v>
      </c>
      <c r="G223" s="85" t="s">
        <v>4</v>
      </c>
      <c r="H223" s="85" t="s">
        <v>8</v>
      </c>
      <c r="I223" s="86">
        <v>43451</v>
      </c>
      <c r="J223" s="86">
        <v>43228</v>
      </c>
      <c r="K223" s="86">
        <v>43100</v>
      </c>
      <c r="L223" s="85" t="s">
        <v>99</v>
      </c>
      <c r="M223" s="86">
        <v>42294</v>
      </c>
      <c r="N223" s="85" t="s">
        <v>107</v>
      </c>
      <c r="O223" s="86">
        <v>42471</v>
      </c>
      <c r="P223" s="86">
        <v>43292</v>
      </c>
      <c r="Q223" s="85" t="s">
        <v>59</v>
      </c>
      <c r="R223" s="85" t="s">
        <v>1652</v>
      </c>
      <c r="S223" s="86">
        <v>43586</v>
      </c>
      <c r="T223" s="85" t="s">
        <v>1652</v>
      </c>
      <c r="U223" s="86">
        <v>43452</v>
      </c>
      <c r="V223" s="86">
        <v>43646</v>
      </c>
      <c r="W223" s="85" t="s">
        <v>1657</v>
      </c>
      <c r="X223" s="85" t="s">
        <v>114</v>
      </c>
      <c r="Y223" s="85">
        <v>1</v>
      </c>
      <c r="Z223" s="85" t="s">
        <v>114</v>
      </c>
      <c r="AA223" s="85" t="s">
        <v>1659</v>
      </c>
      <c r="AB223" s="85" t="s">
        <v>114</v>
      </c>
      <c r="AC223" s="85" t="s">
        <v>114</v>
      </c>
      <c r="AD223" s="85" t="s">
        <v>114</v>
      </c>
      <c r="AE223" s="85"/>
      <c r="AF223" s="85"/>
      <c r="AG223" s="86">
        <v>43376</v>
      </c>
      <c r="AH223" s="85" t="s">
        <v>1938</v>
      </c>
      <c r="AI223" s="85"/>
      <c r="AJ223" s="85" t="s">
        <v>1770</v>
      </c>
      <c r="AK223" s="85"/>
      <c r="AL223" s="85"/>
      <c r="AM223" s="85"/>
      <c r="AN223" s="86">
        <v>43375</v>
      </c>
      <c r="AO223" s="86">
        <v>43374</v>
      </c>
      <c r="AP223" s="86">
        <v>43374</v>
      </c>
      <c r="AQ223" s="86">
        <v>43374</v>
      </c>
      <c r="AR223" s="86">
        <v>43374</v>
      </c>
      <c r="AS223" s="86">
        <v>43374</v>
      </c>
      <c r="AT223" s="86">
        <v>43374</v>
      </c>
      <c r="AU223" s="86">
        <v>43374</v>
      </c>
      <c r="AV223" s="86">
        <v>43374</v>
      </c>
      <c r="AW223" s="86">
        <v>43374</v>
      </c>
    </row>
    <row r="224" spans="1:49" x14ac:dyDescent="0.2">
      <c r="A224" s="85" t="s">
        <v>783</v>
      </c>
      <c r="B224" s="85" t="s">
        <v>784</v>
      </c>
      <c r="C224" s="85" t="s">
        <v>785</v>
      </c>
      <c r="D224" s="85" t="s">
        <v>786</v>
      </c>
      <c r="E224" s="85" t="s">
        <v>141</v>
      </c>
      <c r="F224" s="85" t="s">
        <v>144</v>
      </c>
      <c r="G224" s="85" t="s">
        <v>4</v>
      </c>
      <c r="H224" s="85" t="s">
        <v>5</v>
      </c>
      <c r="I224" s="86">
        <v>43476</v>
      </c>
      <c r="J224" s="86">
        <v>43500</v>
      </c>
      <c r="K224" s="86">
        <v>43500</v>
      </c>
      <c r="L224" s="85" t="s">
        <v>99</v>
      </c>
      <c r="M224" s="86">
        <v>43255</v>
      </c>
      <c r="N224" s="85" t="s">
        <v>107</v>
      </c>
      <c r="O224" s="86">
        <v>43145</v>
      </c>
      <c r="P224" s="86">
        <v>43305</v>
      </c>
      <c r="Q224" s="86">
        <v>43847</v>
      </c>
      <c r="R224" s="85" t="s">
        <v>1652</v>
      </c>
      <c r="S224" s="86">
        <v>43617</v>
      </c>
      <c r="T224" s="85" t="s">
        <v>1652</v>
      </c>
      <c r="U224" s="86">
        <v>43228</v>
      </c>
      <c r="V224" s="86">
        <v>43616</v>
      </c>
      <c r="W224" s="85" t="s">
        <v>1653</v>
      </c>
      <c r="X224" s="85" t="s">
        <v>114</v>
      </c>
      <c r="Y224" s="85">
        <v>2</v>
      </c>
      <c r="Z224" s="85" t="s">
        <v>114</v>
      </c>
      <c r="AA224" s="85"/>
      <c r="AB224" s="85" t="s">
        <v>114</v>
      </c>
      <c r="AC224" s="85" t="s">
        <v>114</v>
      </c>
      <c r="AD224" s="85" t="s">
        <v>114</v>
      </c>
      <c r="AE224" s="85"/>
      <c r="AF224" s="85"/>
      <c r="AG224" s="85" t="s">
        <v>59</v>
      </c>
      <c r="AH224" s="85" t="s">
        <v>107</v>
      </c>
      <c r="AI224" s="86">
        <v>43131</v>
      </c>
      <c r="AJ224" s="86">
        <v>43131</v>
      </c>
      <c r="AK224" s="86">
        <v>43145</v>
      </c>
      <c r="AL224" s="85" t="s">
        <v>107</v>
      </c>
      <c r="AM224" s="85" t="s">
        <v>107</v>
      </c>
      <c r="AN224" s="86">
        <v>43375</v>
      </c>
      <c r="AO224" s="86">
        <v>43207</v>
      </c>
      <c r="AP224" s="86">
        <v>43273</v>
      </c>
      <c r="AQ224" s="86">
        <v>43273</v>
      </c>
      <c r="AR224" s="86">
        <v>43273</v>
      </c>
      <c r="AS224" s="86">
        <v>43273</v>
      </c>
      <c r="AT224" s="86">
        <v>43273</v>
      </c>
      <c r="AU224" s="86">
        <v>43273</v>
      </c>
      <c r="AV224" s="86">
        <v>43273</v>
      </c>
      <c r="AW224" s="86">
        <v>43273</v>
      </c>
    </row>
    <row r="225" spans="1:49" x14ac:dyDescent="0.2">
      <c r="A225" s="85" t="s">
        <v>1879</v>
      </c>
      <c r="B225" s="85" t="s">
        <v>1880</v>
      </c>
      <c r="C225" s="85" t="s">
        <v>1881</v>
      </c>
      <c r="D225" s="85" t="s">
        <v>286</v>
      </c>
      <c r="E225" s="85" t="s">
        <v>158</v>
      </c>
      <c r="F225" s="85"/>
      <c r="G225" s="85" t="s">
        <v>4</v>
      </c>
      <c r="H225" s="85" t="s">
        <v>7</v>
      </c>
      <c r="I225" s="86">
        <v>43313</v>
      </c>
      <c r="J225" s="85"/>
      <c r="K225" s="85"/>
      <c r="L225" s="85"/>
      <c r="M225" s="85"/>
      <c r="N225" s="85"/>
      <c r="O225" s="86">
        <v>43510</v>
      </c>
      <c r="P225" s="85"/>
      <c r="Q225" s="85" t="s">
        <v>59</v>
      </c>
      <c r="R225" s="85" t="s">
        <v>1652</v>
      </c>
      <c r="S225" s="86">
        <v>45108</v>
      </c>
      <c r="T225" s="85" t="s">
        <v>1658</v>
      </c>
      <c r="U225" s="86">
        <v>43294</v>
      </c>
      <c r="V225" s="86">
        <v>43677</v>
      </c>
      <c r="W225" s="85" t="s">
        <v>1653</v>
      </c>
      <c r="X225" s="85" t="s">
        <v>119</v>
      </c>
      <c r="Y225" s="85">
        <v>3</v>
      </c>
      <c r="Z225" s="85" t="s">
        <v>114</v>
      </c>
      <c r="AA225" s="85"/>
      <c r="AB225" s="85" t="s">
        <v>211</v>
      </c>
      <c r="AC225" s="85" t="s">
        <v>211</v>
      </c>
      <c r="AD225" s="85" t="s">
        <v>119</v>
      </c>
      <c r="AE225" s="85" t="s">
        <v>1882</v>
      </c>
      <c r="AF225" s="85"/>
      <c r="AG225" s="86">
        <v>43497</v>
      </c>
      <c r="AH225" s="85" t="s">
        <v>107</v>
      </c>
      <c r="AI225" s="85" t="s">
        <v>59</v>
      </c>
      <c r="AJ225" s="85" t="s">
        <v>59</v>
      </c>
      <c r="AK225" s="85" t="s">
        <v>59</v>
      </c>
      <c r="AL225" s="85" t="s">
        <v>107</v>
      </c>
      <c r="AM225" s="85" t="s">
        <v>107</v>
      </c>
      <c r="AN225" s="86">
        <v>43489</v>
      </c>
      <c r="AO225" s="86">
        <v>43489</v>
      </c>
      <c r="AP225" s="86">
        <v>43489</v>
      </c>
      <c r="AQ225" s="86">
        <v>43489</v>
      </c>
      <c r="AR225" s="86">
        <v>43489</v>
      </c>
      <c r="AS225" s="86">
        <v>43489</v>
      </c>
      <c r="AT225" s="86">
        <v>43489</v>
      </c>
      <c r="AU225" s="86">
        <v>43489</v>
      </c>
      <c r="AV225" s="86">
        <v>43489</v>
      </c>
      <c r="AW225" s="86">
        <v>43489</v>
      </c>
    </row>
    <row r="226" spans="1:49" x14ac:dyDescent="0.2">
      <c r="A226" s="85" t="s">
        <v>787</v>
      </c>
      <c r="B226" s="85" t="s">
        <v>788</v>
      </c>
      <c r="C226" s="85" t="s">
        <v>789</v>
      </c>
      <c r="D226" s="85" t="s">
        <v>790</v>
      </c>
      <c r="E226" s="85" t="s">
        <v>163</v>
      </c>
      <c r="F226" s="85" t="s">
        <v>100</v>
      </c>
      <c r="G226" s="85" t="s">
        <v>4</v>
      </c>
      <c r="H226" s="85" t="s">
        <v>1670</v>
      </c>
      <c r="I226" s="86">
        <v>43458</v>
      </c>
      <c r="J226" s="86">
        <v>43350</v>
      </c>
      <c r="K226" s="86">
        <v>43350</v>
      </c>
      <c r="L226" s="85" t="s">
        <v>99</v>
      </c>
      <c r="M226" s="86">
        <v>43141</v>
      </c>
      <c r="N226" s="86">
        <v>43182</v>
      </c>
      <c r="O226" s="86">
        <v>42707</v>
      </c>
      <c r="P226" s="86">
        <v>43244</v>
      </c>
      <c r="Q226" s="86">
        <v>43547</v>
      </c>
      <c r="R226" s="85" t="s">
        <v>1652</v>
      </c>
      <c r="S226" s="86">
        <v>45261</v>
      </c>
      <c r="T226" s="85" t="s">
        <v>1652</v>
      </c>
      <c r="U226" s="85" t="s">
        <v>107</v>
      </c>
      <c r="V226" s="85" t="s">
        <v>107</v>
      </c>
      <c r="W226" s="85" t="s">
        <v>107</v>
      </c>
      <c r="X226" s="85" t="s">
        <v>107</v>
      </c>
      <c r="Y226" s="85" t="s">
        <v>107</v>
      </c>
      <c r="Z226" s="85" t="s">
        <v>107</v>
      </c>
      <c r="AA226" s="85" t="s">
        <v>107</v>
      </c>
      <c r="AB226" s="85" t="s">
        <v>107</v>
      </c>
      <c r="AC226" s="85" t="s">
        <v>107</v>
      </c>
      <c r="AD226" s="85" t="s">
        <v>107</v>
      </c>
      <c r="AE226" s="85" t="s">
        <v>107</v>
      </c>
      <c r="AF226" s="85" t="s">
        <v>107</v>
      </c>
      <c r="AG226" s="86">
        <v>43430</v>
      </c>
      <c r="AH226" s="85" t="s">
        <v>107</v>
      </c>
      <c r="AI226" s="85" t="s">
        <v>107</v>
      </c>
      <c r="AJ226" s="85" t="s">
        <v>107</v>
      </c>
      <c r="AK226" s="86">
        <v>42281</v>
      </c>
      <c r="AL226" s="85" t="s">
        <v>107</v>
      </c>
      <c r="AM226" s="85" t="s">
        <v>107</v>
      </c>
      <c r="AN226" s="86">
        <v>43403</v>
      </c>
      <c r="AO226" s="86">
        <v>43213</v>
      </c>
      <c r="AP226" s="86">
        <v>43177</v>
      </c>
      <c r="AQ226" s="86">
        <v>43177</v>
      </c>
      <c r="AR226" s="86">
        <v>43177</v>
      </c>
      <c r="AS226" s="86">
        <v>43177</v>
      </c>
      <c r="AT226" s="86">
        <v>43177</v>
      </c>
      <c r="AU226" s="86">
        <v>43177</v>
      </c>
      <c r="AV226" s="86">
        <v>43177</v>
      </c>
      <c r="AW226" s="86">
        <v>43177</v>
      </c>
    </row>
    <row r="227" spans="1:49" x14ac:dyDescent="0.2">
      <c r="A227" s="85" t="s">
        <v>1969</v>
      </c>
      <c r="B227" s="85" t="s">
        <v>1970</v>
      </c>
      <c r="C227" s="85" t="s">
        <v>1971</v>
      </c>
      <c r="D227" s="85" t="s">
        <v>1124</v>
      </c>
      <c r="E227" s="85" t="s">
        <v>149</v>
      </c>
      <c r="F227" s="85" t="s">
        <v>122</v>
      </c>
      <c r="G227" s="85" t="s">
        <v>4</v>
      </c>
      <c r="H227" s="85" t="s">
        <v>7</v>
      </c>
      <c r="I227" s="86">
        <v>43492</v>
      </c>
      <c r="J227" s="86">
        <v>43376</v>
      </c>
      <c r="K227" s="86">
        <v>43510</v>
      </c>
      <c r="L227" s="85" t="s">
        <v>99</v>
      </c>
      <c r="M227" s="85"/>
      <c r="N227" s="85" t="s">
        <v>107</v>
      </c>
      <c r="O227" s="86">
        <v>43510</v>
      </c>
      <c r="P227" s="86">
        <v>43299</v>
      </c>
      <c r="Q227" s="86">
        <v>43872</v>
      </c>
      <c r="R227" s="85" t="s">
        <v>1652</v>
      </c>
      <c r="S227" s="85" t="s">
        <v>59</v>
      </c>
      <c r="T227" s="85" t="s">
        <v>59</v>
      </c>
      <c r="U227" s="86">
        <v>43278</v>
      </c>
      <c r="V227" s="86">
        <v>43646</v>
      </c>
      <c r="W227" s="85" t="s">
        <v>1653</v>
      </c>
      <c r="X227" s="85" t="s">
        <v>114</v>
      </c>
      <c r="Y227" s="85">
        <v>1</v>
      </c>
      <c r="Z227" s="85" t="s">
        <v>114</v>
      </c>
      <c r="AA227" s="85"/>
      <c r="AB227" s="85" t="s">
        <v>211</v>
      </c>
      <c r="AC227" s="85" t="s">
        <v>114</v>
      </c>
      <c r="AD227" s="85" t="s">
        <v>211</v>
      </c>
      <c r="AE227" s="85" t="s">
        <v>1656</v>
      </c>
      <c r="AF227" s="86">
        <v>43588</v>
      </c>
      <c r="AG227" s="85" t="s">
        <v>59</v>
      </c>
      <c r="AH227" s="85" t="s">
        <v>107</v>
      </c>
      <c r="AI227" s="85" t="s">
        <v>59</v>
      </c>
      <c r="AJ227" s="85" t="s">
        <v>59</v>
      </c>
      <c r="AK227" s="85" t="s">
        <v>59</v>
      </c>
      <c r="AL227" s="85" t="s">
        <v>107</v>
      </c>
      <c r="AM227" s="85" t="s">
        <v>107</v>
      </c>
      <c r="AN227" s="86">
        <v>43496</v>
      </c>
      <c r="AO227" s="86">
        <v>43496</v>
      </c>
      <c r="AP227" s="86">
        <v>43496</v>
      </c>
      <c r="AQ227" s="86">
        <v>43496</v>
      </c>
      <c r="AR227" s="86">
        <v>43496</v>
      </c>
      <c r="AS227" s="86">
        <v>43496</v>
      </c>
      <c r="AT227" s="86">
        <v>43496</v>
      </c>
      <c r="AU227" s="86">
        <v>43496</v>
      </c>
      <c r="AV227" s="86">
        <v>43496</v>
      </c>
      <c r="AW227" s="86">
        <v>43496</v>
      </c>
    </row>
    <row r="228" spans="1:49" x14ac:dyDescent="0.2">
      <c r="A228" s="85" t="s">
        <v>791</v>
      </c>
      <c r="B228" s="85" t="s">
        <v>792</v>
      </c>
      <c r="C228" s="85" t="s">
        <v>793</v>
      </c>
      <c r="D228" s="85" t="s">
        <v>794</v>
      </c>
      <c r="E228" s="85" t="s">
        <v>105</v>
      </c>
      <c r="F228" s="85" t="s">
        <v>122</v>
      </c>
      <c r="G228" s="85" t="s">
        <v>4</v>
      </c>
      <c r="H228" s="85" t="s">
        <v>13</v>
      </c>
      <c r="I228" s="86">
        <v>43465</v>
      </c>
      <c r="J228" s="86">
        <v>43153</v>
      </c>
      <c r="K228" s="86">
        <v>43153</v>
      </c>
      <c r="L228" s="85"/>
      <c r="M228" s="85"/>
      <c r="N228" s="85" t="s">
        <v>107</v>
      </c>
      <c r="O228" s="86">
        <v>43510</v>
      </c>
      <c r="P228" s="86">
        <v>43228</v>
      </c>
      <c r="Q228" s="86">
        <v>365</v>
      </c>
      <c r="R228" s="85" t="s">
        <v>1652</v>
      </c>
      <c r="S228" s="86">
        <v>44105</v>
      </c>
      <c r="T228" s="85" t="s">
        <v>1652</v>
      </c>
      <c r="U228" s="86">
        <v>43392</v>
      </c>
      <c r="V228" s="86">
        <v>43769</v>
      </c>
      <c r="W228" s="85" t="s">
        <v>1653</v>
      </c>
      <c r="X228" s="85" t="s">
        <v>114</v>
      </c>
      <c r="Y228" s="85">
        <v>1</v>
      </c>
      <c r="Z228" s="85" t="s">
        <v>114</v>
      </c>
      <c r="AA228" s="85"/>
      <c r="AB228" s="85" t="s">
        <v>114</v>
      </c>
      <c r="AC228" s="85" t="s">
        <v>114</v>
      </c>
      <c r="AD228" s="85" t="s">
        <v>114</v>
      </c>
      <c r="AE228" s="85"/>
      <c r="AF228" s="85"/>
      <c r="AG228" s="86">
        <v>43238</v>
      </c>
      <c r="AH228" s="85" t="s">
        <v>107</v>
      </c>
      <c r="AI228" s="85"/>
      <c r="AJ228" s="85"/>
      <c r="AK228" s="85"/>
      <c r="AL228" s="86">
        <v>43104</v>
      </c>
      <c r="AM228" s="86">
        <v>43104</v>
      </c>
      <c r="AN228" s="86">
        <v>43390</v>
      </c>
      <c r="AO228" s="86">
        <v>43223</v>
      </c>
      <c r="AP228" s="86">
        <v>43223</v>
      </c>
      <c r="AQ228" s="86">
        <v>43223</v>
      </c>
      <c r="AR228" s="86">
        <v>43223</v>
      </c>
      <c r="AS228" s="86">
        <v>43223</v>
      </c>
      <c r="AT228" s="86">
        <v>43223</v>
      </c>
      <c r="AU228" s="86">
        <v>43223</v>
      </c>
      <c r="AV228" s="86">
        <v>43223</v>
      </c>
      <c r="AW228" s="86">
        <v>43223</v>
      </c>
    </row>
    <row r="229" spans="1:49" x14ac:dyDescent="0.2">
      <c r="A229" s="85" t="s">
        <v>795</v>
      </c>
      <c r="B229" s="85" t="s">
        <v>796</v>
      </c>
      <c r="C229" s="85" t="s">
        <v>797</v>
      </c>
      <c r="D229" s="85" t="s">
        <v>180</v>
      </c>
      <c r="E229" s="85" t="s">
        <v>714</v>
      </c>
      <c r="F229" s="85" t="s">
        <v>144</v>
      </c>
      <c r="G229" s="85" t="s">
        <v>4</v>
      </c>
      <c r="H229" s="85" t="s">
        <v>7</v>
      </c>
      <c r="I229" s="86">
        <v>43220</v>
      </c>
      <c r="J229" s="86">
        <v>43406</v>
      </c>
      <c r="K229" s="86">
        <v>43254</v>
      </c>
      <c r="L229" s="85" t="s">
        <v>99</v>
      </c>
      <c r="M229" s="86">
        <v>43398</v>
      </c>
      <c r="N229" s="85" t="s">
        <v>107</v>
      </c>
      <c r="O229" s="86">
        <v>43271</v>
      </c>
      <c r="P229" s="86">
        <v>43243</v>
      </c>
      <c r="Q229" s="86">
        <v>43636</v>
      </c>
      <c r="R229" s="85" t="s">
        <v>1652</v>
      </c>
      <c r="S229" s="86">
        <v>44317</v>
      </c>
      <c r="T229" s="85" t="s">
        <v>1652</v>
      </c>
      <c r="U229" s="86">
        <v>43418</v>
      </c>
      <c r="V229" s="86">
        <v>43616</v>
      </c>
      <c r="W229" s="85" t="s">
        <v>1655</v>
      </c>
      <c r="X229" s="85" t="s">
        <v>114</v>
      </c>
      <c r="Y229" s="85">
        <v>1</v>
      </c>
      <c r="Z229" s="85" t="s">
        <v>114</v>
      </c>
      <c r="AA229" s="85"/>
      <c r="AB229" s="85" t="s">
        <v>114</v>
      </c>
      <c r="AC229" s="85" t="s">
        <v>114</v>
      </c>
      <c r="AD229" s="85" t="s">
        <v>114</v>
      </c>
      <c r="AE229" s="85"/>
      <c r="AF229" s="85"/>
      <c r="AG229" s="86">
        <v>43271</v>
      </c>
      <c r="AH229" s="85" t="s">
        <v>107</v>
      </c>
      <c r="AI229" s="86">
        <v>42583</v>
      </c>
      <c r="AJ229" s="86">
        <v>43411</v>
      </c>
      <c r="AK229" s="86">
        <v>42542</v>
      </c>
      <c r="AL229" s="85" t="s">
        <v>107</v>
      </c>
      <c r="AM229" s="85" t="s">
        <v>107</v>
      </c>
      <c r="AN229" s="86">
        <v>43398</v>
      </c>
      <c r="AO229" s="86">
        <v>43220</v>
      </c>
      <c r="AP229" s="86">
        <v>43315</v>
      </c>
      <c r="AQ229" s="86">
        <v>43315</v>
      </c>
      <c r="AR229" s="86">
        <v>43315</v>
      </c>
      <c r="AS229" s="86">
        <v>43315</v>
      </c>
      <c r="AT229" s="86">
        <v>43315</v>
      </c>
      <c r="AU229" s="86">
        <v>43315</v>
      </c>
      <c r="AV229" s="86">
        <v>43315</v>
      </c>
      <c r="AW229" s="86">
        <v>43315</v>
      </c>
    </row>
    <row r="230" spans="1:49" x14ac:dyDescent="0.2">
      <c r="A230" s="85" t="s">
        <v>798</v>
      </c>
      <c r="B230" s="85" t="s">
        <v>799</v>
      </c>
      <c r="C230" s="85" t="s">
        <v>800</v>
      </c>
      <c r="D230" s="85" t="s">
        <v>226</v>
      </c>
      <c r="E230" s="85" t="s">
        <v>141</v>
      </c>
      <c r="F230" s="85" t="s">
        <v>122</v>
      </c>
      <c r="G230" s="85" t="s">
        <v>4</v>
      </c>
      <c r="H230" s="85" t="s">
        <v>6</v>
      </c>
      <c r="I230" s="86">
        <v>43452</v>
      </c>
      <c r="J230" s="86">
        <v>43202</v>
      </c>
      <c r="K230" s="86">
        <v>43430</v>
      </c>
      <c r="L230" s="85" t="s">
        <v>99</v>
      </c>
      <c r="M230" s="86">
        <v>43331</v>
      </c>
      <c r="N230" s="85" t="s">
        <v>107</v>
      </c>
      <c r="O230" s="86">
        <v>43202</v>
      </c>
      <c r="P230" s="86">
        <v>43172</v>
      </c>
      <c r="Q230" s="86">
        <v>43567</v>
      </c>
      <c r="R230" s="85" t="s">
        <v>1652</v>
      </c>
      <c r="S230" s="86">
        <v>43525</v>
      </c>
      <c r="T230" s="85" t="s">
        <v>1652</v>
      </c>
      <c r="U230" s="86">
        <v>43446</v>
      </c>
      <c r="V230" s="86">
        <v>43646</v>
      </c>
      <c r="W230" s="85" t="s">
        <v>1657</v>
      </c>
      <c r="X230" s="85" t="s">
        <v>114</v>
      </c>
      <c r="Y230" s="85">
        <v>1</v>
      </c>
      <c r="Z230" s="85" t="s">
        <v>114</v>
      </c>
      <c r="AA230" s="85"/>
      <c r="AB230" s="85" t="s">
        <v>114</v>
      </c>
      <c r="AC230" s="85" t="s">
        <v>114</v>
      </c>
      <c r="AD230" s="85" t="s">
        <v>114</v>
      </c>
      <c r="AE230" s="85"/>
      <c r="AF230" s="85"/>
      <c r="AG230" s="86">
        <v>43497</v>
      </c>
      <c r="AH230" s="85" t="s">
        <v>107</v>
      </c>
      <c r="AI230" s="86">
        <v>43178</v>
      </c>
      <c r="AJ230" s="86">
        <v>43178</v>
      </c>
      <c r="AK230" s="86">
        <v>42261</v>
      </c>
      <c r="AL230" s="85" t="s">
        <v>107</v>
      </c>
      <c r="AM230" s="85" t="s">
        <v>107</v>
      </c>
      <c r="AN230" s="85"/>
      <c r="AO230" s="86">
        <v>43280</v>
      </c>
      <c r="AP230" s="86">
        <v>43280</v>
      </c>
      <c r="AQ230" s="86">
        <v>43280</v>
      </c>
      <c r="AR230" s="86">
        <v>43280</v>
      </c>
      <c r="AS230" s="86">
        <v>43280</v>
      </c>
      <c r="AT230" s="86">
        <v>43280</v>
      </c>
      <c r="AU230" s="86">
        <v>43280</v>
      </c>
      <c r="AV230" s="86">
        <v>43280</v>
      </c>
      <c r="AW230" s="86">
        <v>43280</v>
      </c>
    </row>
    <row r="231" spans="1:49" x14ac:dyDescent="0.2">
      <c r="A231" s="85" t="s">
        <v>1561</v>
      </c>
      <c r="B231" s="85" t="s">
        <v>1562</v>
      </c>
      <c r="C231" s="85" t="s">
        <v>801</v>
      </c>
      <c r="D231" s="85" t="s">
        <v>296</v>
      </c>
      <c r="E231" s="85" t="s">
        <v>141</v>
      </c>
      <c r="F231" s="85" t="s">
        <v>106</v>
      </c>
      <c r="G231" s="85" t="s">
        <v>4</v>
      </c>
      <c r="H231" s="85" t="s">
        <v>5</v>
      </c>
      <c r="I231" s="85" t="s">
        <v>107</v>
      </c>
      <c r="J231" s="85" t="s">
        <v>59</v>
      </c>
      <c r="K231" s="85" t="s">
        <v>59</v>
      </c>
      <c r="L231" s="85" t="s">
        <v>107</v>
      </c>
      <c r="M231" s="85" t="s">
        <v>107</v>
      </c>
      <c r="N231" s="85" t="s">
        <v>107</v>
      </c>
      <c r="O231" s="85" t="s">
        <v>107</v>
      </c>
      <c r="P231" s="85" t="s">
        <v>107</v>
      </c>
      <c r="Q231" s="85" t="s">
        <v>59</v>
      </c>
      <c r="R231" s="85" t="s">
        <v>107</v>
      </c>
      <c r="S231" s="85" t="s">
        <v>107</v>
      </c>
      <c r="T231" s="85" t="s">
        <v>107</v>
      </c>
      <c r="U231" s="85" t="s">
        <v>107</v>
      </c>
      <c r="V231" s="85" t="s">
        <v>107</v>
      </c>
      <c r="W231" s="85" t="s">
        <v>107</v>
      </c>
      <c r="X231" s="85" t="s">
        <v>107</v>
      </c>
      <c r="Y231" s="85" t="s">
        <v>107</v>
      </c>
      <c r="Z231" s="85" t="s">
        <v>107</v>
      </c>
      <c r="AA231" s="85" t="s">
        <v>107</v>
      </c>
      <c r="AB231" s="85" t="s">
        <v>107</v>
      </c>
      <c r="AC231" s="85" t="s">
        <v>107</v>
      </c>
      <c r="AD231" s="85" t="s">
        <v>107</v>
      </c>
      <c r="AE231" s="85" t="s">
        <v>107</v>
      </c>
      <c r="AF231" s="85" t="s">
        <v>107</v>
      </c>
      <c r="AG231" s="85" t="s">
        <v>59</v>
      </c>
      <c r="AH231" s="85" t="s">
        <v>107</v>
      </c>
      <c r="AI231" s="85" t="s">
        <v>107</v>
      </c>
      <c r="AJ231" s="85" t="s">
        <v>107</v>
      </c>
      <c r="AK231" s="85" t="s">
        <v>107</v>
      </c>
      <c r="AL231" s="85" t="s">
        <v>107</v>
      </c>
      <c r="AM231" s="85" t="s">
        <v>107</v>
      </c>
      <c r="AN231" s="86">
        <v>43375</v>
      </c>
      <c r="AO231" s="86">
        <v>43305</v>
      </c>
      <c r="AP231" s="86">
        <v>43305</v>
      </c>
      <c r="AQ231" s="86">
        <v>43305</v>
      </c>
      <c r="AR231" s="86">
        <v>43305</v>
      </c>
      <c r="AS231" s="86">
        <v>43305</v>
      </c>
      <c r="AT231" s="86">
        <v>43305</v>
      </c>
      <c r="AU231" s="85" t="s">
        <v>107</v>
      </c>
      <c r="AV231" s="86">
        <v>43305</v>
      </c>
      <c r="AW231" s="86">
        <v>43305</v>
      </c>
    </row>
    <row r="232" spans="1:49" x14ac:dyDescent="0.2">
      <c r="A232" s="85" t="s">
        <v>802</v>
      </c>
      <c r="B232" s="85" t="s">
        <v>803</v>
      </c>
      <c r="C232" s="85" t="s">
        <v>801</v>
      </c>
      <c r="D232" s="85" t="s">
        <v>804</v>
      </c>
      <c r="E232" s="85" t="s">
        <v>158</v>
      </c>
      <c r="F232" s="85" t="s">
        <v>122</v>
      </c>
      <c r="G232" s="85" t="s">
        <v>4</v>
      </c>
      <c r="H232" s="85" t="s">
        <v>10</v>
      </c>
      <c r="I232" s="86">
        <v>43193</v>
      </c>
      <c r="J232" s="86">
        <v>43505</v>
      </c>
      <c r="K232" s="86">
        <v>43170</v>
      </c>
      <c r="L232" s="85" t="s">
        <v>99</v>
      </c>
      <c r="M232" s="86">
        <v>43028</v>
      </c>
      <c r="N232" s="85" t="s">
        <v>107</v>
      </c>
      <c r="O232" s="86">
        <v>43170</v>
      </c>
      <c r="P232" s="86">
        <v>43325</v>
      </c>
      <c r="Q232" s="86">
        <v>43535</v>
      </c>
      <c r="R232" s="85" t="s">
        <v>1652</v>
      </c>
      <c r="S232" s="86">
        <v>43525</v>
      </c>
      <c r="T232" s="85" t="s">
        <v>1652</v>
      </c>
      <c r="U232" s="86">
        <v>43496</v>
      </c>
      <c r="V232" s="86">
        <v>43677</v>
      </c>
      <c r="W232" s="85" t="s">
        <v>1657</v>
      </c>
      <c r="X232" s="85" t="s">
        <v>114</v>
      </c>
      <c r="Y232" s="85">
        <v>2</v>
      </c>
      <c r="Z232" s="85" t="s">
        <v>114</v>
      </c>
      <c r="AA232" s="85"/>
      <c r="AB232" s="85" t="s">
        <v>114</v>
      </c>
      <c r="AC232" s="85" t="s">
        <v>114</v>
      </c>
      <c r="AD232" s="85" t="s">
        <v>114</v>
      </c>
      <c r="AE232" s="85"/>
      <c r="AF232" s="85"/>
      <c r="AG232" s="86">
        <v>43170</v>
      </c>
      <c r="AH232" s="85" t="s">
        <v>107</v>
      </c>
      <c r="AI232" s="86">
        <v>43178</v>
      </c>
      <c r="AJ232" s="86">
        <v>43178</v>
      </c>
      <c r="AK232" s="86">
        <v>43170</v>
      </c>
      <c r="AL232" s="85" t="s">
        <v>107</v>
      </c>
      <c r="AM232" s="85" t="s">
        <v>107</v>
      </c>
      <c r="AN232" s="86">
        <v>43403</v>
      </c>
      <c r="AO232" s="86">
        <v>43369</v>
      </c>
      <c r="AP232" s="86">
        <v>43047</v>
      </c>
      <c r="AQ232" s="86">
        <v>42814</v>
      </c>
      <c r="AR232" s="86">
        <v>43369</v>
      </c>
      <c r="AS232" s="86">
        <v>43369</v>
      </c>
      <c r="AT232" s="86">
        <v>43369</v>
      </c>
      <c r="AU232" s="86">
        <v>43369</v>
      </c>
      <c r="AV232" s="86">
        <v>43369</v>
      </c>
      <c r="AW232" s="86">
        <v>43369</v>
      </c>
    </row>
    <row r="233" spans="1:49" x14ac:dyDescent="0.2">
      <c r="A233" s="85" t="s">
        <v>1832</v>
      </c>
      <c r="B233" s="85" t="s">
        <v>1833</v>
      </c>
      <c r="C233" s="85" t="s">
        <v>171</v>
      </c>
      <c r="D233" s="85" t="s">
        <v>1834</v>
      </c>
      <c r="E233" s="85" t="s">
        <v>112</v>
      </c>
      <c r="F233" s="85" t="s">
        <v>106</v>
      </c>
      <c r="G233" s="85" t="s">
        <v>4</v>
      </c>
      <c r="H233" s="85" t="s">
        <v>8</v>
      </c>
      <c r="I233" s="85" t="s">
        <v>107</v>
      </c>
      <c r="J233" s="86">
        <v>43476</v>
      </c>
      <c r="K233" s="85"/>
      <c r="L233" s="85" t="s">
        <v>107</v>
      </c>
      <c r="M233" s="85" t="s">
        <v>107</v>
      </c>
      <c r="N233" s="85" t="s">
        <v>107</v>
      </c>
      <c r="O233" s="85" t="s">
        <v>107</v>
      </c>
      <c r="P233" s="85" t="s">
        <v>107</v>
      </c>
      <c r="Q233" s="85" t="s">
        <v>59</v>
      </c>
      <c r="R233" s="85" t="s">
        <v>107</v>
      </c>
      <c r="S233" s="85" t="s">
        <v>107</v>
      </c>
      <c r="T233" s="85" t="s">
        <v>107</v>
      </c>
      <c r="U233" s="85" t="s">
        <v>107</v>
      </c>
      <c r="V233" s="85" t="s">
        <v>107</v>
      </c>
      <c r="W233" s="85" t="s">
        <v>107</v>
      </c>
      <c r="X233" s="85" t="s">
        <v>107</v>
      </c>
      <c r="Y233" s="85" t="s">
        <v>107</v>
      </c>
      <c r="Z233" s="85" t="s">
        <v>107</v>
      </c>
      <c r="AA233" s="85" t="s">
        <v>107</v>
      </c>
      <c r="AB233" s="85" t="s">
        <v>107</v>
      </c>
      <c r="AC233" s="85" t="s">
        <v>107</v>
      </c>
      <c r="AD233" s="85" t="s">
        <v>107</v>
      </c>
      <c r="AE233" s="85" t="s">
        <v>107</v>
      </c>
      <c r="AF233" s="85" t="s">
        <v>107</v>
      </c>
      <c r="AG233" s="86">
        <v>43476</v>
      </c>
      <c r="AH233" s="85" t="s">
        <v>107</v>
      </c>
      <c r="AI233" s="85" t="s">
        <v>107</v>
      </c>
      <c r="AJ233" s="85" t="s">
        <v>107</v>
      </c>
      <c r="AK233" s="85" t="s">
        <v>107</v>
      </c>
      <c r="AL233" s="85" t="s">
        <v>107</v>
      </c>
      <c r="AM233" s="85" t="s">
        <v>107</v>
      </c>
      <c r="AN233" s="86">
        <v>43472</v>
      </c>
      <c r="AO233" s="86">
        <v>43472</v>
      </c>
      <c r="AP233" s="86">
        <v>43472</v>
      </c>
      <c r="AQ233" s="86">
        <v>43472</v>
      </c>
      <c r="AR233" s="86">
        <v>43472</v>
      </c>
      <c r="AS233" s="86">
        <v>43472</v>
      </c>
      <c r="AT233" s="86">
        <v>43472</v>
      </c>
      <c r="AU233" s="85" t="s">
        <v>107</v>
      </c>
      <c r="AV233" s="86">
        <v>43472</v>
      </c>
      <c r="AW233" s="86">
        <v>43472</v>
      </c>
    </row>
    <row r="234" spans="1:49" x14ac:dyDescent="0.2">
      <c r="A234" s="85" t="s">
        <v>805</v>
      </c>
      <c r="B234" s="85" t="s">
        <v>806</v>
      </c>
      <c r="C234" s="85" t="s">
        <v>807</v>
      </c>
      <c r="D234" s="85" t="s">
        <v>808</v>
      </c>
      <c r="E234" s="85"/>
      <c r="F234" s="85" t="s">
        <v>106</v>
      </c>
      <c r="G234" s="85" t="s">
        <v>4</v>
      </c>
      <c r="H234" s="85" t="s">
        <v>5</v>
      </c>
      <c r="I234" s="85" t="s">
        <v>107</v>
      </c>
      <c r="J234" s="86">
        <v>43167</v>
      </c>
      <c r="K234" s="86">
        <v>43167</v>
      </c>
      <c r="L234" s="85" t="s">
        <v>107</v>
      </c>
      <c r="M234" s="85" t="s">
        <v>107</v>
      </c>
      <c r="N234" s="85" t="s">
        <v>107</v>
      </c>
      <c r="O234" s="85" t="s">
        <v>107</v>
      </c>
      <c r="P234" s="85" t="s">
        <v>107</v>
      </c>
      <c r="Q234" s="86">
        <v>43532</v>
      </c>
      <c r="R234" s="85" t="s">
        <v>107</v>
      </c>
      <c r="S234" s="85" t="s">
        <v>107</v>
      </c>
      <c r="T234" s="85" t="s">
        <v>107</v>
      </c>
      <c r="U234" s="85" t="s">
        <v>107</v>
      </c>
      <c r="V234" s="85" t="s">
        <v>107</v>
      </c>
      <c r="W234" s="85" t="s">
        <v>107</v>
      </c>
      <c r="X234" s="85" t="s">
        <v>107</v>
      </c>
      <c r="Y234" s="85" t="s">
        <v>107</v>
      </c>
      <c r="Z234" s="85" t="s">
        <v>107</v>
      </c>
      <c r="AA234" s="85" t="s">
        <v>107</v>
      </c>
      <c r="AB234" s="85" t="s">
        <v>107</v>
      </c>
      <c r="AC234" s="85" t="s">
        <v>107</v>
      </c>
      <c r="AD234" s="85" t="s">
        <v>107</v>
      </c>
      <c r="AE234" s="85" t="s">
        <v>107</v>
      </c>
      <c r="AF234" s="85" t="s">
        <v>107</v>
      </c>
      <c r="AG234" s="85" t="s">
        <v>59</v>
      </c>
      <c r="AH234" s="85" t="s">
        <v>107</v>
      </c>
      <c r="AI234" s="85" t="s">
        <v>107</v>
      </c>
      <c r="AJ234" s="85" t="s">
        <v>107</v>
      </c>
      <c r="AK234" s="85" t="s">
        <v>107</v>
      </c>
      <c r="AL234" s="85" t="s">
        <v>107</v>
      </c>
      <c r="AM234" s="85" t="s">
        <v>107</v>
      </c>
      <c r="AN234" s="86">
        <v>43375</v>
      </c>
      <c r="AO234" s="86">
        <v>43207</v>
      </c>
      <c r="AP234" s="86">
        <v>43047</v>
      </c>
      <c r="AQ234" s="86">
        <v>42561</v>
      </c>
      <c r="AR234" s="86">
        <v>42956</v>
      </c>
      <c r="AS234" s="86">
        <v>42990</v>
      </c>
      <c r="AT234" s="86">
        <v>42561</v>
      </c>
      <c r="AU234" s="85" t="s">
        <v>107</v>
      </c>
      <c r="AV234" s="86">
        <v>42956</v>
      </c>
      <c r="AW234" s="86">
        <v>42956</v>
      </c>
    </row>
    <row r="235" spans="1:49" x14ac:dyDescent="0.2">
      <c r="A235" s="85" t="s">
        <v>809</v>
      </c>
      <c r="B235" s="85" t="s">
        <v>810</v>
      </c>
      <c r="C235" s="85" t="s">
        <v>811</v>
      </c>
      <c r="D235" s="85" t="s">
        <v>162</v>
      </c>
      <c r="E235" s="85" t="s">
        <v>222</v>
      </c>
      <c r="F235" s="85" t="s">
        <v>106</v>
      </c>
      <c r="G235" s="85" t="s">
        <v>4</v>
      </c>
      <c r="H235" s="85" t="s">
        <v>8</v>
      </c>
      <c r="I235" s="85" t="s">
        <v>107</v>
      </c>
      <c r="J235" s="86">
        <v>43455</v>
      </c>
      <c r="K235" s="86">
        <v>43461</v>
      </c>
      <c r="L235" s="85" t="s">
        <v>107</v>
      </c>
      <c r="M235" s="85" t="s">
        <v>107</v>
      </c>
      <c r="N235" s="85" t="s">
        <v>107</v>
      </c>
      <c r="O235" s="85" t="s">
        <v>107</v>
      </c>
      <c r="P235" s="85" t="s">
        <v>107</v>
      </c>
      <c r="Q235" s="86">
        <v>43834</v>
      </c>
      <c r="R235" s="85" t="s">
        <v>107</v>
      </c>
      <c r="S235" s="85" t="s">
        <v>107</v>
      </c>
      <c r="T235" s="85" t="s">
        <v>107</v>
      </c>
      <c r="U235" s="85" t="s">
        <v>107</v>
      </c>
      <c r="V235" s="85" t="s">
        <v>107</v>
      </c>
      <c r="W235" s="85" t="s">
        <v>107</v>
      </c>
      <c r="X235" s="85" t="s">
        <v>107</v>
      </c>
      <c r="Y235" s="85" t="s">
        <v>107</v>
      </c>
      <c r="Z235" s="85" t="s">
        <v>107</v>
      </c>
      <c r="AA235" s="85" t="s">
        <v>107</v>
      </c>
      <c r="AB235" s="85" t="s">
        <v>107</v>
      </c>
      <c r="AC235" s="85" t="s">
        <v>107</v>
      </c>
      <c r="AD235" s="85" t="s">
        <v>107</v>
      </c>
      <c r="AE235" s="85" t="s">
        <v>107</v>
      </c>
      <c r="AF235" s="85" t="s">
        <v>107</v>
      </c>
      <c r="AG235" s="86">
        <v>43469</v>
      </c>
      <c r="AH235" s="85" t="s">
        <v>107</v>
      </c>
      <c r="AI235" s="85" t="s">
        <v>107</v>
      </c>
      <c r="AJ235" s="85" t="s">
        <v>107</v>
      </c>
      <c r="AK235" s="85" t="s">
        <v>107</v>
      </c>
      <c r="AL235" s="85" t="s">
        <v>107</v>
      </c>
      <c r="AM235" s="85" t="s">
        <v>107</v>
      </c>
      <c r="AN235" s="86">
        <v>43405</v>
      </c>
      <c r="AO235" s="86">
        <v>43209</v>
      </c>
      <c r="AP235" s="86">
        <v>43068</v>
      </c>
      <c r="AQ235" s="86">
        <v>42697</v>
      </c>
      <c r="AR235" s="86">
        <v>43172</v>
      </c>
      <c r="AS235" s="86">
        <v>43461</v>
      </c>
      <c r="AT235" s="86">
        <v>43172</v>
      </c>
      <c r="AU235" s="85" t="s">
        <v>107</v>
      </c>
      <c r="AV235" s="86">
        <v>43172</v>
      </c>
      <c r="AW235" s="86">
        <v>43172</v>
      </c>
    </row>
    <row r="236" spans="1:49" x14ac:dyDescent="0.2">
      <c r="A236" s="85" t="s">
        <v>812</v>
      </c>
      <c r="B236" s="85" t="s">
        <v>813</v>
      </c>
      <c r="C236" s="85" t="s">
        <v>814</v>
      </c>
      <c r="D236" s="85" t="s">
        <v>815</v>
      </c>
      <c r="E236" s="85" t="s">
        <v>163</v>
      </c>
      <c r="F236" s="85" t="s">
        <v>100</v>
      </c>
      <c r="G236" s="85" t="s">
        <v>4</v>
      </c>
      <c r="H236" s="85" t="s">
        <v>12</v>
      </c>
      <c r="I236" s="86">
        <v>43456</v>
      </c>
      <c r="J236" s="86">
        <v>43509</v>
      </c>
      <c r="K236" s="86">
        <v>43371</v>
      </c>
      <c r="L236" s="85" t="s">
        <v>99</v>
      </c>
      <c r="M236" s="86">
        <v>43371</v>
      </c>
      <c r="N236" s="86">
        <v>43371</v>
      </c>
      <c r="O236" s="86">
        <v>42438</v>
      </c>
      <c r="P236" s="86">
        <v>43329</v>
      </c>
      <c r="Q236" s="85" t="s">
        <v>59</v>
      </c>
      <c r="R236" s="85" t="s">
        <v>1652</v>
      </c>
      <c r="S236" s="86">
        <v>43647</v>
      </c>
      <c r="T236" s="85" t="s">
        <v>1652</v>
      </c>
      <c r="U236" s="85" t="s">
        <v>107</v>
      </c>
      <c r="V236" s="85" t="s">
        <v>107</v>
      </c>
      <c r="W236" s="85" t="s">
        <v>107</v>
      </c>
      <c r="X236" s="85" t="s">
        <v>107</v>
      </c>
      <c r="Y236" s="85" t="s">
        <v>107</v>
      </c>
      <c r="Z236" s="85" t="s">
        <v>107</v>
      </c>
      <c r="AA236" s="85" t="s">
        <v>107</v>
      </c>
      <c r="AB236" s="85" t="s">
        <v>107</v>
      </c>
      <c r="AC236" s="85" t="s">
        <v>107</v>
      </c>
      <c r="AD236" s="85" t="s">
        <v>107</v>
      </c>
      <c r="AE236" s="85" t="s">
        <v>107</v>
      </c>
      <c r="AF236" s="85" t="s">
        <v>107</v>
      </c>
      <c r="AG236" s="86">
        <v>43415</v>
      </c>
      <c r="AH236" s="85" t="s">
        <v>107</v>
      </c>
      <c r="AI236" s="85" t="s">
        <v>107</v>
      </c>
      <c r="AJ236" s="85" t="s">
        <v>107</v>
      </c>
      <c r="AK236" s="85" t="s">
        <v>59</v>
      </c>
      <c r="AL236" s="85" t="s">
        <v>107</v>
      </c>
      <c r="AM236" s="85" t="s">
        <v>107</v>
      </c>
      <c r="AN236" s="86">
        <v>43480</v>
      </c>
      <c r="AO236" s="86">
        <v>43213</v>
      </c>
      <c r="AP236" s="86">
        <v>43480</v>
      </c>
      <c r="AQ236" s="86">
        <v>43191</v>
      </c>
      <c r="AR236" s="86">
        <v>43480</v>
      </c>
      <c r="AS236" s="86">
        <v>43480</v>
      </c>
      <c r="AT236" s="86">
        <v>43480</v>
      </c>
      <c r="AU236" s="86">
        <v>43480</v>
      </c>
      <c r="AV236" s="86">
        <v>43480</v>
      </c>
      <c r="AW236" s="86">
        <v>43480</v>
      </c>
    </row>
    <row r="237" spans="1:49" x14ac:dyDescent="0.2">
      <c r="A237" s="85" t="s">
        <v>816</v>
      </c>
      <c r="B237" s="85" t="s">
        <v>817</v>
      </c>
      <c r="C237" s="85" t="s">
        <v>818</v>
      </c>
      <c r="D237" s="85" t="s">
        <v>819</v>
      </c>
      <c r="E237" s="85" t="s">
        <v>211</v>
      </c>
      <c r="F237" s="85" t="s">
        <v>122</v>
      </c>
      <c r="G237" s="85" t="s">
        <v>4</v>
      </c>
      <c r="H237" s="85" t="s">
        <v>10</v>
      </c>
      <c r="I237" s="86">
        <v>43497</v>
      </c>
      <c r="J237" s="86">
        <v>43502</v>
      </c>
      <c r="K237" s="86">
        <v>43165</v>
      </c>
      <c r="L237" s="85" t="s">
        <v>99</v>
      </c>
      <c r="M237" s="86">
        <v>43498</v>
      </c>
      <c r="N237" s="85" t="s">
        <v>107</v>
      </c>
      <c r="O237" s="86">
        <v>42377</v>
      </c>
      <c r="P237" s="86">
        <v>43172</v>
      </c>
      <c r="Q237" s="86">
        <v>43535</v>
      </c>
      <c r="R237" s="85" t="s">
        <v>1652</v>
      </c>
      <c r="S237" s="86">
        <v>44986</v>
      </c>
      <c r="T237" s="85" t="s">
        <v>1652</v>
      </c>
      <c r="U237" s="86">
        <v>43399</v>
      </c>
      <c r="V237" s="86">
        <v>43585</v>
      </c>
      <c r="W237" s="85" t="s">
        <v>1657</v>
      </c>
      <c r="X237" s="85" t="s">
        <v>114</v>
      </c>
      <c r="Y237" s="85">
        <v>1</v>
      </c>
      <c r="Z237" s="85" t="s">
        <v>114</v>
      </c>
      <c r="AA237" s="85"/>
      <c r="AB237" s="85" t="s">
        <v>114</v>
      </c>
      <c r="AC237" s="85" t="s">
        <v>114</v>
      </c>
      <c r="AD237" s="85" t="s">
        <v>114</v>
      </c>
      <c r="AE237" s="85" t="s">
        <v>1660</v>
      </c>
      <c r="AF237" s="85"/>
      <c r="AG237" s="86">
        <v>43166</v>
      </c>
      <c r="AH237" s="85" t="s">
        <v>107</v>
      </c>
      <c r="AI237" s="86">
        <v>42367</v>
      </c>
      <c r="AJ237" s="86">
        <v>43178</v>
      </c>
      <c r="AK237" s="86">
        <v>42382</v>
      </c>
      <c r="AL237" s="85" t="s">
        <v>107</v>
      </c>
      <c r="AM237" s="85" t="s">
        <v>107</v>
      </c>
      <c r="AN237" s="86">
        <v>43489</v>
      </c>
      <c r="AO237" s="86">
        <v>43489</v>
      </c>
      <c r="AP237" s="86">
        <v>43046</v>
      </c>
      <c r="AQ237" s="86">
        <v>42458</v>
      </c>
      <c r="AR237" s="86">
        <v>43489</v>
      </c>
      <c r="AS237" s="86">
        <v>43489</v>
      </c>
      <c r="AT237" s="86">
        <v>43489</v>
      </c>
      <c r="AU237" s="86">
        <v>43489</v>
      </c>
      <c r="AV237" s="86">
        <v>43489</v>
      </c>
      <c r="AW237" s="86">
        <v>43489</v>
      </c>
    </row>
    <row r="238" spans="1:49" x14ac:dyDescent="0.2">
      <c r="A238" s="85" t="s">
        <v>820</v>
      </c>
      <c r="B238" s="85" t="s">
        <v>821</v>
      </c>
      <c r="C238" s="85" t="s">
        <v>822</v>
      </c>
      <c r="D238" s="85" t="s">
        <v>429</v>
      </c>
      <c r="E238" s="85" t="s">
        <v>823</v>
      </c>
      <c r="F238" s="85" t="s">
        <v>106</v>
      </c>
      <c r="G238" s="85" t="s">
        <v>4</v>
      </c>
      <c r="H238" s="85" t="s">
        <v>12</v>
      </c>
      <c r="I238" s="85" t="s">
        <v>107</v>
      </c>
      <c r="J238" s="86">
        <v>43385</v>
      </c>
      <c r="K238" s="86">
        <v>43270</v>
      </c>
      <c r="L238" s="85" t="s">
        <v>107</v>
      </c>
      <c r="M238" s="85" t="s">
        <v>107</v>
      </c>
      <c r="N238" s="85" t="s">
        <v>107</v>
      </c>
      <c r="O238" s="85" t="s">
        <v>107</v>
      </c>
      <c r="P238" s="85" t="s">
        <v>107</v>
      </c>
      <c r="Q238" s="86">
        <v>42977</v>
      </c>
      <c r="R238" s="85" t="s">
        <v>107</v>
      </c>
      <c r="S238" s="85" t="s">
        <v>107</v>
      </c>
      <c r="T238" s="85" t="s">
        <v>107</v>
      </c>
      <c r="U238" s="85" t="s">
        <v>107</v>
      </c>
      <c r="V238" s="85" t="s">
        <v>107</v>
      </c>
      <c r="W238" s="85" t="s">
        <v>107</v>
      </c>
      <c r="X238" s="85" t="s">
        <v>107</v>
      </c>
      <c r="Y238" s="85" t="s">
        <v>107</v>
      </c>
      <c r="Z238" s="85" t="s">
        <v>107</v>
      </c>
      <c r="AA238" s="85" t="s">
        <v>107</v>
      </c>
      <c r="AB238" s="85" t="s">
        <v>107</v>
      </c>
      <c r="AC238" s="85" t="s">
        <v>107</v>
      </c>
      <c r="AD238" s="85" t="s">
        <v>107</v>
      </c>
      <c r="AE238" s="85" t="s">
        <v>107</v>
      </c>
      <c r="AF238" s="85" t="s">
        <v>107</v>
      </c>
      <c r="AG238" s="86">
        <v>43434</v>
      </c>
      <c r="AH238" s="85" t="s">
        <v>107</v>
      </c>
      <c r="AI238" s="85" t="s">
        <v>107</v>
      </c>
      <c r="AJ238" s="85" t="s">
        <v>107</v>
      </c>
      <c r="AK238" s="85" t="s">
        <v>107</v>
      </c>
      <c r="AL238" s="85" t="s">
        <v>107</v>
      </c>
      <c r="AM238" s="85" t="s">
        <v>107</v>
      </c>
      <c r="AN238" s="85"/>
      <c r="AO238" s="86">
        <v>43213</v>
      </c>
      <c r="AP238" s="86">
        <v>43157</v>
      </c>
      <c r="AQ238" s="86">
        <v>42356</v>
      </c>
      <c r="AR238" s="86">
        <v>43157</v>
      </c>
      <c r="AS238" s="86">
        <v>43431</v>
      </c>
      <c r="AT238" s="86">
        <v>43157</v>
      </c>
      <c r="AU238" s="85" t="s">
        <v>107</v>
      </c>
      <c r="AV238" s="86">
        <v>43157</v>
      </c>
      <c r="AW238" s="86">
        <v>43157</v>
      </c>
    </row>
    <row r="239" spans="1:49" x14ac:dyDescent="0.2">
      <c r="A239" s="85" t="s">
        <v>824</v>
      </c>
      <c r="B239" s="85" t="s">
        <v>825</v>
      </c>
      <c r="C239" s="85" t="s">
        <v>826</v>
      </c>
      <c r="D239" s="85" t="s">
        <v>827</v>
      </c>
      <c r="E239" s="85" t="s">
        <v>149</v>
      </c>
      <c r="F239" s="85" t="s">
        <v>106</v>
      </c>
      <c r="G239" s="85" t="s">
        <v>4</v>
      </c>
      <c r="H239" s="85" t="s">
        <v>12</v>
      </c>
      <c r="I239" s="85" t="s">
        <v>107</v>
      </c>
      <c r="J239" s="86">
        <v>43299</v>
      </c>
      <c r="K239" s="86">
        <v>43313</v>
      </c>
      <c r="L239" s="85" t="s">
        <v>107</v>
      </c>
      <c r="M239" s="85" t="s">
        <v>107</v>
      </c>
      <c r="N239" s="85" t="s">
        <v>107</v>
      </c>
      <c r="O239" s="85" t="s">
        <v>107</v>
      </c>
      <c r="P239" s="85" t="s">
        <v>107</v>
      </c>
      <c r="Q239" s="86">
        <v>43664</v>
      </c>
      <c r="R239" s="85" t="s">
        <v>107</v>
      </c>
      <c r="S239" s="85" t="s">
        <v>107</v>
      </c>
      <c r="T239" s="85" t="s">
        <v>107</v>
      </c>
      <c r="U239" s="85" t="s">
        <v>107</v>
      </c>
      <c r="V239" s="85" t="s">
        <v>107</v>
      </c>
      <c r="W239" s="85" t="s">
        <v>107</v>
      </c>
      <c r="X239" s="85" t="s">
        <v>107</v>
      </c>
      <c r="Y239" s="85" t="s">
        <v>107</v>
      </c>
      <c r="Z239" s="85" t="s">
        <v>107</v>
      </c>
      <c r="AA239" s="85" t="s">
        <v>107</v>
      </c>
      <c r="AB239" s="85" t="s">
        <v>107</v>
      </c>
      <c r="AC239" s="85" t="s">
        <v>107</v>
      </c>
      <c r="AD239" s="85" t="s">
        <v>107</v>
      </c>
      <c r="AE239" s="85" t="s">
        <v>107</v>
      </c>
      <c r="AF239" s="85" t="s">
        <v>107</v>
      </c>
      <c r="AG239" s="86">
        <v>43313</v>
      </c>
      <c r="AH239" s="85" t="s">
        <v>1972</v>
      </c>
      <c r="AI239" s="85" t="s">
        <v>107</v>
      </c>
      <c r="AJ239" s="85" t="s">
        <v>107</v>
      </c>
      <c r="AK239" s="85" t="s">
        <v>107</v>
      </c>
      <c r="AL239" s="85" t="s">
        <v>107</v>
      </c>
      <c r="AM239" s="85" t="s">
        <v>107</v>
      </c>
      <c r="AN239" s="85"/>
      <c r="AO239" s="86">
        <v>43299</v>
      </c>
      <c r="AP239" s="86">
        <v>43299</v>
      </c>
      <c r="AQ239" s="86">
        <v>43299</v>
      </c>
      <c r="AR239" s="86">
        <v>43299</v>
      </c>
      <c r="AS239" s="86">
        <v>43299</v>
      </c>
      <c r="AT239" s="86">
        <v>43299</v>
      </c>
      <c r="AU239" s="85" t="s">
        <v>107</v>
      </c>
      <c r="AV239" s="86">
        <v>43299</v>
      </c>
      <c r="AW239" s="86">
        <v>43299</v>
      </c>
    </row>
    <row r="240" spans="1:49" x14ac:dyDescent="0.2">
      <c r="A240" s="85" t="s">
        <v>828</v>
      </c>
      <c r="B240" s="85" t="s">
        <v>829</v>
      </c>
      <c r="C240" s="85" t="s">
        <v>830</v>
      </c>
      <c r="D240" s="85" t="s">
        <v>831</v>
      </c>
      <c r="E240" s="85" t="s">
        <v>201</v>
      </c>
      <c r="F240" s="85" t="s">
        <v>122</v>
      </c>
      <c r="G240" s="85" t="s">
        <v>4</v>
      </c>
      <c r="H240" s="85" t="s">
        <v>12</v>
      </c>
      <c r="I240" s="86">
        <v>43451</v>
      </c>
      <c r="J240" s="86">
        <v>43326</v>
      </c>
      <c r="K240" s="86">
        <v>43510</v>
      </c>
      <c r="L240" s="85" t="s">
        <v>99</v>
      </c>
      <c r="M240" s="86">
        <v>42980</v>
      </c>
      <c r="N240" s="85" t="s">
        <v>107</v>
      </c>
      <c r="O240" s="86">
        <v>42864</v>
      </c>
      <c r="P240" s="86">
        <v>43329</v>
      </c>
      <c r="Q240" s="86">
        <v>43872</v>
      </c>
      <c r="R240" s="85" t="s">
        <v>1658</v>
      </c>
      <c r="S240" s="86">
        <v>44593</v>
      </c>
      <c r="T240" s="85" t="s">
        <v>1652</v>
      </c>
      <c r="U240" s="86">
        <v>43434</v>
      </c>
      <c r="V240" s="86">
        <v>43821</v>
      </c>
      <c r="W240" s="85" t="s">
        <v>1657</v>
      </c>
      <c r="X240" s="85" t="s">
        <v>114</v>
      </c>
      <c r="Y240" s="85">
        <v>2</v>
      </c>
      <c r="Z240" s="85" t="s">
        <v>114</v>
      </c>
      <c r="AA240" s="85"/>
      <c r="AB240" s="85" t="s">
        <v>114</v>
      </c>
      <c r="AC240" s="85" t="s">
        <v>114</v>
      </c>
      <c r="AD240" s="85" t="s">
        <v>114</v>
      </c>
      <c r="AE240" s="85"/>
      <c r="AF240" s="85"/>
      <c r="AG240" s="86">
        <v>43327</v>
      </c>
      <c r="AH240" s="85" t="s">
        <v>1919</v>
      </c>
      <c r="AI240" s="86">
        <v>42537</v>
      </c>
      <c r="AJ240" s="86">
        <v>43396</v>
      </c>
      <c r="AK240" s="86">
        <v>42452</v>
      </c>
      <c r="AL240" s="85" t="s">
        <v>107</v>
      </c>
      <c r="AM240" s="85" t="s">
        <v>107</v>
      </c>
      <c r="AN240" s="86">
        <v>43405</v>
      </c>
      <c r="AO240" s="86">
        <v>43217</v>
      </c>
      <c r="AP240" s="86">
        <v>43405</v>
      </c>
      <c r="AQ240" s="86">
        <v>41941</v>
      </c>
      <c r="AR240" s="86">
        <v>43405</v>
      </c>
      <c r="AS240" s="86">
        <v>43405</v>
      </c>
      <c r="AT240" s="86">
        <v>43405</v>
      </c>
      <c r="AU240" s="86">
        <v>43405</v>
      </c>
      <c r="AV240" s="86">
        <v>43405</v>
      </c>
      <c r="AW240" s="86">
        <v>43405</v>
      </c>
    </row>
    <row r="241" spans="1:49" x14ac:dyDescent="0.2">
      <c r="A241" s="85" t="s">
        <v>1563</v>
      </c>
      <c r="B241" s="85" t="s">
        <v>1564</v>
      </c>
      <c r="C241" s="85" t="s">
        <v>1565</v>
      </c>
      <c r="D241" s="85" t="s">
        <v>528</v>
      </c>
      <c r="E241" s="85" t="s">
        <v>222</v>
      </c>
      <c r="F241" s="85" t="s">
        <v>106</v>
      </c>
      <c r="G241" s="85" t="s">
        <v>4</v>
      </c>
      <c r="H241" s="85" t="s">
        <v>12</v>
      </c>
      <c r="I241" s="85" t="s">
        <v>107</v>
      </c>
      <c r="J241" s="86">
        <v>43341</v>
      </c>
      <c r="K241" s="86">
        <v>43371</v>
      </c>
      <c r="L241" s="85" t="s">
        <v>107</v>
      </c>
      <c r="M241" s="85" t="s">
        <v>107</v>
      </c>
      <c r="N241" s="85" t="s">
        <v>107</v>
      </c>
      <c r="O241" s="85" t="s">
        <v>107</v>
      </c>
      <c r="P241" s="85" t="s">
        <v>107</v>
      </c>
      <c r="Q241" s="86">
        <v>43706</v>
      </c>
      <c r="R241" s="85" t="s">
        <v>107</v>
      </c>
      <c r="S241" s="85" t="s">
        <v>107</v>
      </c>
      <c r="T241" s="85" t="s">
        <v>107</v>
      </c>
      <c r="U241" s="85" t="s">
        <v>107</v>
      </c>
      <c r="V241" s="85" t="s">
        <v>107</v>
      </c>
      <c r="W241" s="85" t="s">
        <v>107</v>
      </c>
      <c r="X241" s="85" t="s">
        <v>107</v>
      </c>
      <c r="Y241" s="85" t="s">
        <v>107</v>
      </c>
      <c r="Z241" s="85" t="s">
        <v>107</v>
      </c>
      <c r="AA241" s="85" t="s">
        <v>107</v>
      </c>
      <c r="AB241" s="85" t="s">
        <v>107</v>
      </c>
      <c r="AC241" s="85" t="s">
        <v>107</v>
      </c>
      <c r="AD241" s="85" t="s">
        <v>107</v>
      </c>
      <c r="AE241" s="85" t="s">
        <v>107</v>
      </c>
      <c r="AF241" s="85" t="s">
        <v>107</v>
      </c>
      <c r="AG241" s="86">
        <v>43342</v>
      </c>
      <c r="AH241" s="85" t="s">
        <v>1973</v>
      </c>
      <c r="AI241" s="85" t="s">
        <v>107</v>
      </c>
      <c r="AJ241" s="85" t="s">
        <v>107</v>
      </c>
      <c r="AK241" s="85" t="s">
        <v>107</v>
      </c>
      <c r="AL241" s="85" t="s">
        <v>107</v>
      </c>
      <c r="AM241" s="85" t="s">
        <v>107</v>
      </c>
      <c r="AN241" s="85"/>
      <c r="AO241" s="86">
        <v>43340</v>
      </c>
      <c r="AP241" s="86">
        <v>43340</v>
      </c>
      <c r="AQ241" s="86">
        <v>43340</v>
      </c>
      <c r="AR241" s="86">
        <v>43340</v>
      </c>
      <c r="AS241" s="86">
        <v>43340</v>
      </c>
      <c r="AT241" s="86">
        <v>43340</v>
      </c>
      <c r="AU241" s="85" t="s">
        <v>107</v>
      </c>
      <c r="AV241" s="86">
        <v>43340</v>
      </c>
      <c r="AW241" s="86">
        <v>43340</v>
      </c>
    </row>
    <row r="242" spans="1:49" x14ac:dyDescent="0.2">
      <c r="A242" s="85" t="s">
        <v>832</v>
      </c>
      <c r="B242" s="85" t="s">
        <v>833</v>
      </c>
      <c r="C242" s="85" t="s">
        <v>834</v>
      </c>
      <c r="D242" s="85" t="s">
        <v>835</v>
      </c>
      <c r="E242" s="85" t="s">
        <v>149</v>
      </c>
      <c r="F242" s="85" t="s">
        <v>122</v>
      </c>
      <c r="G242" s="85" t="s">
        <v>4</v>
      </c>
      <c r="H242" s="85" t="s">
        <v>12</v>
      </c>
      <c r="I242" s="86">
        <v>43368</v>
      </c>
      <c r="J242" s="86">
        <v>43471</v>
      </c>
      <c r="K242" s="86">
        <v>43125</v>
      </c>
      <c r="L242" s="85" t="s">
        <v>99</v>
      </c>
      <c r="M242" s="86">
        <v>42872</v>
      </c>
      <c r="N242" s="85" t="s">
        <v>107</v>
      </c>
      <c r="O242" s="86">
        <v>43125</v>
      </c>
      <c r="P242" s="86">
        <v>43213</v>
      </c>
      <c r="Q242" s="86">
        <v>43490</v>
      </c>
      <c r="R242" s="85" t="s">
        <v>1652</v>
      </c>
      <c r="S242" s="86">
        <v>43497</v>
      </c>
      <c r="T242" s="85" t="s">
        <v>1652</v>
      </c>
      <c r="U242" s="86">
        <v>43417</v>
      </c>
      <c r="V242" s="86">
        <v>43616</v>
      </c>
      <c r="W242" s="85" t="s">
        <v>1655</v>
      </c>
      <c r="X242" s="85" t="s">
        <v>114</v>
      </c>
      <c r="Y242" s="85">
        <v>1</v>
      </c>
      <c r="Z242" s="85" t="s">
        <v>114</v>
      </c>
      <c r="AA242" s="85"/>
      <c r="AB242" s="85" t="s">
        <v>114</v>
      </c>
      <c r="AC242" s="85" t="s">
        <v>114</v>
      </c>
      <c r="AD242" s="85" t="s">
        <v>114</v>
      </c>
      <c r="AE242" s="85"/>
      <c r="AF242" s="85"/>
      <c r="AG242" s="86">
        <v>43216</v>
      </c>
      <c r="AH242" s="85" t="s">
        <v>107</v>
      </c>
      <c r="AI242" s="86">
        <v>42864</v>
      </c>
      <c r="AJ242" s="86">
        <v>43219</v>
      </c>
      <c r="AK242" s="86">
        <v>43125</v>
      </c>
      <c r="AL242" s="85" t="s">
        <v>107</v>
      </c>
      <c r="AM242" s="85" t="s">
        <v>107</v>
      </c>
      <c r="AN242" s="86">
        <v>43376</v>
      </c>
      <c r="AO242" s="86">
        <v>43216</v>
      </c>
      <c r="AP242" s="86">
        <v>43157</v>
      </c>
      <c r="AQ242" s="86">
        <v>43119</v>
      </c>
      <c r="AR242" s="86">
        <v>43200</v>
      </c>
      <c r="AS242" s="86">
        <v>43119</v>
      </c>
      <c r="AT242" s="86">
        <v>43119</v>
      </c>
      <c r="AU242" s="86">
        <v>43119</v>
      </c>
      <c r="AV242" s="86">
        <v>43119</v>
      </c>
      <c r="AW242" s="86">
        <v>43119</v>
      </c>
    </row>
    <row r="243" spans="1:49" x14ac:dyDescent="0.2">
      <c r="A243" s="85" t="s">
        <v>1712</v>
      </c>
      <c r="B243" s="85" t="s">
        <v>1713</v>
      </c>
      <c r="C243" s="85" t="s">
        <v>1714</v>
      </c>
      <c r="D243" s="85" t="s">
        <v>1715</v>
      </c>
      <c r="E243" s="85" t="s">
        <v>201</v>
      </c>
      <c r="F243" s="85" t="s">
        <v>1716</v>
      </c>
      <c r="G243" s="85" t="s">
        <v>4</v>
      </c>
      <c r="H243" s="85" t="s">
        <v>7</v>
      </c>
      <c r="I243" s="86">
        <v>43451</v>
      </c>
      <c r="J243" s="86">
        <v>43476</v>
      </c>
      <c r="K243" s="86">
        <v>43399</v>
      </c>
      <c r="L243" s="85" t="s">
        <v>99</v>
      </c>
      <c r="M243" s="86">
        <v>43477</v>
      </c>
      <c r="N243" s="85" t="s">
        <v>107</v>
      </c>
      <c r="O243" s="86">
        <v>43399</v>
      </c>
      <c r="P243" s="85"/>
      <c r="Q243" s="86">
        <v>43760</v>
      </c>
      <c r="R243" s="85" t="s">
        <v>1652</v>
      </c>
      <c r="S243" s="85" t="s">
        <v>59</v>
      </c>
      <c r="T243" s="85" t="s">
        <v>59</v>
      </c>
      <c r="U243" s="86">
        <v>43217</v>
      </c>
      <c r="V243" s="86">
        <v>43585</v>
      </c>
      <c r="W243" s="85" t="s">
        <v>1653</v>
      </c>
      <c r="X243" s="85" t="s">
        <v>114</v>
      </c>
      <c r="Y243" s="85">
        <v>1</v>
      </c>
      <c r="Z243" s="85" t="s">
        <v>114</v>
      </c>
      <c r="AA243" s="85"/>
      <c r="AB243" s="85" t="s">
        <v>114</v>
      </c>
      <c r="AC243" s="85" t="s">
        <v>119</v>
      </c>
      <c r="AD243" s="85" t="s">
        <v>119</v>
      </c>
      <c r="AE243" s="85" t="s">
        <v>1717</v>
      </c>
      <c r="AF243" s="85"/>
      <c r="AG243" s="85" t="s">
        <v>59</v>
      </c>
      <c r="AH243" s="85" t="s">
        <v>107</v>
      </c>
      <c r="AI243" s="85"/>
      <c r="AJ243" s="85"/>
      <c r="AK243" s="85"/>
      <c r="AL243" s="85" t="s">
        <v>107</v>
      </c>
      <c r="AM243" s="85" t="s">
        <v>107</v>
      </c>
      <c r="AN243" s="86">
        <v>43510</v>
      </c>
      <c r="AO243" s="86">
        <v>43510</v>
      </c>
      <c r="AP243" s="86">
        <v>43510</v>
      </c>
      <c r="AQ243" s="86">
        <v>43510</v>
      </c>
      <c r="AR243" s="86">
        <v>43510</v>
      </c>
      <c r="AS243" s="86">
        <v>43510</v>
      </c>
      <c r="AT243" s="86">
        <v>43510</v>
      </c>
      <c r="AU243" s="86">
        <v>43510</v>
      </c>
      <c r="AV243" s="86">
        <v>43510</v>
      </c>
      <c r="AW243" s="86">
        <v>43510</v>
      </c>
    </row>
    <row r="244" spans="1:49" x14ac:dyDescent="0.2">
      <c r="A244" s="85" t="s">
        <v>836</v>
      </c>
      <c r="B244" s="85" t="s">
        <v>837</v>
      </c>
      <c r="C244" s="85" t="s">
        <v>838</v>
      </c>
      <c r="D244" s="85" t="s">
        <v>839</v>
      </c>
      <c r="E244" s="85" t="s">
        <v>119</v>
      </c>
      <c r="F244" s="85" t="s">
        <v>106</v>
      </c>
      <c r="G244" s="85" t="s">
        <v>4</v>
      </c>
      <c r="H244" s="85" t="s">
        <v>9</v>
      </c>
      <c r="I244" s="85" t="s">
        <v>107</v>
      </c>
      <c r="J244" s="86">
        <v>43320</v>
      </c>
      <c r="K244" s="86">
        <v>43315</v>
      </c>
      <c r="L244" s="85" t="s">
        <v>107</v>
      </c>
      <c r="M244" s="85" t="s">
        <v>107</v>
      </c>
      <c r="N244" s="85" t="s">
        <v>107</v>
      </c>
      <c r="O244" s="85" t="s">
        <v>107</v>
      </c>
      <c r="P244" s="85" t="s">
        <v>107</v>
      </c>
      <c r="Q244" s="86">
        <v>43341</v>
      </c>
      <c r="R244" s="85" t="s">
        <v>107</v>
      </c>
      <c r="S244" s="85" t="s">
        <v>107</v>
      </c>
      <c r="T244" s="85" t="s">
        <v>107</v>
      </c>
      <c r="U244" s="85" t="s">
        <v>107</v>
      </c>
      <c r="V244" s="85" t="s">
        <v>107</v>
      </c>
      <c r="W244" s="85" t="s">
        <v>107</v>
      </c>
      <c r="X244" s="85" t="s">
        <v>107</v>
      </c>
      <c r="Y244" s="85" t="s">
        <v>107</v>
      </c>
      <c r="Z244" s="85" t="s">
        <v>107</v>
      </c>
      <c r="AA244" s="85" t="s">
        <v>107</v>
      </c>
      <c r="AB244" s="85" t="s">
        <v>107</v>
      </c>
      <c r="AC244" s="85" t="s">
        <v>107</v>
      </c>
      <c r="AD244" s="85" t="s">
        <v>107</v>
      </c>
      <c r="AE244" s="85" t="s">
        <v>107</v>
      </c>
      <c r="AF244" s="85" t="s">
        <v>107</v>
      </c>
      <c r="AG244" s="86">
        <v>43497</v>
      </c>
      <c r="AH244" s="85" t="s">
        <v>107</v>
      </c>
      <c r="AI244" s="85" t="s">
        <v>107</v>
      </c>
      <c r="AJ244" s="85" t="s">
        <v>107</v>
      </c>
      <c r="AK244" s="85" t="s">
        <v>107</v>
      </c>
      <c r="AL244" s="85" t="s">
        <v>107</v>
      </c>
      <c r="AM244" s="85" t="s">
        <v>107</v>
      </c>
      <c r="AN244" s="86">
        <v>43375</v>
      </c>
      <c r="AO244" s="86">
        <v>43207</v>
      </c>
      <c r="AP244" s="86">
        <v>43047</v>
      </c>
      <c r="AQ244" s="86">
        <v>41635</v>
      </c>
      <c r="AR244" s="86">
        <v>43315</v>
      </c>
      <c r="AS244" s="86">
        <v>43315</v>
      </c>
      <c r="AT244" s="86">
        <v>43315</v>
      </c>
      <c r="AU244" s="85" t="s">
        <v>107</v>
      </c>
      <c r="AV244" s="86">
        <v>43315</v>
      </c>
      <c r="AW244" s="86">
        <v>43315</v>
      </c>
    </row>
    <row r="245" spans="1:49" x14ac:dyDescent="0.2">
      <c r="A245" s="85" t="s">
        <v>840</v>
      </c>
      <c r="B245" s="85" t="s">
        <v>841</v>
      </c>
      <c r="C245" s="85" t="s">
        <v>842</v>
      </c>
      <c r="D245" s="85" t="s">
        <v>843</v>
      </c>
      <c r="E245" s="85" t="s">
        <v>119</v>
      </c>
      <c r="F245" s="85" t="s">
        <v>144</v>
      </c>
      <c r="G245" s="85" t="s">
        <v>4</v>
      </c>
      <c r="H245" s="85" t="s">
        <v>12</v>
      </c>
      <c r="I245" s="86">
        <v>43458</v>
      </c>
      <c r="J245" s="86">
        <v>43363</v>
      </c>
      <c r="K245" s="86">
        <v>43510</v>
      </c>
      <c r="L245" s="85" t="s">
        <v>99</v>
      </c>
      <c r="M245" s="86">
        <v>42487</v>
      </c>
      <c r="N245" s="85" t="s">
        <v>107</v>
      </c>
      <c r="O245" s="86">
        <v>43371</v>
      </c>
      <c r="P245" s="86">
        <v>43333</v>
      </c>
      <c r="Q245" s="86">
        <v>43736</v>
      </c>
      <c r="R245" s="85" t="s">
        <v>1652</v>
      </c>
      <c r="S245" s="86">
        <v>44166</v>
      </c>
      <c r="T245" s="85" t="s">
        <v>1652</v>
      </c>
      <c r="U245" s="86">
        <v>43349</v>
      </c>
      <c r="V245" s="86">
        <v>43738</v>
      </c>
      <c r="W245" s="85" t="s">
        <v>1653</v>
      </c>
      <c r="X245" s="85" t="s">
        <v>114</v>
      </c>
      <c r="Y245" s="85">
        <v>1</v>
      </c>
      <c r="Z245" s="85" t="s">
        <v>114</v>
      </c>
      <c r="AA245" s="85" t="s">
        <v>1659</v>
      </c>
      <c r="AB245" s="85" t="s">
        <v>114</v>
      </c>
      <c r="AC245" s="85" t="s">
        <v>114</v>
      </c>
      <c r="AD245" s="85" t="s">
        <v>114</v>
      </c>
      <c r="AE245" s="85"/>
      <c r="AF245" s="85"/>
      <c r="AG245" s="86">
        <v>43371</v>
      </c>
      <c r="AH245" s="85" t="s">
        <v>107</v>
      </c>
      <c r="AI245" s="86">
        <v>42472</v>
      </c>
      <c r="AJ245" s="86">
        <v>43250</v>
      </c>
      <c r="AK245" s="86">
        <v>42487</v>
      </c>
      <c r="AL245" s="85" t="s">
        <v>107</v>
      </c>
      <c r="AM245" s="85" t="s">
        <v>107</v>
      </c>
      <c r="AN245" s="86">
        <v>43480</v>
      </c>
      <c r="AO245" s="86">
        <v>43480</v>
      </c>
      <c r="AP245" s="86">
        <v>43480</v>
      </c>
      <c r="AQ245" s="86">
        <v>42481</v>
      </c>
      <c r="AR245" s="86">
        <v>43480</v>
      </c>
      <c r="AS245" s="86">
        <v>43480</v>
      </c>
      <c r="AT245" s="86">
        <v>43480</v>
      </c>
      <c r="AU245" s="86">
        <v>43480</v>
      </c>
      <c r="AV245" s="86">
        <v>43480</v>
      </c>
      <c r="AW245" s="86">
        <v>43480</v>
      </c>
    </row>
    <row r="246" spans="1:49" x14ac:dyDescent="0.2">
      <c r="A246" s="85" t="s">
        <v>844</v>
      </c>
      <c r="B246" s="85" t="s">
        <v>845</v>
      </c>
      <c r="C246" s="85" t="s">
        <v>846</v>
      </c>
      <c r="D246" s="85" t="s">
        <v>847</v>
      </c>
      <c r="E246" s="85" t="s">
        <v>240</v>
      </c>
      <c r="F246" s="85" t="s">
        <v>106</v>
      </c>
      <c r="G246" s="85" t="s">
        <v>4</v>
      </c>
      <c r="H246" s="85" t="s">
        <v>7</v>
      </c>
      <c r="I246" s="85" t="s">
        <v>107</v>
      </c>
      <c r="J246" s="86">
        <v>43165</v>
      </c>
      <c r="K246" s="86">
        <v>43254</v>
      </c>
      <c r="L246" s="85" t="s">
        <v>107</v>
      </c>
      <c r="M246" s="85" t="s">
        <v>107</v>
      </c>
      <c r="N246" s="85" t="s">
        <v>107</v>
      </c>
      <c r="O246" s="85" t="s">
        <v>107</v>
      </c>
      <c r="P246" s="85" t="s">
        <v>107</v>
      </c>
      <c r="Q246" s="86">
        <v>43631</v>
      </c>
      <c r="R246" s="85" t="s">
        <v>107</v>
      </c>
      <c r="S246" s="85" t="s">
        <v>107</v>
      </c>
      <c r="T246" s="85" t="s">
        <v>107</v>
      </c>
      <c r="U246" s="85" t="s">
        <v>107</v>
      </c>
      <c r="V246" s="85" t="s">
        <v>107</v>
      </c>
      <c r="W246" s="85" t="s">
        <v>107</v>
      </c>
      <c r="X246" s="85" t="s">
        <v>107</v>
      </c>
      <c r="Y246" s="85" t="s">
        <v>107</v>
      </c>
      <c r="Z246" s="85" t="s">
        <v>107</v>
      </c>
      <c r="AA246" s="85" t="s">
        <v>107</v>
      </c>
      <c r="AB246" s="85" t="s">
        <v>107</v>
      </c>
      <c r="AC246" s="85" t="s">
        <v>107</v>
      </c>
      <c r="AD246" s="85" t="s">
        <v>107</v>
      </c>
      <c r="AE246" s="85" t="s">
        <v>107</v>
      </c>
      <c r="AF246" s="85" t="s">
        <v>107</v>
      </c>
      <c r="AG246" s="86">
        <v>43266</v>
      </c>
      <c r="AH246" s="85" t="s">
        <v>107</v>
      </c>
      <c r="AI246" s="85" t="s">
        <v>107</v>
      </c>
      <c r="AJ246" s="85" t="s">
        <v>107</v>
      </c>
      <c r="AK246" s="85" t="s">
        <v>107</v>
      </c>
      <c r="AL246" s="85" t="s">
        <v>107</v>
      </c>
      <c r="AM246" s="85" t="s">
        <v>107</v>
      </c>
      <c r="AN246" s="86">
        <v>43398</v>
      </c>
      <c r="AO246" s="86">
        <v>43215</v>
      </c>
      <c r="AP246" s="86">
        <v>43188</v>
      </c>
      <c r="AQ246" s="86">
        <v>43188</v>
      </c>
      <c r="AR246" s="86">
        <v>43188</v>
      </c>
      <c r="AS246" s="86">
        <v>43238</v>
      </c>
      <c r="AT246" s="86">
        <v>43188</v>
      </c>
      <c r="AU246" s="85" t="s">
        <v>107</v>
      </c>
      <c r="AV246" s="86">
        <v>43188</v>
      </c>
      <c r="AW246" s="86">
        <v>43188</v>
      </c>
    </row>
    <row r="247" spans="1:49" x14ac:dyDescent="0.2">
      <c r="A247" s="85" t="s">
        <v>848</v>
      </c>
      <c r="B247" s="85" t="s">
        <v>849</v>
      </c>
      <c r="C247" s="85" t="s">
        <v>850</v>
      </c>
      <c r="D247" s="85" t="s">
        <v>851</v>
      </c>
      <c r="E247" s="85" t="s">
        <v>126</v>
      </c>
      <c r="F247" s="85" t="s">
        <v>113</v>
      </c>
      <c r="G247" s="85" t="s">
        <v>4</v>
      </c>
      <c r="H247" s="85" t="s">
        <v>5</v>
      </c>
      <c r="I247" s="86">
        <v>43431</v>
      </c>
      <c r="J247" s="86">
        <v>43167</v>
      </c>
      <c r="K247" s="86">
        <v>43479</v>
      </c>
      <c r="L247" s="85" t="s">
        <v>99</v>
      </c>
      <c r="M247" s="86">
        <v>42499</v>
      </c>
      <c r="N247" s="85" t="s">
        <v>107</v>
      </c>
      <c r="O247" s="86">
        <v>43167</v>
      </c>
      <c r="P247" s="86">
        <v>43271</v>
      </c>
      <c r="Q247" s="86">
        <v>43844</v>
      </c>
      <c r="R247" s="85" t="s">
        <v>1652</v>
      </c>
      <c r="S247" s="86">
        <v>43525</v>
      </c>
      <c r="T247" s="85" t="s">
        <v>1652</v>
      </c>
      <c r="U247" s="86">
        <v>43445</v>
      </c>
      <c r="V247" s="86">
        <v>43535</v>
      </c>
      <c r="W247" s="85" t="s">
        <v>1791</v>
      </c>
      <c r="X247" s="85" t="s">
        <v>114</v>
      </c>
      <c r="Y247" s="85">
        <v>1</v>
      </c>
      <c r="Z247" s="85" t="s">
        <v>114</v>
      </c>
      <c r="AA247" s="85"/>
      <c r="AB247" s="85" t="s">
        <v>114</v>
      </c>
      <c r="AC247" s="85" t="s">
        <v>114</v>
      </c>
      <c r="AD247" s="85" t="s">
        <v>114</v>
      </c>
      <c r="AE247" s="85"/>
      <c r="AF247" s="85"/>
      <c r="AG247" s="86">
        <v>43479</v>
      </c>
      <c r="AH247" s="85" t="s">
        <v>107</v>
      </c>
      <c r="AI247" s="85"/>
      <c r="AJ247" s="86">
        <v>43431</v>
      </c>
      <c r="AK247" s="86">
        <v>43167</v>
      </c>
      <c r="AL247" s="85" t="s">
        <v>107</v>
      </c>
      <c r="AM247" s="85" t="s">
        <v>107</v>
      </c>
      <c r="AN247" s="86">
        <v>43375</v>
      </c>
      <c r="AO247" s="86">
        <v>43207</v>
      </c>
      <c r="AP247" s="86">
        <v>43273</v>
      </c>
      <c r="AQ247" s="86">
        <v>43273</v>
      </c>
      <c r="AR247" s="86">
        <v>43273</v>
      </c>
      <c r="AS247" s="86">
        <v>43273</v>
      </c>
      <c r="AT247" s="86">
        <v>43273</v>
      </c>
      <c r="AU247" s="86">
        <v>43273</v>
      </c>
      <c r="AV247" s="86">
        <v>43273</v>
      </c>
      <c r="AW247" s="86">
        <v>43273</v>
      </c>
    </row>
    <row r="248" spans="1:49" x14ac:dyDescent="0.2">
      <c r="A248" s="85" t="s">
        <v>1718</v>
      </c>
      <c r="B248" s="85" t="s">
        <v>1719</v>
      </c>
      <c r="C248" s="85" t="s">
        <v>1720</v>
      </c>
      <c r="D248" s="85" t="s">
        <v>956</v>
      </c>
      <c r="E248" s="85"/>
      <c r="F248" s="85" t="s">
        <v>270</v>
      </c>
      <c r="G248" s="85" t="s">
        <v>4</v>
      </c>
      <c r="H248" s="85" t="s">
        <v>12</v>
      </c>
      <c r="I248" s="86">
        <v>43456</v>
      </c>
      <c r="J248" s="86">
        <v>43298</v>
      </c>
      <c r="K248" s="86">
        <v>43371</v>
      </c>
      <c r="L248" s="85" t="s">
        <v>99</v>
      </c>
      <c r="M248" s="86">
        <v>43363</v>
      </c>
      <c r="N248" s="85" t="s">
        <v>107</v>
      </c>
      <c r="O248" s="86">
        <v>43371</v>
      </c>
      <c r="P248" s="86">
        <v>43368</v>
      </c>
      <c r="Q248" s="86">
        <v>43736</v>
      </c>
      <c r="R248" s="85" t="s">
        <v>1652</v>
      </c>
      <c r="S248" s="86">
        <v>43770</v>
      </c>
      <c r="T248" s="85" t="s">
        <v>1658</v>
      </c>
      <c r="U248" s="86">
        <v>43403</v>
      </c>
      <c r="V248" s="86">
        <v>43585</v>
      </c>
      <c r="W248" s="85" t="s">
        <v>1655</v>
      </c>
      <c r="X248" s="85" t="s">
        <v>114</v>
      </c>
      <c r="Y248" s="85">
        <v>1</v>
      </c>
      <c r="Z248" s="85" t="s">
        <v>114</v>
      </c>
      <c r="AA248" s="85"/>
      <c r="AB248" s="85" t="s">
        <v>114</v>
      </c>
      <c r="AC248" s="85" t="s">
        <v>119</v>
      </c>
      <c r="AD248" s="85" t="s">
        <v>119</v>
      </c>
      <c r="AE248" s="85" t="s">
        <v>1717</v>
      </c>
      <c r="AF248" s="85"/>
      <c r="AG248" s="85" t="s">
        <v>59</v>
      </c>
      <c r="AH248" s="85" t="s">
        <v>107</v>
      </c>
      <c r="AI248" s="86">
        <v>43396</v>
      </c>
      <c r="AJ248" s="86">
        <v>43396</v>
      </c>
      <c r="AK248" s="85"/>
      <c r="AL248" s="85"/>
      <c r="AM248" s="85"/>
      <c r="AN248" s="86">
        <v>43398</v>
      </c>
      <c r="AO248" s="86">
        <v>43360</v>
      </c>
      <c r="AP248" s="86">
        <v>43360</v>
      </c>
      <c r="AQ248" s="86">
        <v>43360</v>
      </c>
      <c r="AR248" s="86">
        <v>43360</v>
      </c>
      <c r="AS248" s="86">
        <v>43360</v>
      </c>
      <c r="AT248" s="86">
        <v>43360</v>
      </c>
      <c r="AU248" s="86">
        <v>43360</v>
      </c>
      <c r="AV248" s="86">
        <v>43360</v>
      </c>
      <c r="AW248" s="86">
        <v>43360</v>
      </c>
    </row>
    <row r="249" spans="1:49" x14ac:dyDescent="0.2">
      <c r="A249" s="85" t="s">
        <v>852</v>
      </c>
      <c r="B249" s="85" t="s">
        <v>853</v>
      </c>
      <c r="C249" s="85" t="s">
        <v>854</v>
      </c>
      <c r="D249" s="85" t="s">
        <v>855</v>
      </c>
      <c r="E249" s="85" t="s">
        <v>141</v>
      </c>
      <c r="F249" s="85" t="s">
        <v>122</v>
      </c>
      <c r="G249" s="85" t="s">
        <v>4</v>
      </c>
      <c r="H249" s="85" t="s">
        <v>7</v>
      </c>
      <c r="I249" s="86">
        <v>43469</v>
      </c>
      <c r="J249" s="86">
        <v>43167</v>
      </c>
      <c r="K249" s="86">
        <v>43164</v>
      </c>
      <c r="L249" s="85" t="s">
        <v>99</v>
      </c>
      <c r="M249" s="86">
        <v>43314</v>
      </c>
      <c r="N249" s="85" t="s">
        <v>107</v>
      </c>
      <c r="O249" s="86">
        <v>43164</v>
      </c>
      <c r="P249" s="86">
        <v>43214</v>
      </c>
      <c r="Q249" s="86">
        <v>43532</v>
      </c>
      <c r="R249" s="85" t="s">
        <v>1652</v>
      </c>
      <c r="S249" s="86">
        <v>43497</v>
      </c>
      <c r="T249" s="85" t="s">
        <v>1652</v>
      </c>
      <c r="U249" s="86">
        <v>43440</v>
      </c>
      <c r="V249" s="86">
        <v>43780</v>
      </c>
      <c r="W249" s="85" t="s">
        <v>1662</v>
      </c>
      <c r="X249" s="85" t="s">
        <v>114</v>
      </c>
      <c r="Y249" s="85">
        <v>1</v>
      </c>
      <c r="Z249" s="85" t="s">
        <v>211</v>
      </c>
      <c r="AA249" s="85"/>
      <c r="AB249" s="85" t="s">
        <v>114</v>
      </c>
      <c r="AC249" s="85" t="s">
        <v>114</v>
      </c>
      <c r="AD249" s="85" t="s">
        <v>211</v>
      </c>
      <c r="AE249" s="85" t="s">
        <v>1661</v>
      </c>
      <c r="AF249" s="86">
        <v>43586</v>
      </c>
      <c r="AG249" s="86">
        <v>43314</v>
      </c>
      <c r="AH249" s="85" t="s">
        <v>107</v>
      </c>
      <c r="AI249" s="86">
        <v>42975</v>
      </c>
      <c r="AJ249" s="86">
        <v>43411</v>
      </c>
      <c r="AK249" s="86">
        <v>43164</v>
      </c>
      <c r="AL249" s="85" t="s">
        <v>107</v>
      </c>
      <c r="AM249" s="85" t="s">
        <v>107</v>
      </c>
      <c r="AN249" s="86">
        <v>43398</v>
      </c>
      <c r="AO249" s="86">
        <v>43207</v>
      </c>
      <c r="AP249" s="86">
        <v>43315</v>
      </c>
      <c r="AQ249" s="86">
        <v>43315</v>
      </c>
      <c r="AR249" s="86">
        <v>43315</v>
      </c>
      <c r="AS249" s="86">
        <v>43315</v>
      </c>
      <c r="AT249" s="86">
        <v>43315</v>
      </c>
      <c r="AU249" s="86">
        <v>43315</v>
      </c>
      <c r="AV249" s="86">
        <v>43315</v>
      </c>
      <c r="AW249" s="86">
        <v>43315</v>
      </c>
    </row>
    <row r="250" spans="1:49" x14ac:dyDescent="0.2">
      <c r="A250" s="85" t="s">
        <v>856</v>
      </c>
      <c r="B250" s="85" t="s">
        <v>857</v>
      </c>
      <c r="C250" s="85" t="s">
        <v>858</v>
      </c>
      <c r="D250" s="85" t="s">
        <v>429</v>
      </c>
      <c r="E250" s="85" t="s">
        <v>126</v>
      </c>
      <c r="F250" s="85" t="s">
        <v>113</v>
      </c>
      <c r="G250" s="85" t="s">
        <v>4</v>
      </c>
      <c r="H250" s="85" t="s">
        <v>12</v>
      </c>
      <c r="I250" s="86">
        <v>43368</v>
      </c>
      <c r="J250" s="86">
        <v>43125</v>
      </c>
      <c r="K250" s="86">
        <v>43125</v>
      </c>
      <c r="L250" s="85" t="s">
        <v>99</v>
      </c>
      <c r="M250" s="86">
        <v>42779</v>
      </c>
      <c r="N250" s="85" t="s">
        <v>107</v>
      </c>
      <c r="O250" s="86">
        <v>43125</v>
      </c>
      <c r="P250" s="86">
        <v>43227</v>
      </c>
      <c r="Q250" s="86">
        <v>43490</v>
      </c>
      <c r="R250" s="85" t="s">
        <v>1652</v>
      </c>
      <c r="S250" s="86">
        <v>43862</v>
      </c>
      <c r="T250" s="85" t="s">
        <v>1652</v>
      </c>
      <c r="U250" s="86">
        <v>43447</v>
      </c>
      <c r="V250" s="86">
        <v>43646</v>
      </c>
      <c r="W250" s="85" t="s">
        <v>1655</v>
      </c>
      <c r="X250" s="85" t="s">
        <v>114</v>
      </c>
      <c r="Y250" s="85">
        <v>1</v>
      </c>
      <c r="Z250" s="85" t="s">
        <v>114</v>
      </c>
      <c r="AA250" s="85"/>
      <c r="AB250" s="85" t="s">
        <v>114</v>
      </c>
      <c r="AC250" s="85" t="s">
        <v>114</v>
      </c>
      <c r="AD250" s="85" t="s">
        <v>114</v>
      </c>
      <c r="AE250" s="85"/>
      <c r="AF250" s="85"/>
      <c r="AG250" s="86">
        <v>43192</v>
      </c>
      <c r="AH250" s="85" t="s">
        <v>107</v>
      </c>
      <c r="AI250" s="86">
        <v>42370</v>
      </c>
      <c r="AJ250" s="86">
        <v>43219</v>
      </c>
      <c r="AK250" s="86">
        <v>43125</v>
      </c>
      <c r="AL250" s="85" t="s">
        <v>107</v>
      </c>
      <c r="AM250" s="85" t="s">
        <v>107</v>
      </c>
      <c r="AN250" s="86">
        <v>43376</v>
      </c>
      <c r="AO250" s="86">
        <v>43213</v>
      </c>
      <c r="AP250" s="86">
        <v>43157</v>
      </c>
      <c r="AQ250" s="86">
        <v>42418</v>
      </c>
      <c r="AR250" s="86">
        <v>43258</v>
      </c>
      <c r="AS250" s="86">
        <v>43200</v>
      </c>
      <c r="AT250" s="86">
        <v>43125</v>
      </c>
      <c r="AU250" s="86">
        <v>43125</v>
      </c>
      <c r="AV250" s="86">
        <v>43125</v>
      </c>
      <c r="AW250" s="86">
        <v>43125</v>
      </c>
    </row>
    <row r="251" spans="1:49" x14ac:dyDescent="0.2">
      <c r="A251" s="85" t="s">
        <v>1800</v>
      </c>
      <c r="B251" s="85" t="s">
        <v>1801</v>
      </c>
      <c r="C251" s="85" t="s">
        <v>1802</v>
      </c>
      <c r="D251" s="85" t="s">
        <v>426</v>
      </c>
      <c r="E251" s="85" t="s">
        <v>105</v>
      </c>
      <c r="F251" s="85" t="s">
        <v>122</v>
      </c>
      <c r="G251" s="85" t="s">
        <v>4</v>
      </c>
      <c r="H251" s="85" t="s">
        <v>5</v>
      </c>
      <c r="I251" s="86">
        <v>43224</v>
      </c>
      <c r="J251" s="86">
        <v>43234</v>
      </c>
      <c r="K251" s="86">
        <v>43434</v>
      </c>
      <c r="L251" s="85" t="s">
        <v>99</v>
      </c>
      <c r="M251" s="85"/>
      <c r="N251" s="85" t="s">
        <v>107</v>
      </c>
      <c r="O251" s="86">
        <v>43434</v>
      </c>
      <c r="P251" s="86">
        <v>43455</v>
      </c>
      <c r="Q251" s="86">
        <v>43799</v>
      </c>
      <c r="R251" s="85" t="s">
        <v>1652</v>
      </c>
      <c r="S251" s="86">
        <v>45017</v>
      </c>
      <c r="T251" s="85" t="s">
        <v>1658</v>
      </c>
      <c r="U251" s="86">
        <v>43496</v>
      </c>
      <c r="V251" s="86">
        <v>43586</v>
      </c>
      <c r="W251" s="85" t="s">
        <v>1791</v>
      </c>
      <c r="X251" s="85" t="s">
        <v>114</v>
      </c>
      <c r="Y251" s="85">
        <v>2</v>
      </c>
      <c r="Z251" s="85" t="s">
        <v>114</v>
      </c>
      <c r="AA251" s="85"/>
      <c r="AB251" s="85" t="s">
        <v>114</v>
      </c>
      <c r="AC251" s="85" t="s">
        <v>114</v>
      </c>
      <c r="AD251" s="85" t="s">
        <v>114</v>
      </c>
      <c r="AE251" s="85"/>
      <c r="AF251" s="85"/>
      <c r="AG251" s="85" t="s">
        <v>59</v>
      </c>
      <c r="AH251" s="85" t="s">
        <v>107</v>
      </c>
      <c r="AI251" s="85" t="s">
        <v>59</v>
      </c>
      <c r="AJ251" s="85" t="s">
        <v>59</v>
      </c>
      <c r="AK251" s="85" t="s">
        <v>59</v>
      </c>
      <c r="AL251" s="85" t="s">
        <v>107</v>
      </c>
      <c r="AM251" s="85" t="s">
        <v>107</v>
      </c>
      <c r="AN251" s="86">
        <v>43433</v>
      </c>
      <c r="AO251" s="86">
        <v>43433</v>
      </c>
      <c r="AP251" s="86">
        <v>43433</v>
      </c>
      <c r="AQ251" s="86">
        <v>43433</v>
      </c>
      <c r="AR251" s="86">
        <v>43433</v>
      </c>
      <c r="AS251" s="86">
        <v>43433</v>
      </c>
      <c r="AT251" s="86">
        <v>43433</v>
      </c>
      <c r="AU251" s="86">
        <v>43433</v>
      </c>
      <c r="AV251" s="86">
        <v>43433</v>
      </c>
      <c r="AW251" s="86">
        <v>43433</v>
      </c>
    </row>
    <row r="252" spans="1:49" x14ac:dyDescent="0.2">
      <c r="A252" s="85" t="s">
        <v>859</v>
      </c>
      <c r="B252" s="85" t="s">
        <v>860</v>
      </c>
      <c r="C252" s="85" t="s">
        <v>861</v>
      </c>
      <c r="D252" s="85" t="s">
        <v>862</v>
      </c>
      <c r="E252" s="85" t="s">
        <v>163</v>
      </c>
      <c r="F252" s="85" t="s">
        <v>122</v>
      </c>
      <c r="G252" s="85" t="s">
        <v>4</v>
      </c>
      <c r="H252" s="85" t="s">
        <v>8</v>
      </c>
      <c r="I252" s="86">
        <v>43488</v>
      </c>
      <c r="J252" s="86">
        <v>43167</v>
      </c>
      <c r="K252" s="86">
        <v>43167</v>
      </c>
      <c r="L252" s="85" t="s">
        <v>99</v>
      </c>
      <c r="M252" s="86">
        <v>43157</v>
      </c>
      <c r="N252" s="85" t="s">
        <v>107</v>
      </c>
      <c r="O252" s="86">
        <v>43167</v>
      </c>
      <c r="P252" s="86">
        <v>43269</v>
      </c>
      <c r="Q252" s="86">
        <v>43532</v>
      </c>
      <c r="R252" s="85" t="s">
        <v>1652</v>
      </c>
      <c r="S252" s="86">
        <v>43556</v>
      </c>
      <c r="T252" s="85" t="s">
        <v>1652</v>
      </c>
      <c r="U252" s="86">
        <v>43342</v>
      </c>
      <c r="V252" s="86">
        <v>43524</v>
      </c>
      <c r="W252" s="85" t="s">
        <v>1655</v>
      </c>
      <c r="X252" s="85" t="s">
        <v>114</v>
      </c>
      <c r="Y252" s="85">
        <v>2</v>
      </c>
      <c r="Z252" s="85" t="s">
        <v>114</v>
      </c>
      <c r="AA252" s="85"/>
      <c r="AB252" s="85" t="s">
        <v>114</v>
      </c>
      <c r="AC252" s="85" t="s">
        <v>114</v>
      </c>
      <c r="AD252" s="85" t="s">
        <v>114</v>
      </c>
      <c r="AE252" s="85"/>
      <c r="AF252" s="85"/>
      <c r="AG252" s="86">
        <v>43297</v>
      </c>
      <c r="AH252" s="85" t="s">
        <v>107</v>
      </c>
      <c r="AI252" s="86">
        <v>42795</v>
      </c>
      <c r="AJ252" s="86">
        <v>43177</v>
      </c>
      <c r="AK252" s="86">
        <v>43167</v>
      </c>
      <c r="AL252" s="85" t="s">
        <v>107</v>
      </c>
      <c r="AM252" s="85" t="s">
        <v>107</v>
      </c>
      <c r="AN252" s="86">
        <v>43405</v>
      </c>
      <c r="AO252" s="86">
        <v>43209</v>
      </c>
      <c r="AP252" s="86">
        <v>43158</v>
      </c>
      <c r="AQ252" s="86">
        <v>42816</v>
      </c>
      <c r="AR252" s="86">
        <v>43158</v>
      </c>
      <c r="AS252" s="86">
        <v>43297</v>
      </c>
      <c r="AT252" s="86">
        <v>42816</v>
      </c>
      <c r="AU252" s="86">
        <v>43158</v>
      </c>
      <c r="AV252" s="86">
        <v>43158</v>
      </c>
      <c r="AW252" s="86">
        <v>43158</v>
      </c>
    </row>
    <row r="253" spans="1:49" x14ac:dyDescent="0.2">
      <c r="A253" s="85" t="s">
        <v>863</v>
      </c>
      <c r="B253" s="85" t="s">
        <v>864</v>
      </c>
      <c r="C253" s="85" t="s">
        <v>865</v>
      </c>
      <c r="D253" s="85" t="s">
        <v>772</v>
      </c>
      <c r="E253" s="85" t="s">
        <v>222</v>
      </c>
      <c r="F253" s="85" t="s">
        <v>122</v>
      </c>
      <c r="G253" s="85" t="s">
        <v>4</v>
      </c>
      <c r="H253" s="85" t="s">
        <v>7</v>
      </c>
      <c r="I253" s="86">
        <v>43463</v>
      </c>
      <c r="J253" s="86">
        <v>43408</v>
      </c>
      <c r="K253" s="86">
        <v>43434</v>
      </c>
      <c r="L253" s="85" t="s">
        <v>99</v>
      </c>
      <c r="M253" s="86">
        <v>43084</v>
      </c>
      <c r="N253" s="85" t="s">
        <v>107</v>
      </c>
      <c r="O253" s="86">
        <v>43271</v>
      </c>
      <c r="P253" s="86">
        <v>43276</v>
      </c>
      <c r="Q253" s="86">
        <v>43726</v>
      </c>
      <c r="R253" s="85" t="s">
        <v>1652</v>
      </c>
      <c r="S253" s="86">
        <v>44105</v>
      </c>
      <c r="T253" s="85" t="s">
        <v>1652</v>
      </c>
      <c r="U253" s="86">
        <v>43313</v>
      </c>
      <c r="V253" s="86">
        <v>43524</v>
      </c>
      <c r="W253" s="85" t="s">
        <v>1655</v>
      </c>
      <c r="X253" s="85" t="s">
        <v>114</v>
      </c>
      <c r="Y253" s="85">
        <v>1</v>
      </c>
      <c r="Z253" s="85" t="s">
        <v>114</v>
      </c>
      <c r="AA253" s="85"/>
      <c r="AB253" s="85" t="s">
        <v>211</v>
      </c>
      <c r="AC253" s="85" t="s">
        <v>114</v>
      </c>
      <c r="AD253" s="85" t="s">
        <v>211</v>
      </c>
      <c r="AE253" s="85" t="s">
        <v>1656</v>
      </c>
      <c r="AF253" s="86">
        <v>43564</v>
      </c>
      <c r="AG253" s="86">
        <v>43417</v>
      </c>
      <c r="AH253" s="85" t="s">
        <v>107</v>
      </c>
      <c r="AI253" s="86">
        <v>43136</v>
      </c>
      <c r="AJ253" s="86">
        <v>43136</v>
      </c>
      <c r="AK253" s="86">
        <v>43082</v>
      </c>
      <c r="AL253" s="85" t="s">
        <v>107</v>
      </c>
      <c r="AM253" s="85" t="s">
        <v>107</v>
      </c>
      <c r="AN253" s="86">
        <v>43403</v>
      </c>
      <c r="AO253" s="86">
        <v>43207</v>
      </c>
      <c r="AP253" s="86">
        <v>43102</v>
      </c>
      <c r="AQ253" s="86">
        <v>43103</v>
      </c>
      <c r="AR253" s="86">
        <v>43118</v>
      </c>
      <c r="AS253" s="86">
        <v>43102</v>
      </c>
      <c r="AT253" s="86">
        <v>43103</v>
      </c>
      <c r="AU253" s="86">
        <v>43103</v>
      </c>
      <c r="AV253" s="86">
        <v>43103</v>
      </c>
      <c r="AW253" s="86">
        <v>43103</v>
      </c>
    </row>
    <row r="254" spans="1:49" x14ac:dyDescent="0.2">
      <c r="A254" s="85" t="s">
        <v>866</v>
      </c>
      <c r="B254" s="85" t="s">
        <v>867</v>
      </c>
      <c r="C254" s="85" t="s">
        <v>868</v>
      </c>
      <c r="D254" s="85" t="s">
        <v>429</v>
      </c>
      <c r="E254" s="85" t="s">
        <v>291</v>
      </c>
      <c r="F254" s="85" t="s">
        <v>122</v>
      </c>
      <c r="G254" s="85" t="s">
        <v>4</v>
      </c>
      <c r="H254" s="85" t="s">
        <v>10</v>
      </c>
      <c r="I254" s="86">
        <v>43173</v>
      </c>
      <c r="J254" s="86">
        <v>43417</v>
      </c>
      <c r="K254" s="86">
        <v>43467</v>
      </c>
      <c r="L254" s="85" t="s">
        <v>99</v>
      </c>
      <c r="M254" s="86">
        <v>42724</v>
      </c>
      <c r="N254" s="85" t="s">
        <v>107</v>
      </c>
      <c r="O254" s="86">
        <v>42759</v>
      </c>
      <c r="P254" s="86">
        <v>43329</v>
      </c>
      <c r="Q254" s="86">
        <v>43490</v>
      </c>
      <c r="R254" s="85" t="s">
        <v>1652</v>
      </c>
      <c r="S254" s="86">
        <v>43891</v>
      </c>
      <c r="T254" s="85" t="s">
        <v>1652</v>
      </c>
      <c r="U254" s="86">
        <v>43494</v>
      </c>
      <c r="V254" s="86">
        <v>43677</v>
      </c>
      <c r="W254" s="85" t="s">
        <v>1657</v>
      </c>
      <c r="X254" s="85" t="s">
        <v>114</v>
      </c>
      <c r="Y254" s="85">
        <v>1</v>
      </c>
      <c r="Z254" s="85" t="s">
        <v>114</v>
      </c>
      <c r="AA254" s="85"/>
      <c r="AB254" s="85" t="s">
        <v>114</v>
      </c>
      <c r="AC254" s="85" t="s">
        <v>114</v>
      </c>
      <c r="AD254" s="85" t="s">
        <v>114</v>
      </c>
      <c r="AE254" s="85"/>
      <c r="AF254" s="85"/>
      <c r="AG254" s="86">
        <v>43283</v>
      </c>
      <c r="AH254" s="85" t="s">
        <v>107</v>
      </c>
      <c r="AI254" s="86">
        <v>43378</v>
      </c>
      <c r="AJ254" s="86">
        <v>43378</v>
      </c>
      <c r="AK254" s="86">
        <v>42720</v>
      </c>
      <c r="AL254" s="85" t="s">
        <v>107</v>
      </c>
      <c r="AM254" s="85" t="s">
        <v>107</v>
      </c>
      <c r="AN254" s="86">
        <v>43403</v>
      </c>
      <c r="AO254" s="86">
        <v>43220</v>
      </c>
      <c r="AP254" s="86">
        <v>43047</v>
      </c>
      <c r="AQ254" s="86">
        <v>42738</v>
      </c>
      <c r="AR254" s="86">
        <v>43482</v>
      </c>
      <c r="AS254" s="86">
        <v>43482</v>
      </c>
      <c r="AT254" s="86">
        <v>43482</v>
      </c>
      <c r="AU254" s="86">
        <v>43482</v>
      </c>
      <c r="AV254" s="86">
        <v>43482</v>
      </c>
      <c r="AW254" s="86">
        <v>43482</v>
      </c>
    </row>
    <row r="255" spans="1:49" x14ac:dyDescent="0.2">
      <c r="A255" s="85" t="s">
        <v>1607</v>
      </c>
      <c r="B255" s="85" t="s">
        <v>1608</v>
      </c>
      <c r="C255" s="85" t="s">
        <v>1609</v>
      </c>
      <c r="D255" s="85" t="s">
        <v>605</v>
      </c>
      <c r="E255" s="85" t="s">
        <v>119</v>
      </c>
      <c r="F255" s="85" t="s">
        <v>106</v>
      </c>
      <c r="G255" s="85" t="s">
        <v>4</v>
      </c>
      <c r="H255" s="85" t="s">
        <v>12</v>
      </c>
      <c r="I255" s="85" t="s">
        <v>107</v>
      </c>
      <c r="J255" s="86">
        <v>43341</v>
      </c>
      <c r="K255" s="86">
        <v>43341</v>
      </c>
      <c r="L255" s="85" t="s">
        <v>107</v>
      </c>
      <c r="M255" s="85" t="s">
        <v>107</v>
      </c>
      <c r="N255" s="85" t="s">
        <v>107</v>
      </c>
      <c r="O255" s="85" t="s">
        <v>107</v>
      </c>
      <c r="P255" s="85" t="s">
        <v>107</v>
      </c>
      <c r="Q255" s="86">
        <v>43706</v>
      </c>
      <c r="R255" s="85" t="s">
        <v>107</v>
      </c>
      <c r="S255" s="85" t="s">
        <v>107</v>
      </c>
      <c r="T255" s="85" t="s">
        <v>107</v>
      </c>
      <c r="U255" s="85" t="s">
        <v>107</v>
      </c>
      <c r="V255" s="85" t="s">
        <v>107</v>
      </c>
      <c r="W255" s="85" t="s">
        <v>107</v>
      </c>
      <c r="X255" s="85" t="s">
        <v>107</v>
      </c>
      <c r="Y255" s="85" t="s">
        <v>107</v>
      </c>
      <c r="Z255" s="85" t="s">
        <v>107</v>
      </c>
      <c r="AA255" s="85" t="s">
        <v>107</v>
      </c>
      <c r="AB255" s="85" t="s">
        <v>107</v>
      </c>
      <c r="AC255" s="85" t="s">
        <v>107</v>
      </c>
      <c r="AD255" s="85" t="s">
        <v>107</v>
      </c>
      <c r="AE255" s="85" t="s">
        <v>107</v>
      </c>
      <c r="AF255" s="85" t="s">
        <v>107</v>
      </c>
      <c r="AG255" s="85" t="s">
        <v>59</v>
      </c>
      <c r="AH255" s="85" t="s">
        <v>1974</v>
      </c>
      <c r="AI255" s="85" t="s">
        <v>107</v>
      </c>
      <c r="AJ255" s="85" t="s">
        <v>107</v>
      </c>
      <c r="AK255" s="85" t="s">
        <v>107</v>
      </c>
      <c r="AL255" s="85" t="s">
        <v>107</v>
      </c>
      <c r="AM255" s="85" t="s">
        <v>107</v>
      </c>
      <c r="AN255" s="85" t="s">
        <v>59</v>
      </c>
      <c r="AO255" s="85" t="s">
        <v>59</v>
      </c>
      <c r="AP255" s="85" t="s">
        <v>59</v>
      </c>
      <c r="AQ255" s="85" t="s">
        <v>59</v>
      </c>
      <c r="AR255" s="85" t="s">
        <v>59</v>
      </c>
      <c r="AS255" s="85" t="s">
        <v>59</v>
      </c>
      <c r="AT255" s="85" t="s">
        <v>59</v>
      </c>
      <c r="AU255" s="85" t="s">
        <v>107</v>
      </c>
      <c r="AV255" s="85" t="s">
        <v>59</v>
      </c>
      <c r="AW255" s="85" t="s">
        <v>59</v>
      </c>
    </row>
    <row r="256" spans="1:49" x14ac:dyDescent="0.2">
      <c r="A256" s="85" t="s">
        <v>1753</v>
      </c>
      <c r="B256" s="85" t="s">
        <v>1754</v>
      </c>
      <c r="C256" s="85" t="s">
        <v>1755</v>
      </c>
      <c r="D256" s="85" t="s">
        <v>134</v>
      </c>
      <c r="E256" s="85" t="s">
        <v>143</v>
      </c>
      <c r="F256" s="85" t="s">
        <v>122</v>
      </c>
      <c r="G256" s="85" t="s">
        <v>4</v>
      </c>
      <c r="H256" s="85" t="s">
        <v>5</v>
      </c>
      <c r="I256" s="86">
        <v>43465</v>
      </c>
      <c r="J256" s="86">
        <v>43384</v>
      </c>
      <c r="K256" s="86">
        <v>43434</v>
      </c>
      <c r="L256" s="85" t="s">
        <v>99</v>
      </c>
      <c r="M256" s="86">
        <v>43051</v>
      </c>
      <c r="N256" s="85" t="s">
        <v>107</v>
      </c>
      <c r="O256" s="86">
        <v>43434</v>
      </c>
      <c r="P256" s="86">
        <v>43339</v>
      </c>
      <c r="Q256" s="86">
        <v>43799</v>
      </c>
      <c r="R256" s="85" t="s">
        <v>1652</v>
      </c>
      <c r="S256" s="86">
        <v>43435</v>
      </c>
      <c r="T256" s="85" t="s">
        <v>1652</v>
      </c>
      <c r="U256" s="86">
        <v>43396</v>
      </c>
      <c r="V256" s="86">
        <v>43769</v>
      </c>
      <c r="W256" s="85" t="s">
        <v>1653</v>
      </c>
      <c r="X256" s="85" t="s">
        <v>114</v>
      </c>
      <c r="Y256" s="85">
        <v>1</v>
      </c>
      <c r="Z256" s="85" t="s">
        <v>114</v>
      </c>
      <c r="AA256" s="85"/>
      <c r="AB256" s="85" t="s">
        <v>114</v>
      </c>
      <c r="AC256" s="85" t="s">
        <v>114</v>
      </c>
      <c r="AD256" s="85" t="s">
        <v>211</v>
      </c>
      <c r="AE256" s="85" t="s">
        <v>1654</v>
      </c>
      <c r="AF256" s="86">
        <v>43525</v>
      </c>
      <c r="AG256" s="86">
        <v>43430</v>
      </c>
      <c r="AH256" s="85" t="s">
        <v>107</v>
      </c>
      <c r="AI256" s="85"/>
      <c r="AJ256" s="85"/>
      <c r="AK256" s="85"/>
      <c r="AL256" s="85" t="s">
        <v>107</v>
      </c>
      <c r="AM256" s="85" t="s">
        <v>107</v>
      </c>
      <c r="AN256" s="86">
        <v>43424</v>
      </c>
      <c r="AO256" s="86">
        <v>43424</v>
      </c>
      <c r="AP256" s="86">
        <v>43424</v>
      </c>
      <c r="AQ256" s="86">
        <v>43424</v>
      </c>
      <c r="AR256" s="86">
        <v>43424</v>
      </c>
      <c r="AS256" s="86">
        <v>43424</v>
      </c>
      <c r="AT256" s="86">
        <v>43424</v>
      </c>
      <c r="AU256" s="86">
        <v>43424</v>
      </c>
      <c r="AV256" s="86">
        <v>43424</v>
      </c>
      <c r="AW256" s="86">
        <v>43424</v>
      </c>
    </row>
    <row r="257" spans="1:49" x14ac:dyDescent="0.2">
      <c r="A257" s="85" t="s">
        <v>1835</v>
      </c>
      <c r="B257" s="85" t="s">
        <v>1836</v>
      </c>
      <c r="C257" s="85" t="s">
        <v>1837</v>
      </c>
      <c r="D257" s="85" t="s">
        <v>239</v>
      </c>
      <c r="E257" s="85" t="s">
        <v>126</v>
      </c>
      <c r="F257" s="85" t="s">
        <v>106</v>
      </c>
      <c r="G257" s="85" t="s">
        <v>4</v>
      </c>
      <c r="H257" s="85" t="s">
        <v>1838</v>
      </c>
      <c r="I257" s="85" t="s">
        <v>107</v>
      </c>
      <c r="J257" s="86">
        <v>43474</v>
      </c>
      <c r="K257" s="86">
        <v>42696</v>
      </c>
      <c r="L257" s="85" t="s">
        <v>107</v>
      </c>
      <c r="M257" s="85" t="s">
        <v>107</v>
      </c>
      <c r="N257" s="85" t="s">
        <v>107</v>
      </c>
      <c r="O257" s="85" t="s">
        <v>107</v>
      </c>
      <c r="P257" s="85" t="s">
        <v>107</v>
      </c>
      <c r="Q257" s="85" t="s">
        <v>59</v>
      </c>
      <c r="R257" s="85" t="s">
        <v>107</v>
      </c>
      <c r="S257" s="85" t="s">
        <v>107</v>
      </c>
      <c r="T257" s="85" t="s">
        <v>107</v>
      </c>
      <c r="U257" s="85" t="s">
        <v>107</v>
      </c>
      <c r="V257" s="85" t="s">
        <v>107</v>
      </c>
      <c r="W257" s="85" t="s">
        <v>107</v>
      </c>
      <c r="X257" s="85" t="s">
        <v>107</v>
      </c>
      <c r="Y257" s="85" t="s">
        <v>107</v>
      </c>
      <c r="Z257" s="85" t="s">
        <v>107</v>
      </c>
      <c r="AA257" s="85" t="s">
        <v>107</v>
      </c>
      <c r="AB257" s="85" t="s">
        <v>107</v>
      </c>
      <c r="AC257" s="85" t="s">
        <v>107</v>
      </c>
      <c r="AD257" s="85" t="s">
        <v>107</v>
      </c>
      <c r="AE257" s="85" t="s">
        <v>107</v>
      </c>
      <c r="AF257" s="85" t="s">
        <v>107</v>
      </c>
      <c r="AG257" s="86">
        <v>43476</v>
      </c>
      <c r="AH257" s="85" t="s">
        <v>107</v>
      </c>
      <c r="AI257" s="85" t="s">
        <v>107</v>
      </c>
      <c r="AJ257" s="85" t="s">
        <v>107</v>
      </c>
      <c r="AK257" s="85" t="s">
        <v>107</v>
      </c>
      <c r="AL257" s="85" t="s">
        <v>107</v>
      </c>
      <c r="AM257" s="85" t="s">
        <v>107</v>
      </c>
      <c r="AN257" s="86">
        <v>43472</v>
      </c>
      <c r="AO257" s="86">
        <v>43472</v>
      </c>
      <c r="AP257" s="86">
        <v>43472</v>
      </c>
      <c r="AQ257" s="86">
        <v>43472</v>
      </c>
      <c r="AR257" s="86">
        <v>43472</v>
      </c>
      <c r="AS257" s="86">
        <v>43472</v>
      </c>
      <c r="AT257" s="86">
        <v>43472</v>
      </c>
      <c r="AU257" s="85" t="s">
        <v>107</v>
      </c>
      <c r="AV257" s="86">
        <v>43472</v>
      </c>
      <c r="AW257" s="86">
        <v>43472</v>
      </c>
    </row>
    <row r="258" spans="1:49" x14ac:dyDescent="0.2">
      <c r="A258" s="85" t="s">
        <v>869</v>
      </c>
      <c r="B258" s="85" t="s">
        <v>870</v>
      </c>
      <c r="C258" s="85" t="s">
        <v>871</v>
      </c>
      <c r="D258" s="85" t="s">
        <v>329</v>
      </c>
      <c r="E258" s="85" t="s">
        <v>149</v>
      </c>
      <c r="F258" s="85" t="s">
        <v>172</v>
      </c>
      <c r="G258" s="85" t="s">
        <v>4</v>
      </c>
      <c r="H258" s="85" t="s">
        <v>10</v>
      </c>
      <c r="I258" s="86">
        <v>43497</v>
      </c>
      <c r="J258" s="86">
        <v>43360</v>
      </c>
      <c r="K258" s="86">
        <v>43362</v>
      </c>
      <c r="L258" s="85" t="s">
        <v>99</v>
      </c>
      <c r="M258" s="86">
        <v>42631</v>
      </c>
      <c r="N258" s="85" t="s">
        <v>107</v>
      </c>
      <c r="O258" s="86">
        <v>42996</v>
      </c>
      <c r="P258" s="86">
        <v>43243</v>
      </c>
      <c r="Q258" s="85"/>
      <c r="R258" s="85" t="s">
        <v>1652</v>
      </c>
      <c r="S258" s="86">
        <v>43647</v>
      </c>
      <c r="T258" s="85" t="s">
        <v>1652</v>
      </c>
      <c r="U258" s="86">
        <v>43231</v>
      </c>
      <c r="V258" s="86">
        <v>43616</v>
      </c>
      <c r="W258" s="85" t="s">
        <v>1653</v>
      </c>
      <c r="X258" s="85" t="s">
        <v>114</v>
      </c>
      <c r="Y258" s="85">
        <v>3</v>
      </c>
      <c r="Z258" s="85" t="s">
        <v>114</v>
      </c>
      <c r="AA258" s="85" t="s">
        <v>1659</v>
      </c>
      <c r="AB258" s="85" t="s">
        <v>114</v>
      </c>
      <c r="AC258" s="85" t="s">
        <v>114</v>
      </c>
      <c r="AD258" s="85" t="s">
        <v>119</v>
      </c>
      <c r="AE258" s="85"/>
      <c r="AF258" s="85"/>
      <c r="AG258" s="86">
        <v>43425</v>
      </c>
      <c r="AH258" s="85" t="s">
        <v>107</v>
      </c>
      <c r="AI258" s="86">
        <v>43376</v>
      </c>
      <c r="AJ258" s="86">
        <v>43376</v>
      </c>
      <c r="AK258" s="86">
        <v>41402</v>
      </c>
      <c r="AL258" s="85" t="s">
        <v>107</v>
      </c>
      <c r="AM258" s="85" t="s">
        <v>107</v>
      </c>
      <c r="AN258" s="86">
        <v>43403</v>
      </c>
      <c r="AO258" s="86">
        <v>43210</v>
      </c>
      <c r="AP258" s="86">
        <v>43055</v>
      </c>
      <c r="AQ258" s="86">
        <v>43065</v>
      </c>
      <c r="AR258" s="86">
        <v>43489</v>
      </c>
      <c r="AS258" s="86">
        <v>43489</v>
      </c>
      <c r="AT258" s="86">
        <v>43065</v>
      </c>
      <c r="AU258" s="86">
        <v>43489</v>
      </c>
      <c r="AV258" s="86">
        <v>43489</v>
      </c>
      <c r="AW258" s="86">
        <v>43489</v>
      </c>
    </row>
    <row r="259" spans="1:49" x14ac:dyDescent="0.2">
      <c r="A259" s="85" t="s">
        <v>872</v>
      </c>
      <c r="B259" s="85" t="s">
        <v>873</v>
      </c>
      <c r="C259" s="85" t="s">
        <v>874</v>
      </c>
      <c r="D259" s="85" t="s">
        <v>875</v>
      </c>
      <c r="E259" s="85" t="s">
        <v>119</v>
      </c>
      <c r="F259" s="85" t="s">
        <v>144</v>
      </c>
      <c r="G259" s="85" t="s">
        <v>4</v>
      </c>
      <c r="H259" s="85" t="s">
        <v>12</v>
      </c>
      <c r="I259" s="86">
        <v>43368</v>
      </c>
      <c r="J259" s="86">
        <v>43489</v>
      </c>
      <c r="K259" s="86">
        <v>43482</v>
      </c>
      <c r="L259" s="85" t="s">
        <v>99</v>
      </c>
      <c r="M259" s="86">
        <v>43353</v>
      </c>
      <c r="N259" s="85" t="s">
        <v>107</v>
      </c>
      <c r="O259" s="86">
        <v>43482</v>
      </c>
      <c r="P259" s="86">
        <v>43227</v>
      </c>
      <c r="Q259" s="86">
        <v>43855</v>
      </c>
      <c r="R259" s="85" t="s">
        <v>1652</v>
      </c>
      <c r="S259" s="86">
        <v>43739</v>
      </c>
      <c r="T259" s="85" t="s">
        <v>1652</v>
      </c>
      <c r="U259" s="86">
        <v>43397</v>
      </c>
      <c r="V259" s="86">
        <v>43585</v>
      </c>
      <c r="W259" s="85" t="s">
        <v>1657</v>
      </c>
      <c r="X259" s="85" t="s">
        <v>114</v>
      </c>
      <c r="Y259" s="85">
        <v>1</v>
      </c>
      <c r="Z259" s="85" t="s">
        <v>114</v>
      </c>
      <c r="AA259" s="85" t="s">
        <v>1659</v>
      </c>
      <c r="AB259" s="85" t="s">
        <v>114</v>
      </c>
      <c r="AC259" s="85" t="s">
        <v>114</v>
      </c>
      <c r="AD259" s="85" t="s">
        <v>114</v>
      </c>
      <c r="AE259" s="85" t="s">
        <v>1668</v>
      </c>
      <c r="AF259" s="85"/>
      <c r="AG259" s="86">
        <v>43488</v>
      </c>
      <c r="AH259" s="85" t="s">
        <v>107</v>
      </c>
      <c r="AI259" s="86">
        <v>41456</v>
      </c>
      <c r="AJ259" s="86">
        <v>43219</v>
      </c>
      <c r="AK259" s="86">
        <v>43125</v>
      </c>
      <c r="AL259" s="85" t="s">
        <v>107</v>
      </c>
      <c r="AM259" s="85" t="s">
        <v>107</v>
      </c>
      <c r="AN259" s="86">
        <v>43480</v>
      </c>
      <c r="AO259" s="86">
        <v>43213</v>
      </c>
      <c r="AP259" s="86">
        <v>43480</v>
      </c>
      <c r="AQ259" s="86">
        <v>41941</v>
      </c>
      <c r="AR259" s="86">
        <v>43480</v>
      </c>
      <c r="AS259" s="86">
        <v>43480</v>
      </c>
      <c r="AT259" s="86">
        <v>43480</v>
      </c>
      <c r="AU259" s="86">
        <v>43480</v>
      </c>
      <c r="AV259" s="86">
        <v>43480</v>
      </c>
      <c r="AW259" s="86">
        <v>43480</v>
      </c>
    </row>
    <row r="260" spans="1:49" x14ac:dyDescent="0.2">
      <c r="A260" s="85" t="s">
        <v>876</v>
      </c>
      <c r="B260" s="85" t="s">
        <v>877</v>
      </c>
      <c r="C260" s="85" t="s">
        <v>874</v>
      </c>
      <c r="D260" s="85" t="s">
        <v>878</v>
      </c>
      <c r="E260" s="85"/>
      <c r="F260" s="85" t="s">
        <v>113</v>
      </c>
      <c r="G260" s="85" t="s">
        <v>4</v>
      </c>
      <c r="H260" s="85" t="s">
        <v>12</v>
      </c>
      <c r="I260" s="86">
        <v>43368</v>
      </c>
      <c r="J260" s="86">
        <v>43218</v>
      </c>
      <c r="K260" s="86">
        <v>43482</v>
      </c>
      <c r="L260" s="85" t="s">
        <v>99</v>
      </c>
      <c r="M260" s="86">
        <v>42904</v>
      </c>
      <c r="N260" s="85" t="s">
        <v>107</v>
      </c>
      <c r="O260" s="86">
        <v>43482</v>
      </c>
      <c r="P260" s="86">
        <v>43227</v>
      </c>
      <c r="Q260" s="86">
        <v>43855</v>
      </c>
      <c r="R260" s="85" t="s">
        <v>1652</v>
      </c>
      <c r="S260" s="86">
        <v>43983</v>
      </c>
      <c r="T260" s="85" t="s">
        <v>1652</v>
      </c>
      <c r="U260" s="86">
        <v>43493</v>
      </c>
      <c r="V260" s="86">
        <v>43677</v>
      </c>
      <c r="W260" s="85" t="s">
        <v>1655</v>
      </c>
      <c r="X260" s="85" t="s">
        <v>114</v>
      </c>
      <c r="Y260" s="85">
        <v>1</v>
      </c>
      <c r="Z260" s="85" t="s">
        <v>114</v>
      </c>
      <c r="AA260" s="85"/>
      <c r="AB260" s="85" t="s">
        <v>114</v>
      </c>
      <c r="AC260" s="85" t="s">
        <v>114</v>
      </c>
      <c r="AD260" s="85" t="s">
        <v>211</v>
      </c>
      <c r="AE260" s="85" t="s">
        <v>1654</v>
      </c>
      <c r="AF260" s="86">
        <v>43525</v>
      </c>
      <c r="AG260" s="86">
        <v>43488</v>
      </c>
      <c r="AH260" s="85" t="s">
        <v>107</v>
      </c>
      <c r="AI260" s="86">
        <v>41913</v>
      </c>
      <c r="AJ260" s="86">
        <v>43219</v>
      </c>
      <c r="AK260" s="86">
        <v>42902</v>
      </c>
      <c r="AL260" s="86">
        <v>43011</v>
      </c>
      <c r="AM260" s="86">
        <v>43011</v>
      </c>
      <c r="AN260" s="86">
        <v>43480</v>
      </c>
      <c r="AO260" s="86">
        <v>43213</v>
      </c>
      <c r="AP260" s="86">
        <v>43480</v>
      </c>
      <c r="AQ260" s="86">
        <v>43122</v>
      </c>
      <c r="AR260" s="86">
        <v>43480</v>
      </c>
      <c r="AS260" s="86">
        <v>43480</v>
      </c>
      <c r="AT260" s="86">
        <v>43480</v>
      </c>
      <c r="AU260" s="86">
        <v>43480</v>
      </c>
      <c r="AV260" s="86">
        <v>43480</v>
      </c>
      <c r="AW260" s="86">
        <v>43480</v>
      </c>
    </row>
    <row r="261" spans="1:49" x14ac:dyDescent="0.2">
      <c r="A261" s="85" t="s">
        <v>879</v>
      </c>
      <c r="B261" s="85" t="s">
        <v>880</v>
      </c>
      <c r="C261" s="85" t="s">
        <v>881</v>
      </c>
      <c r="D261" s="85" t="s">
        <v>383</v>
      </c>
      <c r="E261" s="85" t="s">
        <v>141</v>
      </c>
      <c r="F261" s="85" t="s">
        <v>249</v>
      </c>
      <c r="G261" s="85" t="s">
        <v>4</v>
      </c>
      <c r="H261" s="85" t="s">
        <v>13</v>
      </c>
      <c r="I261" s="86">
        <v>43451</v>
      </c>
      <c r="J261" s="86">
        <v>43467</v>
      </c>
      <c r="K261" s="86">
        <v>43467</v>
      </c>
      <c r="L261" s="85" t="s">
        <v>99</v>
      </c>
      <c r="M261" s="86">
        <v>42824</v>
      </c>
      <c r="N261" s="85" t="s">
        <v>107</v>
      </c>
      <c r="O261" s="86">
        <v>42542</v>
      </c>
      <c r="P261" s="86">
        <v>43243</v>
      </c>
      <c r="Q261" s="85"/>
      <c r="R261" s="85" t="s">
        <v>1652</v>
      </c>
      <c r="S261" s="85" t="s">
        <v>59</v>
      </c>
      <c r="T261" s="85" t="s">
        <v>59</v>
      </c>
      <c r="U261" s="86">
        <v>43266</v>
      </c>
      <c r="V261" s="86">
        <v>43646</v>
      </c>
      <c r="W261" s="85" t="s">
        <v>1653</v>
      </c>
      <c r="X261" s="85" t="s">
        <v>114</v>
      </c>
      <c r="Y261" s="85">
        <v>1</v>
      </c>
      <c r="Z261" s="85" t="s">
        <v>114</v>
      </c>
      <c r="AA261" s="85"/>
      <c r="AB261" s="85" t="s">
        <v>114</v>
      </c>
      <c r="AC261" s="85" t="s">
        <v>114</v>
      </c>
      <c r="AD261" s="85" t="s">
        <v>114</v>
      </c>
      <c r="AE261" s="85"/>
      <c r="AF261" s="85"/>
      <c r="AG261" s="86">
        <v>43306</v>
      </c>
      <c r="AH261" s="85" t="s">
        <v>107</v>
      </c>
      <c r="AI261" s="85"/>
      <c r="AJ261" s="85"/>
      <c r="AK261" s="86">
        <v>42797</v>
      </c>
      <c r="AL261" s="85" t="s">
        <v>107</v>
      </c>
      <c r="AM261" s="85" t="s">
        <v>107</v>
      </c>
      <c r="AN261" s="86">
        <v>43390</v>
      </c>
      <c r="AO261" s="86">
        <v>43235</v>
      </c>
      <c r="AP261" s="86">
        <v>43055</v>
      </c>
      <c r="AQ261" s="86">
        <v>42903</v>
      </c>
      <c r="AR261" s="86">
        <v>43187</v>
      </c>
      <c r="AS261" s="86">
        <v>43200</v>
      </c>
      <c r="AT261" s="86">
        <v>42794</v>
      </c>
      <c r="AU261" s="86">
        <v>43188</v>
      </c>
      <c r="AV261" s="86">
        <v>43188</v>
      </c>
      <c r="AW261" s="86">
        <v>43188</v>
      </c>
    </row>
    <row r="262" spans="1:49" x14ac:dyDescent="0.2">
      <c r="A262" s="85" t="s">
        <v>1883</v>
      </c>
      <c r="B262" s="85" t="s">
        <v>1884</v>
      </c>
      <c r="C262" s="85" t="s">
        <v>881</v>
      </c>
      <c r="D262" s="85" t="s">
        <v>652</v>
      </c>
      <c r="E262" s="85" t="s">
        <v>112</v>
      </c>
      <c r="F262" s="85" t="s">
        <v>1885</v>
      </c>
      <c r="G262" s="85" t="s">
        <v>4</v>
      </c>
      <c r="H262" s="85" t="s">
        <v>7</v>
      </c>
      <c r="I262" s="85" t="s">
        <v>59</v>
      </c>
      <c r="J262" s="85" t="s">
        <v>59</v>
      </c>
      <c r="K262" s="85" t="s">
        <v>59</v>
      </c>
      <c r="L262" s="85" t="s">
        <v>59</v>
      </c>
      <c r="M262" s="85" t="s">
        <v>59</v>
      </c>
      <c r="N262" s="85" t="s">
        <v>107</v>
      </c>
      <c r="O262" s="85" t="s">
        <v>59</v>
      </c>
      <c r="P262" s="85" t="s">
        <v>59</v>
      </c>
      <c r="Q262" s="85" t="s">
        <v>59</v>
      </c>
      <c r="R262" s="85" t="s">
        <v>1658</v>
      </c>
      <c r="S262" s="85" t="s">
        <v>59</v>
      </c>
      <c r="T262" s="85" t="s">
        <v>59</v>
      </c>
      <c r="U262" s="85" t="s">
        <v>59</v>
      </c>
      <c r="V262" s="85" t="s">
        <v>59</v>
      </c>
      <c r="W262" s="85" t="s">
        <v>59</v>
      </c>
      <c r="X262" s="85" t="s">
        <v>59</v>
      </c>
      <c r="Y262" s="85" t="s">
        <v>59</v>
      </c>
      <c r="Z262" s="85" t="s">
        <v>59</v>
      </c>
      <c r="AA262" s="85" t="s">
        <v>59</v>
      </c>
      <c r="AB262" s="85" t="s">
        <v>59</v>
      </c>
      <c r="AC262" s="85" t="s">
        <v>59</v>
      </c>
      <c r="AD262" s="85" t="s">
        <v>59</v>
      </c>
      <c r="AE262" s="85" t="s">
        <v>59</v>
      </c>
      <c r="AF262" s="85" t="s">
        <v>59</v>
      </c>
      <c r="AG262" s="85" t="s">
        <v>59</v>
      </c>
      <c r="AH262" s="85" t="s">
        <v>107</v>
      </c>
      <c r="AI262" s="85" t="s">
        <v>59</v>
      </c>
      <c r="AJ262" s="85" t="s">
        <v>59</v>
      </c>
      <c r="AK262" s="85" t="s">
        <v>59</v>
      </c>
      <c r="AL262" s="85" t="s">
        <v>107</v>
      </c>
      <c r="AM262" s="85" t="s">
        <v>107</v>
      </c>
      <c r="AN262" s="85" t="s">
        <v>59</v>
      </c>
      <c r="AO262" s="85" t="s">
        <v>59</v>
      </c>
      <c r="AP262" s="85" t="s">
        <v>59</v>
      </c>
      <c r="AQ262" s="85" t="s">
        <v>59</v>
      </c>
      <c r="AR262" s="85" t="s">
        <v>59</v>
      </c>
      <c r="AS262" s="85" t="s">
        <v>59</v>
      </c>
      <c r="AT262" s="85" t="s">
        <v>59</v>
      </c>
      <c r="AU262" s="85" t="s">
        <v>59</v>
      </c>
      <c r="AV262" s="85" t="s">
        <v>59</v>
      </c>
      <c r="AW262" s="85" t="s">
        <v>59</v>
      </c>
    </row>
    <row r="263" spans="1:49" x14ac:dyDescent="0.2">
      <c r="A263" s="85" t="s">
        <v>883</v>
      </c>
      <c r="B263" s="85" t="s">
        <v>884</v>
      </c>
      <c r="C263" s="85" t="s">
        <v>885</v>
      </c>
      <c r="D263" s="85" t="s">
        <v>652</v>
      </c>
      <c r="E263" s="85" t="s">
        <v>112</v>
      </c>
      <c r="F263" s="85" t="s">
        <v>100</v>
      </c>
      <c r="G263" s="85" t="s">
        <v>4</v>
      </c>
      <c r="H263" s="85" t="s">
        <v>7</v>
      </c>
      <c r="I263" s="86">
        <v>43463</v>
      </c>
      <c r="J263" s="86">
        <v>43299</v>
      </c>
      <c r="K263" s="86">
        <v>43368</v>
      </c>
      <c r="L263" s="85" t="s">
        <v>99</v>
      </c>
      <c r="M263" s="86">
        <v>43364</v>
      </c>
      <c r="N263" s="86">
        <v>43408</v>
      </c>
      <c r="O263" s="86">
        <v>42955</v>
      </c>
      <c r="P263" s="86">
        <v>43243</v>
      </c>
      <c r="Q263" s="86">
        <v>43770</v>
      </c>
      <c r="R263" s="85" t="s">
        <v>1652</v>
      </c>
      <c r="S263" s="86">
        <v>45017</v>
      </c>
      <c r="T263" s="85" t="s">
        <v>1652</v>
      </c>
      <c r="U263" s="85" t="s">
        <v>107</v>
      </c>
      <c r="V263" s="85" t="s">
        <v>107</v>
      </c>
      <c r="W263" s="85" t="s">
        <v>107</v>
      </c>
      <c r="X263" s="85" t="s">
        <v>107</v>
      </c>
      <c r="Y263" s="85" t="s">
        <v>107</v>
      </c>
      <c r="Z263" s="85" t="s">
        <v>107</v>
      </c>
      <c r="AA263" s="85" t="s">
        <v>107</v>
      </c>
      <c r="AB263" s="85" t="s">
        <v>107</v>
      </c>
      <c r="AC263" s="85" t="s">
        <v>107</v>
      </c>
      <c r="AD263" s="85" t="s">
        <v>107</v>
      </c>
      <c r="AE263" s="85" t="s">
        <v>107</v>
      </c>
      <c r="AF263" s="85" t="s">
        <v>107</v>
      </c>
      <c r="AG263" s="86">
        <v>43174</v>
      </c>
      <c r="AH263" s="85" t="s">
        <v>107</v>
      </c>
      <c r="AI263" s="85" t="s">
        <v>107</v>
      </c>
      <c r="AJ263" s="85" t="s">
        <v>107</v>
      </c>
      <c r="AK263" s="86">
        <v>42268</v>
      </c>
      <c r="AL263" s="85" t="s">
        <v>107</v>
      </c>
      <c r="AM263" s="85" t="s">
        <v>107</v>
      </c>
      <c r="AN263" s="86">
        <v>43398</v>
      </c>
      <c r="AO263" s="86">
        <v>43207</v>
      </c>
      <c r="AP263" s="86">
        <v>43047</v>
      </c>
      <c r="AQ263" s="86">
        <v>43118</v>
      </c>
      <c r="AR263" s="86">
        <v>43118</v>
      </c>
      <c r="AS263" s="86">
        <v>43165</v>
      </c>
      <c r="AT263" s="86">
        <v>43118</v>
      </c>
      <c r="AU263" s="86">
        <v>43118</v>
      </c>
      <c r="AV263" s="86">
        <v>43118</v>
      </c>
      <c r="AW263" s="86">
        <v>43118</v>
      </c>
    </row>
    <row r="264" spans="1:49" x14ac:dyDescent="0.2">
      <c r="A264" s="85" t="s">
        <v>886</v>
      </c>
      <c r="B264" s="85" t="s">
        <v>887</v>
      </c>
      <c r="C264" s="85" t="s">
        <v>888</v>
      </c>
      <c r="D264" s="85" t="s">
        <v>195</v>
      </c>
      <c r="E264" s="85" t="s">
        <v>105</v>
      </c>
      <c r="F264" s="85" t="s">
        <v>144</v>
      </c>
      <c r="G264" s="85" t="s">
        <v>4</v>
      </c>
      <c r="H264" s="85" t="s">
        <v>7</v>
      </c>
      <c r="I264" s="86">
        <v>43314</v>
      </c>
      <c r="J264" s="86">
        <v>43411</v>
      </c>
      <c r="K264" s="86">
        <v>43399</v>
      </c>
      <c r="L264" s="85" t="s">
        <v>99</v>
      </c>
      <c r="M264" s="86">
        <v>43380</v>
      </c>
      <c r="N264" s="85" t="s">
        <v>107</v>
      </c>
      <c r="O264" s="86">
        <v>43060</v>
      </c>
      <c r="P264" s="86">
        <v>43276</v>
      </c>
      <c r="Q264" s="86">
        <v>43482</v>
      </c>
      <c r="R264" s="85" t="s">
        <v>1652</v>
      </c>
      <c r="S264" s="86">
        <v>44136</v>
      </c>
      <c r="T264" s="85" t="s">
        <v>1652</v>
      </c>
      <c r="U264" s="86">
        <v>43424</v>
      </c>
      <c r="V264" s="86">
        <v>43616</v>
      </c>
      <c r="W264" s="85" t="s">
        <v>1655</v>
      </c>
      <c r="X264" s="85" t="s">
        <v>211</v>
      </c>
      <c r="Y264" s="85">
        <v>1</v>
      </c>
      <c r="Z264" s="85" t="s">
        <v>114</v>
      </c>
      <c r="AA264" s="85"/>
      <c r="AB264" s="85" t="s">
        <v>114</v>
      </c>
      <c r="AC264" s="85" t="s">
        <v>114</v>
      </c>
      <c r="AD264" s="85" t="s">
        <v>211</v>
      </c>
      <c r="AE264" s="85" t="s">
        <v>1975</v>
      </c>
      <c r="AF264" s="86">
        <v>43578</v>
      </c>
      <c r="AG264" s="85" t="s">
        <v>59</v>
      </c>
      <c r="AH264" s="85" t="s">
        <v>107</v>
      </c>
      <c r="AI264" s="86">
        <v>43313</v>
      </c>
      <c r="AJ264" s="86">
        <v>43411</v>
      </c>
      <c r="AK264" s="86">
        <v>41421</v>
      </c>
      <c r="AL264" s="86">
        <v>40837</v>
      </c>
      <c r="AM264" s="86">
        <v>40837</v>
      </c>
      <c r="AN264" s="86">
        <v>43398</v>
      </c>
      <c r="AO264" s="86">
        <v>43207</v>
      </c>
      <c r="AP264" s="86">
        <v>43160</v>
      </c>
      <c r="AQ264" s="86">
        <v>43160</v>
      </c>
      <c r="AR264" s="86">
        <v>43160</v>
      </c>
      <c r="AS264" s="86">
        <v>43160</v>
      </c>
      <c r="AT264" s="86">
        <v>43160</v>
      </c>
      <c r="AU264" s="86">
        <v>43160</v>
      </c>
      <c r="AV264" s="86">
        <v>43160</v>
      </c>
      <c r="AW264" s="86">
        <v>43160</v>
      </c>
    </row>
    <row r="265" spans="1:49" x14ac:dyDescent="0.2">
      <c r="A265" s="85" t="s">
        <v>889</v>
      </c>
      <c r="B265" s="85" t="s">
        <v>890</v>
      </c>
      <c r="C265" s="85" t="s">
        <v>888</v>
      </c>
      <c r="D265" s="85" t="s">
        <v>891</v>
      </c>
      <c r="E265" s="85" t="s">
        <v>126</v>
      </c>
      <c r="F265" s="85" t="s">
        <v>106</v>
      </c>
      <c r="G265" s="85" t="s">
        <v>4</v>
      </c>
      <c r="H265" s="85" t="s">
        <v>8</v>
      </c>
      <c r="I265" s="85" t="s">
        <v>107</v>
      </c>
      <c r="J265" s="86">
        <v>43382</v>
      </c>
      <c r="K265" s="86">
        <v>43497</v>
      </c>
      <c r="L265" s="85" t="s">
        <v>107</v>
      </c>
      <c r="M265" s="85" t="s">
        <v>107</v>
      </c>
      <c r="N265" s="85" t="s">
        <v>107</v>
      </c>
      <c r="O265" s="85" t="s">
        <v>107</v>
      </c>
      <c r="P265" s="85" t="s">
        <v>107</v>
      </c>
      <c r="Q265" s="85" t="s">
        <v>59</v>
      </c>
      <c r="R265" s="85" t="s">
        <v>107</v>
      </c>
      <c r="S265" s="85" t="s">
        <v>107</v>
      </c>
      <c r="T265" s="85" t="s">
        <v>107</v>
      </c>
      <c r="U265" s="85" t="s">
        <v>107</v>
      </c>
      <c r="V265" s="85" t="s">
        <v>107</v>
      </c>
      <c r="W265" s="85" t="s">
        <v>107</v>
      </c>
      <c r="X265" s="85" t="s">
        <v>107</v>
      </c>
      <c r="Y265" s="85" t="s">
        <v>107</v>
      </c>
      <c r="Z265" s="85" t="s">
        <v>107</v>
      </c>
      <c r="AA265" s="85" t="s">
        <v>107</v>
      </c>
      <c r="AB265" s="85" t="s">
        <v>107</v>
      </c>
      <c r="AC265" s="85" t="s">
        <v>107</v>
      </c>
      <c r="AD265" s="85" t="s">
        <v>107</v>
      </c>
      <c r="AE265" s="85" t="s">
        <v>107</v>
      </c>
      <c r="AF265" s="85" t="s">
        <v>107</v>
      </c>
      <c r="AG265" s="85" t="s">
        <v>59</v>
      </c>
      <c r="AH265" s="85" t="s">
        <v>107</v>
      </c>
      <c r="AI265" s="85" t="s">
        <v>107</v>
      </c>
      <c r="AJ265" s="85" t="s">
        <v>107</v>
      </c>
      <c r="AK265" s="85" t="s">
        <v>107</v>
      </c>
      <c r="AL265" s="85" t="s">
        <v>107</v>
      </c>
      <c r="AM265" s="85" t="s">
        <v>107</v>
      </c>
      <c r="AN265" s="86">
        <v>43405</v>
      </c>
      <c r="AO265" s="86">
        <v>43244</v>
      </c>
      <c r="AP265" s="86">
        <v>43200</v>
      </c>
      <c r="AQ265" s="86">
        <v>43200</v>
      </c>
      <c r="AR265" s="86">
        <v>43200</v>
      </c>
      <c r="AS265" s="86">
        <v>43200</v>
      </c>
      <c r="AT265" s="86">
        <v>43200</v>
      </c>
      <c r="AU265" s="86" t="s">
        <v>107</v>
      </c>
      <c r="AV265" s="86">
        <v>43200</v>
      </c>
      <c r="AW265" s="86">
        <v>43200</v>
      </c>
    </row>
    <row r="266" spans="1:49" x14ac:dyDescent="0.2">
      <c r="A266" s="85" t="s">
        <v>892</v>
      </c>
      <c r="B266" s="85" t="s">
        <v>893</v>
      </c>
      <c r="C266" s="85" t="s">
        <v>894</v>
      </c>
      <c r="D266" s="85" t="s">
        <v>895</v>
      </c>
      <c r="E266" s="85"/>
      <c r="F266" s="85" t="s">
        <v>122</v>
      </c>
      <c r="G266" s="85" t="s">
        <v>4</v>
      </c>
      <c r="H266" s="85" t="s">
        <v>12</v>
      </c>
      <c r="I266" s="86">
        <v>43437</v>
      </c>
      <c r="J266" s="86">
        <v>43227</v>
      </c>
      <c r="K266" s="86">
        <v>43227</v>
      </c>
      <c r="L266" s="85" t="s">
        <v>99</v>
      </c>
      <c r="M266" s="86">
        <v>42835</v>
      </c>
      <c r="N266" s="85" t="s">
        <v>107</v>
      </c>
      <c r="O266" s="86">
        <v>43227</v>
      </c>
      <c r="P266" s="86">
        <v>43213</v>
      </c>
      <c r="Q266" s="86">
        <v>43592</v>
      </c>
      <c r="R266" s="85" t="s">
        <v>1652</v>
      </c>
      <c r="S266" s="86">
        <v>43497</v>
      </c>
      <c r="T266" s="85" t="s">
        <v>1652</v>
      </c>
      <c r="U266" s="86">
        <v>43447</v>
      </c>
      <c r="V266" s="86">
        <v>43646</v>
      </c>
      <c r="W266" s="85" t="s">
        <v>1657</v>
      </c>
      <c r="X266" s="85" t="s">
        <v>114</v>
      </c>
      <c r="Y266" s="85">
        <v>1</v>
      </c>
      <c r="Z266" s="85" t="s">
        <v>114</v>
      </c>
      <c r="AA266" s="85"/>
      <c r="AB266" s="85" t="s">
        <v>114</v>
      </c>
      <c r="AC266" s="85" t="s">
        <v>114</v>
      </c>
      <c r="AD266" s="85" t="s">
        <v>114</v>
      </c>
      <c r="AE266" s="85"/>
      <c r="AF266" s="85"/>
      <c r="AG266" s="86">
        <v>43227</v>
      </c>
      <c r="AH266" s="85" t="s">
        <v>107</v>
      </c>
      <c r="AI266" s="86">
        <v>42830</v>
      </c>
      <c r="AJ266" s="86">
        <v>43219</v>
      </c>
      <c r="AK266" s="86">
        <v>43227</v>
      </c>
      <c r="AL266" s="85" t="s">
        <v>107</v>
      </c>
      <c r="AM266" s="85" t="s">
        <v>107</v>
      </c>
      <c r="AN266" s="86">
        <v>43376</v>
      </c>
      <c r="AO266" s="86">
        <v>43222</v>
      </c>
      <c r="AP266" s="86">
        <v>43157</v>
      </c>
      <c r="AQ266" s="86">
        <v>42836</v>
      </c>
      <c r="AR266" s="86">
        <v>43125</v>
      </c>
      <c r="AS266" s="86">
        <v>43228</v>
      </c>
      <c r="AT266" s="86">
        <v>43125</v>
      </c>
      <c r="AU266" s="86">
        <v>43125</v>
      </c>
      <c r="AV266" s="86">
        <v>43125</v>
      </c>
      <c r="AW266" s="86">
        <v>43125</v>
      </c>
    </row>
    <row r="267" spans="1:49" x14ac:dyDescent="0.2">
      <c r="A267" s="85" t="s">
        <v>896</v>
      </c>
      <c r="B267" s="85" t="s">
        <v>897</v>
      </c>
      <c r="C267" s="85" t="s">
        <v>898</v>
      </c>
      <c r="D267" s="85" t="s">
        <v>899</v>
      </c>
      <c r="E267" s="85" t="s">
        <v>222</v>
      </c>
      <c r="F267" s="85" t="s">
        <v>136</v>
      </c>
      <c r="G267" s="85" t="s">
        <v>4</v>
      </c>
      <c r="H267" s="85" t="s">
        <v>6</v>
      </c>
      <c r="I267" s="86">
        <v>43425</v>
      </c>
      <c r="J267" s="86">
        <v>43481</v>
      </c>
      <c r="K267" s="86">
        <v>43489</v>
      </c>
      <c r="L267" s="85" t="s">
        <v>99</v>
      </c>
      <c r="M267" s="86">
        <v>43040</v>
      </c>
      <c r="N267" s="85" t="s">
        <v>107</v>
      </c>
      <c r="O267" s="86">
        <v>42697</v>
      </c>
      <c r="P267" s="86">
        <v>43243</v>
      </c>
      <c r="Q267" s="86">
        <v>43215</v>
      </c>
      <c r="R267" s="85" t="s">
        <v>1652</v>
      </c>
      <c r="S267" s="86">
        <v>43678</v>
      </c>
      <c r="T267" s="85" t="s">
        <v>1652</v>
      </c>
      <c r="U267" s="86">
        <v>43300</v>
      </c>
      <c r="V267" s="86">
        <v>43677</v>
      </c>
      <c r="W267" s="85" t="s">
        <v>1653</v>
      </c>
      <c r="X267" s="85" t="s">
        <v>114</v>
      </c>
      <c r="Y267" s="85">
        <v>1</v>
      </c>
      <c r="Z267" s="85" t="s">
        <v>114</v>
      </c>
      <c r="AA267" s="85"/>
      <c r="AB267" s="85" t="s">
        <v>114</v>
      </c>
      <c r="AC267" s="85" t="s">
        <v>114</v>
      </c>
      <c r="AD267" s="85" t="s">
        <v>114</v>
      </c>
      <c r="AE267" s="85"/>
      <c r="AF267" s="85"/>
      <c r="AG267" s="86">
        <v>43356</v>
      </c>
      <c r="AH267" s="85" t="s">
        <v>107</v>
      </c>
      <c r="AI267" s="86">
        <v>41926</v>
      </c>
      <c r="AJ267" s="85"/>
      <c r="AK267" s="86">
        <v>41772</v>
      </c>
      <c r="AL267" s="85" t="s">
        <v>107</v>
      </c>
      <c r="AM267" s="85" t="s">
        <v>107</v>
      </c>
      <c r="AN267" s="86">
        <v>43375</v>
      </c>
      <c r="AO267" s="86">
        <v>43207</v>
      </c>
      <c r="AP267" s="86">
        <v>43046</v>
      </c>
      <c r="AQ267" s="86">
        <v>41963</v>
      </c>
      <c r="AR267" s="86">
        <v>43036</v>
      </c>
      <c r="AS267" s="86">
        <v>43069</v>
      </c>
      <c r="AT267" s="86">
        <v>42671</v>
      </c>
      <c r="AU267" s="86">
        <v>43036</v>
      </c>
      <c r="AV267" s="86">
        <v>43036</v>
      </c>
      <c r="AW267" s="86">
        <v>43036</v>
      </c>
    </row>
    <row r="268" spans="1:49" x14ac:dyDescent="0.2">
      <c r="A268" s="85" t="s">
        <v>900</v>
      </c>
      <c r="B268" s="85" t="s">
        <v>901</v>
      </c>
      <c r="C268" s="85" t="s">
        <v>902</v>
      </c>
      <c r="D268" s="85" t="s">
        <v>903</v>
      </c>
      <c r="E268" s="85" t="s">
        <v>206</v>
      </c>
      <c r="F268" s="85" t="s">
        <v>106</v>
      </c>
      <c r="G268" s="85" t="s">
        <v>4</v>
      </c>
      <c r="H268" s="85" t="s">
        <v>13</v>
      </c>
      <c r="I268" s="85" t="s">
        <v>107</v>
      </c>
      <c r="J268" s="85" t="s">
        <v>59</v>
      </c>
      <c r="K268" s="85" t="s">
        <v>59</v>
      </c>
      <c r="L268" s="85" t="s">
        <v>107</v>
      </c>
      <c r="M268" s="85" t="s">
        <v>107</v>
      </c>
      <c r="N268" s="85" t="s">
        <v>107</v>
      </c>
      <c r="O268" s="85" t="s">
        <v>107</v>
      </c>
      <c r="P268" s="85" t="s">
        <v>107</v>
      </c>
      <c r="Q268" s="85" t="s">
        <v>59</v>
      </c>
      <c r="R268" s="85" t="s">
        <v>107</v>
      </c>
      <c r="S268" s="85" t="s">
        <v>107</v>
      </c>
      <c r="T268" s="85" t="s">
        <v>107</v>
      </c>
      <c r="U268" s="85" t="s">
        <v>107</v>
      </c>
      <c r="V268" s="85" t="s">
        <v>107</v>
      </c>
      <c r="W268" s="85" t="s">
        <v>107</v>
      </c>
      <c r="X268" s="85" t="s">
        <v>107</v>
      </c>
      <c r="Y268" s="85" t="s">
        <v>107</v>
      </c>
      <c r="Z268" s="85" t="s">
        <v>107</v>
      </c>
      <c r="AA268" s="85" t="s">
        <v>107</v>
      </c>
      <c r="AB268" s="85" t="s">
        <v>107</v>
      </c>
      <c r="AC268" s="85" t="s">
        <v>107</v>
      </c>
      <c r="AD268" s="85" t="s">
        <v>107</v>
      </c>
      <c r="AE268" s="85" t="s">
        <v>107</v>
      </c>
      <c r="AF268" s="85" t="s">
        <v>107</v>
      </c>
      <c r="AG268" s="86">
        <v>43507</v>
      </c>
      <c r="AH268" s="85" t="s">
        <v>107</v>
      </c>
      <c r="AI268" s="85" t="s">
        <v>107</v>
      </c>
      <c r="AJ268" s="85" t="s">
        <v>107</v>
      </c>
      <c r="AK268" s="85" t="s">
        <v>107</v>
      </c>
      <c r="AL268" s="85" t="s">
        <v>107</v>
      </c>
      <c r="AM268" s="85" t="s">
        <v>107</v>
      </c>
      <c r="AN268" s="86">
        <v>43507</v>
      </c>
      <c r="AO268" s="86">
        <v>43213</v>
      </c>
      <c r="AP268" s="86">
        <v>43507</v>
      </c>
      <c r="AQ268" s="86">
        <v>43164</v>
      </c>
      <c r="AR268" s="86">
        <v>43507</v>
      </c>
      <c r="AS268" s="86">
        <v>43507</v>
      </c>
      <c r="AT268" s="86">
        <v>43507</v>
      </c>
      <c r="AU268" s="85" t="s">
        <v>107</v>
      </c>
      <c r="AV268" s="86">
        <v>43507</v>
      </c>
      <c r="AW268" s="86">
        <v>43507</v>
      </c>
    </row>
    <row r="269" spans="1:49" x14ac:dyDescent="0.2">
      <c r="A269" s="85" t="s">
        <v>1803</v>
      </c>
      <c r="B269" s="85" t="s">
        <v>1804</v>
      </c>
      <c r="C269" s="85" t="s">
        <v>1805</v>
      </c>
      <c r="D269" s="85" t="s">
        <v>835</v>
      </c>
      <c r="E269" s="85" t="s">
        <v>126</v>
      </c>
      <c r="F269" s="85" t="s">
        <v>113</v>
      </c>
      <c r="G269" s="85" t="s">
        <v>4</v>
      </c>
      <c r="H269" s="85" t="s">
        <v>8</v>
      </c>
      <c r="I269" s="86">
        <v>43486</v>
      </c>
      <c r="J269" s="85" t="s">
        <v>59</v>
      </c>
      <c r="K269" s="85" t="s">
        <v>59</v>
      </c>
      <c r="L269" s="85" t="s">
        <v>59</v>
      </c>
      <c r="M269" s="85" t="s">
        <v>59</v>
      </c>
      <c r="N269" s="85" t="s">
        <v>107</v>
      </c>
      <c r="O269" s="85" t="s">
        <v>59</v>
      </c>
      <c r="P269" s="85" t="s">
        <v>59</v>
      </c>
      <c r="Q269" s="85" t="s">
        <v>59</v>
      </c>
      <c r="R269" s="85" t="s">
        <v>1652</v>
      </c>
      <c r="S269" s="86">
        <v>43800</v>
      </c>
      <c r="T269" s="85" t="s">
        <v>1652</v>
      </c>
      <c r="U269" s="86">
        <v>43392</v>
      </c>
      <c r="V269" s="86">
        <v>43769</v>
      </c>
      <c r="W269" s="85" t="s">
        <v>1653</v>
      </c>
      <c r="X269" s="85" t="s">
        <v>114</v>
      </c>
      <c r="Y269" s="85">
        <v>1</v>
      </c>
      <c r="Z269" s="85" t="s">
        <v>114</v>
      </c>
      <c r="AA269" s="85"/>
      <c r="AB269" s="85" t="s">
        <v>114</v>
      </c>
      <c r="AC269" s="85" t="s">
        <v>114</v>
      </c>
      <c r="AD269" s="85" t="s">
        <v>114</v>
      </c>
      <c r="AE269" s="85"/>
      <c r="AF269" s="85"/>
      <c r="AG269" s="86">
        <v>43487</v>
      </c>
      <c r="AH269" s="85" t="s">
        <v>107</v>
      </c>
      <c r="AI269" s="85" t="s">
        <v>59</v>
      </c>
      <c r="AJ269" s="85" t="s">
        <v>59</v>
      </c>
      <c r="AK269" s="85" t="s">
        <v>59</v>
      </c>
      <c r="AL269" s="85" t="s">
        <v>107</v>
      </c>
      <c r="AM269" s="85" t="s">
        <v>107</v>
      </c>
      <c r="AN269" s="86">
        <v>43467</v>
      </c>
      <c r="AO269" s="86">
        <v>43467</v>
      </c>
      <c r="AP269" s="86">
        <v>43467</v>
      </c>
      <c r="AQ269" s="86">
        <v>43467</v>
      </c>
      <c r="AR269" s="86">
        <v>43467</v>
      </c>
      <c r="AS269" s="86">
        <v>43467</v>
      </c>
      <c r="AT269" s="86">
        <v>43467</v>
      </c>
      <c r="AU269" s="86">
        <v>43467</v>
      </c>
      <c r="AV269" s="86">
        <v>43467</v>
      </c>
      <c r="AW269" s="86">
        <v>43467</v>
      </c>
    </row>
    <row r="270" spans="1:49" x14ac:dyDescent="0.2">
      <c r="A270" s="85" t="s">
        <v>904</v>
      </c>
      <c r="B270" s="85" t="s">
        <v>905</v>
      </c>
      <c r="C270" s="85" t="s">
        <v>906</v>
      </c>
      <c r="D270" s="85" t="s">
        <v>907</v>
      </c>
      <c r="E270" s="85" t="s">
        <v>149</v>
      </c>
      <c r="F270" s="85" t="s">
        <v>106</v>
      </c>
      <c r="G270" s="85" t="s">
        <v>4</v>
      </c>
      <c r="H270" s="85" t="s">
        <v>12</v>
      </c>
      <c r="I270" s="85" t="s">
        <v>107</v>
      </c>
      <c r="J270" s="85" t="s">
        <v>59</v>
      </c>
      <c r="K270" s="85" t="s">
        <v>59</v>
      </c>
      <c r="L270" s="85" t="s">
        <v>107</v>
      </c>
      <c r="M270" s="85" t="s">
        <v>107</v>
      </c>
      <c r="N270" s="85" t="s">
        <v>107</v>
      </c>
      <c r="O270" s="85" t="s">
        <v>107</v>
      </c>
      <c r="P270" s="85" t="s">
        <v>107</v>
      </c>
      <c r="Q270" s="85" t="s">
        <v>59</v>
      </c>
      <c r="R270" s="85" t="s">
        <v>107</v>
      </c>
      <c r="S270" s="85" t="s">
        <v>107</v>
      </c>
      <c r="T270" s="85" t="s">
        <v>107</v>
      </c>
      <c r="U270" s="85" t="s">
        <v>107</v>
      </c>
      <c r="V270" s="85" t="s">
        <v>107</v>
      </c>
      <c r="W270" s="85" t="s">
        <v>107</v>
      </c>
      <c r="X270" s="85" t="s">
        <v>107</v>
      </c>
      <c r="Y270" s="85" t="s">
        <v>107</v>
      </c>
      <c r="Z270" s="85" t="s">
        <v>107</v>
      </c>
      <c r="AA270" s="85" t="s">
        <v>107</v>
      </c>
      <c r="AB270" s="85" t="s">
        <v>107</v>
      </c>
      <c r="AC270" s="85" t="s">
        <v>107</v>
      </c>
      <c r="AD270" s="85" t="s">
        <v>107</v>
      </c>
      <c r="AE270" s="85" t="s">
        <v>107</v>
      </c>
      <c r="AF270" s="85" t="s">
        <v>107</v>
      </c>
      <c r="AG270" s="86">
        <v>43203</v>
      </c>
      <c r="AH270" s="85" t="s">
        <v>107</v>
      </c>
      <c r="AI270" s="85" t="s">
        <v>107</v>
      </c>
      <c r="AJ270" s="85" t="s">
        <v>107</v>
      </c>
      <c r="AK270" s="85" t="s">
        <v>107</v>
      </c>
      <c r="AL270" s="85" t="s">
        <v>107</v>
      </c>
      <c r="AM270" s="85" t="s">
        <v>107</v>
      </c>
      <c r="AN270" s="86">
        <v>43480</v>
      </c>
      <c r="AO270" s="86">
        <v>43480</v>
      </c>
      <c r="AP270" s="86">
        <v>43480</v>
      </c>
      <c r="AQ270" s="86">
        <v>43200</v>
      </c>
      <c r="AR270" s="86">
        <v>43480</v>
      </c>
      <c r="AS270" s="86">
        <v>43480</v>
      </c>
      <c r="AT270" s="86">
        <v>43480</v>
      </c>
      <c r="AU270" s="86" t="s">
        <v>107</v>
      </c>
      <c r="AV270" s="86">
        <v>43480</v>
      </c>
      <c r="AW270" s="86">
        <v>43480</v>
      </c>
    </row>
    <row r="271" spans="1:49" x14ac:dyDescent="0.2">
      <c r="A271" s="85" t="s">
        <v>909</v>
      </c>
      <c r="B271" s="85" t="s">
        <v>910</v>
      </c>
      <c r="C271" s="85" t="s">
        <v>911</v>
      </c>
      <c r="D271" s="85" t="s">
        <v>912</v>
      </c>
      <c r="E271" s="85" t="s">
        <v>149</v>
      </c>
      <c r="F271" s="85" t="s">
        <v>113</v>
      </c>
      <c r="G271" s="85" t="s">
        <v>4</v>
      </c>
      <c r="H271" s="85" t="s">
        <v>5</v>
      </c>
      <c r="I271" s="86">
        <v>43378</v>
      </c>
      <c r="J271" s="86">
        <v>43167</v>
      </c>
      <c r="K271" s="86">
        <v>43510</v>
      </c>
      <c r="L271" s="85" t="s">
        <v>99</v>
      </c>
      <c r="M271" s="86">
        <v>43378</v>
      </c>
      <c r="N271" s="85" t="s">
        <v>107</v>
      </c>
      <c r="O271" s="86">
        <v>43167</v>
      </c>
      <c r="P271" s="86">
        <v>43271</v>
      </c>
      <c r="Q271" s="86">
        <v>43872</v>
      </c>
      <c r="R271" s="85" t="s">
        <v>1652</v>
      </c>
      <c r="S271" s="86">
        <v>45261</v>
      </c>
      <c r="T271" s="85" t="s">
        <v>1652</v>
      </c>
      <c r="U271" s="86">
        <v>43363</v>
      </c>
      <c r="V271" s="86">
        <v>43555</v>
      </c>
      <c r="W271" s="85" t="s">
        <v>1657</v>
      </c>
      <c r="X271" s="85" t="s">
        <v>114</v>
      </c>
      <c r="Y271" s="85">
        <v>1</v>
      </c>
      <c r="Z271" s="85" t="s">
        <v>114</v>
      </c>
      <c r="AA271" s="85"/>
      <c r="AB271" s="85" t="s">
        <v>114</v>
      </c>
      <c r="AC271" s="85" t="s">
        <v>114</v>
      </c>
      <c r="AD271" s="85" t="s">
        <v>114</v>
      </c>
      <c r="AE271" s="85"/>
      <c r="AF271" s="85"/>
      <c r="AG271" s="86">
        <v>43507</v>
      </c>
      <c r="AH271" s="85" t="s">
        <v>107</v>
      </c>
      <c r="AI271" s="85"/>
      <c r="AJ271" s="86">
        <v>43431</v>
      </c>
      <c r="AK271" s="86">
        <v>43167</v>
      </c>
      <c r="AL271" s="85" t="s">
        <v>107</v>
      </c>
      <c r="AM271" s="85" t="s">
        <v>107</v>
      </c>
      <c r="AN271" s="86">
        <v>43507</v>
      </c>
      <c r="AO271" s="86">
        <v>43207</v>
      </c>
      <c r="AP271" s="86">
        <v>43507</v>
      </c>
      <c r="AQ271" s="86">
        <v>42855</v>
      </c>
      <c r="AR271" s="86">
        <v>43507</v>
      </c>
      <c r="AS271" s="86">
        <v>43507</v>
      </c>
      <c r="AT271" s="86">
        <v>43507</v>
      </c>
      <c r="AU271" s="86">
        <v>43507</v>
      </c>
      <c r="AV271" s="86">
        <v>43507</v>
      </c>
      <c r="AW271" s="86">
        <v>43507</v>
      </c>
    </row>
    <row r="272" spans="1:49" x14ac:dyDescent="0.2">
      <c r="A272" s="85" t="s">
        <v>913</v>
      </c>
      <c r="B272" s="85" t="s">
        <v>914</v>
      </c>
      <c r="C272" s="85" t="s">
        <v>915</v>
      </c>
      <c r="D272" s="85" t="s">
        <v>225</v>
      </c>
      <c r="E272" s="85" t="s">
        <v>291</v>
      </c>
      <c r="F272" s="85" t="s">
        <v>127</v>
      </c>
      <c r="G272" s="85" t="s">
        <v>4</v>
      </c>
      <c r="H272" s="85" t="s">
        <v>7</v>
      </c>
      <c r="I272" s="86">
        <v>43464</v>
      </c>
      <c r="J272" s="86">
        <v>43167</v>
      </c>
      <c r="K272" s="86">
        <v>43164</v>
      </c>
      <c r="L272" s="85" t="s">
        <v>99</v>
      </c>
      <c r="M272" s="86">
        <v>43206</v>
      </c>
      <c r="N272" s="85" t="s">
        <v>107</v>
      </c>
      <c r="O272" s="86">
        <v>43164</v>
      </c>
      <c r="P272" s="86">
        <v>43290</v>
      </c>
      <c r="Q272" s="86">
        <v>43532</v>
      </c>
      <c r="R272" s="85" t="s">
        <v>1652</v>
      </c>
      <c r="S272" s="86">
        <v>44075</v>
      </c>
      <c r="T272" s="85" t="s">
        <v>1652</v>
      </c>
      <c r="U272" s="86">
        <v>43482</v>
      </c>
      <c r="V272" s="86">
        <v>43677</v>
      </c>
      <c r="W272" s="85" t="s">
        <v>1657</v>
      </c>
      <c r="X272" s="85" t="s">
        <v>114</v>
      </c>
      <c r="Y272" s="85">
        <v>1</v>
      </c>
      <c r="Z272" s="85" t="s">
        <v>114</v>
      </c>
      <c r="AA272" s="85"/>
      <c r="AB272" s="85" t="s">
        <v>114</v>
      </c>
      <c r="AC272" s="85" t="s">
        <v>114</v>
      </c>
      <c r="AD272" s="85" t="s">
        <v>114</v>
      </c>
      <c r="AE272" s="85"/>
      <c r="AF272" s="85"/>
      <c r="AG272" s="86">
        <v>43167</v>
      </c>
      <c r="AH272" s="85" t="s">
        <v>107</v>
      </c>
      <c r="AI272" s="85"/>
      <c r="AJ272" s="85"/>
      <c r="AK272" s="86">
        <v>43164</v>
      </c>
      <c r="AL272" s="85" t="s">
        <v>107</v>
      </c>
      <c r="AM272" s="85" t="s">
        <v>107</v>
      </c>
      <c r="AN272" s="85"/>
      <c r="AO272" s="86">
        <v>43207</v>
      </c>
      <c r="AP272" s="86">
        <v>43048</v>
      </c>
      <c r="AQ272" s="86">
        <v>43118</v>
      </c>
      <c r="AR272" s="86">
        <v>43118</v>
      </c>
      <c r="AS272" s="86">
        <v>43169</v>
      </c>
      <c r="AT272" s="86">
        <v>43118</v>
      </c>
      <c r="AU272" s="86">
        <v>43118</v>
      </c>
      <c r="AV272" s="86">
        <v>43118</v>
      </c>
      <c r="AW272" s="86">
        <v>43118</v>
      </c>
    </row>
    <row r="273" spans="1:49" x14ac:dyDescent="0.2">
      <c r="A273" s="85" t="s">
        <v>916</v>
      </c>
      <c r="B273" s="85" t="s">
        <v>917</v>
      </c>
      <c r="C273" s="85" t="s">
        <v>918</v>
      </c>
      <c r="D273" s="85" t="s">
        <v>919</v>
      </c>
      <c r="E273" s="85" t="s">
        <v>143</v>
      </c>
      <c r="F273" s="85" t="s">
        <v>113</v>
      </c>
      <c r="G273" s="85" t="s">
        <v>4</v>
      </c>
      <c r="H273" s="85" t="s">
        <v>5</v>
      </c>
      <c r="I273" s="85" t="s">
        <v>59</v>
      </c>
      <c r="J273" s="86">
        <v>43212</v>
      </c>
      <c r="K273" s="86">
        <v>43510</v>
      </c>
      <c r="L273" s="85" t="s">
        <v>99</v>
      </c>
      <c r="M273" s="86">
        <v>42984</v>
      </c>
      <c r="N273" s="85" t="s">
        <v>107</v>
      </c>
      <c r="O273" s="86">
        <v>43188</v>
      </c>
      <c r="P273" s="86">
        <v>43271</v>
      </c>
      <c r="Q273" s="86">
        <v>43869</v>
      </c>
      <c r="R273" s="85" t="s">
        <v>1652</v>
      </c>
      <c r="S273" s="86">
        <v>44105</v>
      </c>
      <c r="T273" s="85" t="s">
        <v>1652</v>
      </c>
      <c r="U273" s="86">
        <v>43270</v>
      </c>
      <c r="V273" s="86">
        <v>43646</v>
      </c>
      <c r="W273" s="85" t="s">
        <v>1653</v>
      </c>
      <c r="X273" s="85" t="s">
        <v>114</v>
      </c>
      <c r="Y273" s="85">
        <v>2</v>
      </c>
      <c r="Z273" s="85" t="s">
        <v>114</v>
      </c>
      <c r="AA273" s="85"/>
      <c r="AB273" s="85" t="s">
        <v>114</v>
      </c>
      <c r="AC273" s="85" t="s">
        <v>114</v>
      </c>
      <c r="AD273" s="85" t="s">
        <v>114</v>
      </c>
      <c r="AE273" s="85"/>
      <c r="AF273" s="85"/>
      <c r="AG273" s="86">
        <v>43507</v>
      </c>
      <c r="AH273" s="85" t="s">
        <v>107</v>
      </c>
      <c r="AI273" s="85"/>
      <c r="AJ273" s="86">
        <v>43431</v>
      </c>
      <c r="AK273" s="86">
        <v>43188</v>
      </c>
      <c r="AL273" s="85" t="s">
        <v>107</v>
      </c>
      <c r="AM273" s="85" t="s">
        <v>107</v>
      </c>
      <c r="AN273" s="86">
        <v>43375</v>
      </c>
      <c r="AO273" s="86">
        <v>43207</v>
      </c>
      <c r="AP273" s="86">
        <v>43273</v>
      </c>
      <c r="AQ273" s="86">
        <v>43273</v>
      </c>
      <c r="AR273" s="86">
        <v>43273</v>
      </c>
      <c r="AS273" s="86">
        <v>43273</v>
      </c>
      <c r="AT273" s="86">
        <v>43273</v>
      </c>
      <c r="AU273" s="86">
        <v>43273</v>
      </c>
      <c r="AV273" s="86">
        <v>43273</v>
      </c>
      <c r="AW273" s="86">
        <v>43273</v>
      </c>
    </row>
    <row r="274" spans="1:49" x14ac:dyDescent="0.2">
      <c r="A274" s="85" t="s">
        <v>920</v>
      </c>
      <c r="B274" s="85" t="s">
        <v>921</v>
      </c>
      <c r="C274" s="85" t="s">
        <v>922</v>
      </c>
      <c r="D274" s="85" t="s">
        <v>923</v>
      </c>
      <c r="E274" s="85" t="s">
        <v>141</v>
      </c>
      <c r="F274" s="85" t="s">
        <v>113</v>
      </c>
      <c r="G274" s="85" t="s">
        <v>4</v>
      </c>
      <c r="H274" s="85" t="s">
        <v>5</v>
      </c>
      <c r="I274" s="86">
        <v>43451</v>
      </c>
      <c r="J274" s="86">
        <v>43486</v>
      </c>
      <c r="K274" s="86">
        <v>43482</v>
      </c>
      <c r="L274" s="85" t="s">
        <v>99</v>
      </c>
      <c r="M274" s="86">
        <v>42861</v>
      </c>
      <c r="N274" s="85" t="s">
        <v>107</v>
      </c>
      <c r="O274" s="86">
        <v>42856</v>
      </c>
      <c r="P274" s="86">
        <v>43271</v>
      </c>
      <c r="Q274" s="86">
        <v>43849</v>
      </c>
      <c r="R274" s="85" t="s">
        <v>1652</v>
      </c>
      <c r="S274" s="86">
        <v>44409</v>
      </c>
      <c r="T274" s="85" t="s">
        <v>1652</v>
      </c>
      <c r="U274" s="86">
        <v>43242</v>
      </c>
      <c r="V274" s="86">
        <v>43616</v>
      </c>
      <c r="W274" s="85" t="s">
        <v>1653</v>
      </c>
      <c r="X274" s="85" t="s">
        <v>114</v>
      </c>
      <c r="Y274" s="85">
        <v>1</v>
      </c>
      <c r="Z274" s="85" t="s">
        <v>114</v>
      </c>
      <c r="AA274" s="85"/>
      <c r="AB274" s="85" t="s">
        <v>114</v>
      </c>
      <c r="AC274" s="85" t="s">
        <v>114</v>
      </c>
      <c r="AD274" s="85" t="s">
        <v>114</v>
      </c>
      <c r="AE274" s="85"/>
      <c r="AF274" s="85"/>
      <c r="AG274" s="86">
        <v>43199</v>
      </c>
      <c r="AH274" s="85" t="s">
        <v>1976</v>
      </c>
      <c r="AI274" s="85"/>
      <c r="AJ274" s="85"/>
      <c r="AK274" s="86">
        <v>42861</v>
      </c>
      <c r="AL274" s="85" t="s">
        <v>107</v>
      </c>
      <c r="AM274" s="85" t="s">
        <v>107</v>
      </c>
      <c r="AN274" s="85"/>
      <c r="AO274" s="86">
        <v>43207</v>
      </c>
      <c r="AP274" s="86">
        <v>43273</v>
      </c>
      <c r="AQ274" s="86">
        <v>43273</v>
      </c>
      <c r="AR274" s="86">
        <v>43273</v>
      </c>
      <c r="AS274" s="86">
        <v>43273</v>
      </c>
      <c r="AT274" s="86">
        <v>43273</v>
      </c>
      <c r="AU274" s="86">
        <v>43273</v>
      </c>
      <c r="AV274" s="86">
        <v>43273</v>
      </c>
      <c r="AW274" s="86">
        <v>43273</v>
      </c>
    </row>
    <row r="275" spans="1:49" x14ac:dyDescent="0.2">
      <c r="A275" s="85" t="s">
        <v>924</v>
      </c>
      <c r="B275" s="85" t="s">
        <v>925</v>
      </c>
      <c r="C275" s="85" t="s">
        <v>926</v>
      </c>
      <c r="D275" s="85" t="s">
        <v>927</v>
      </c>
      <c r="E275" s="85" t="s">
        <v>291</v>
      </c>
      <c r="F275" s="85" t="s">
        <v>144</v>
      </c>
      <c r="G275" s="85" t="s">
        <v>4</v>
      </c>
      <c r="H275" s="85" t="s">
        <v>7</v>
      </c>
      <c r="I275" s="86">
        <v>43314</v>
      </c>
      <c r="J275" s="86">
        <v>43372</v>
      </c>
      <c r="K275" s="86">
        <v>43220</v>
      </c>
      <c r="L275" s="85" t="s">
        <v>99</v>
      </c>
      <c r="M275" s="86">
        <v>42864</v>
      </c>
      <c r="N275" s="85" t="s">
        <v>107</v>
      </c>
      <c r="O275" s="86">
        <v>43220</v>
      </c>
      <c r="P275" s="86">
        <v>43213</v>
      </c>
      <c r="Q275" s="86">
        <v>43581</v>
      </c>
      <c r="R275" s="85" t="s">
        <v>1652</v>
      </c>
      <c r="S275" s="86">
        <v>43497</v>
      </c>
      <c r="T275" s="85" t="s">
        <v>1652</v>
      </c>
      <c r="U275" s="86">
        <v>43209</v>
      </c>
      <c r="V275" s="86">
        <v>43585</v>
      </c>
      <c r="W275" s="85" t="s">
        <v>1653</v>
      </c>
      <c r="X275" s="85" t="s">
        <v>119</v>
      </c>
      <c r="Y275" s="85">
        <v>1</v>
      </c>
      <c r="Z275" s="85" t="s">
        <v>114</v>
      </c>
      <c r="AA275" s="85"/>
      <c r="AB275" s="85" t="s">
        <v>114</v>
      </c>
      <c r="AC275" s="85" t="s">
        <v>114</v>
      </c>
      <c r="AD275" s="85" t="s">
        <v>119</v>
      </c>
      <c r="AE275" s="85" t="s">
        <v>1665</v>
      </c>
      <c r="AF275" s="85"/>
      <c r="AG275" s="86">
        <v>43292</v>
      </c>
      <c r="AH275" s="85" t="s">
        <v>107</v>
      </c>
      <c r="AI275" s="86">
        <v>43215</v>
      </c>
      <c r="AJ275" s="86">
        <v>43215</v>
      </c>
      <c r="AK275" s="86">
        <v>43220</v>
      </c>
      <c r="AL275" s="85" t="s">
        <v>107</v>
      </c>
      <c r="AM275" s="85" t="s">
        <v>107</v>
      </c>
      <c r="AN275" s="85"/>
      <c r="AO275" s="86">
        <v>43216</v>
      </c>
      <c r="AP275" s="86">
        <v>43047</v>
      </c>
      <c r="AQ275" s="86">
        <v>42922</v>
      </c>
      <c r="AR275" s="86">
        <v>43241</v>
      </c>
      <c r="AS275" s="86">
        <v>43241</v>
      </c>
      <c r="AT275" s="86">
        <v>42922</v>
      </c>
      <c r="AU275" s="86">
        <v>43241</v>
      </c>
      <c r="AV275" s="86">
        <v>43241</v>
      </c>
      <c r="AW275" s="86">
        <v>43241</v>
      </c>
    </row>
    <row r="276" spans="1:49" x14ac:dyDescent="0.2">
      <c r="A276" s="85" t="s">
        <v>928</v>
      </c>
      <c r="B276" s="85" t="s">
        <v>929</v>
      </c>
      <c r="C276" s="85" t="s">
        <v>926</v>
      </c>
      <c r="D276" s="85" t="s">
        <v>349</v>
      </c>
      <c r="E276" s="85" t="s">
        <v>222</v>
      </c>
      <c r="F276" s="85" t="s">
        <v>245</v>
      </c>
      <c r="G276" s="85" t="s">
        <v>4</v>
      </c>
      <c r="H276" s="85" t="s">
        <v>12</v>
      </c>
      <c r="I276" s="86">
        <v>43434</v>
      </c>
      <c r="J276" s="86">
        <v>43228</v>
      </c>
      <c r="K276" s="86">
        <v>43241</v>
      </c>
      <c r="L276" s="85" t="s">
        <v>99</v>
      </c>
      <c r="M276" s="86">
        <v>43373</v>
      </c>
      <c r="N276" s="85" t="s">
        <v>107</v>
      </c>
      <c r="O276" s="86">
        <v>42871</v>
      </c>
      <c r="P276" s="86">
        <v>43214</v>
      </c>
      <c r="Q276" s="86">
        <v>43490</v>
      </c>
      <c r="R276" s="85" t="s">
        <v>1652</v>
      </c>
      <c r="S276" s="86">
        <v>43586</v>
      </c>
      <c r="T276" s="85" t="s">
        <v>1652</v>
      </c>
      <c r="U276" s="86">
        <v>43397</v>
      </c>
      <c r="V276" s="86">
        <v>43769</v>
      </c>
      <c r="W276" s="85" t="s">
        <v>1653</v>
      </c>
      <c r="X276" s="85" t="s">
        <v>114</v>
      </c>
      <c r="Y276" s="85">
        <v>1</v>
      </c>
      <c r="Z276" s="85" t="s">
        <v>211</v>
      </c>
      <c r="AA276" s="85"/>
      <c r="AB276" s="85" t="s">
        <v>211</v>
      </c>
      <c r="AC276" s="85" t="s">
        <v>114</v>
      </c>
      <c r="AD276" s="85" t="s">
        <v>211</v>
      </c>
      <c r="AE276" s="85" t="s">
        <v>1977</v>
      </c>
      <c r="AF276" s="86">
        <v>43538</v>
      </c>
      <c r="AG276" s="86">
        <v>43375</v>
      </c>
      <c r="AH276" s="85" t="s">
        <v>107</v>
      </c>
      <c r="AI276" s="86">
        <v>42852</v>
      </c>
      <c r="AJ276" s="86">
        <v>43219</v>
      </c>
      <c r="AK276" s="86">
        <v>43079</v>
      </c>
      <c r="AL276" s="85" t="s">
        <v>107</v>
      </c>
      <c r="AM276" s="85" t="s">
        <v>107</v>
      </c>
      <c r="AN276" s="86">
        <v>43376</v>
      </c>
      <c r="AO276" s="86">
        <v>43213</v>
      </c>
      <c r="AP276" s="86">
        <v>43157</v>
      </c>
      <c r="AQ276" s="86">
        <v>42870</v>
      </c>
      <c r="AR276" s="86">
        <v>43125</v>
      </c>
      <c r="AS276" s="86">
        <v>43241</v>
      </c>
      <c r="AT276" s="86">
        <v>43125</v>
      </c>
      <c r="AU276" s="86">
        <v>43125</v>
      </c>
      <c r="AV276" s="86">
        <v>43125</v>
      </c>
      <c r="AW276" s="86">
        <v>43125</v>
      </c>
    </row>
    <row r="277" spans="1:49" x14ac:dyDescent="0.2">
      <c r="A277" s="85" t="s">
        <v>930</v>
      </c>
      <c r="B277" s="85" t="s">
        <v>931</v>
      </c>
      <c r="C277" s="85" t="s">
        <v>932</v>
      </c>
      <c r="D277" s="85" t="s">
        <v>933</v>
      </c>
      <c r="E277" s="85" t="s">
        <v>291</v>
      </c>
      <c r="F277" s="85" t="s">
        <v>122</v>
      </c>
      <c r="G277" s="85" t="s">
        <v>4</v>
      </c>
      <c r="H277" s="85" t="s">
        <v>13</v>
      </c>
      <c r="I277" s="86">
        <v>43368</v>
      </c>
      <c r="J277" s="86">
        <v>43167</v>
      </c>
      <c r="K277" s="86">
        <v>43164</v>
      </c>
      <c r="L277" s="85" t="s">
        <v>99</v>
      </c>
      <c r="M277" s="85"/>
      <c r="N277" s="85" t="s">
        <v>107</v>
      </c>
      <c r="O277" s="86">
        <v>43164</v>
      </c>
      <c r="P277" s="86">
        <v>43325</v>
      </c>
      <c r="Q277" s="86">
        <v>43532</v>
      </c>
      <c r="R277" s="85" t="s">
        <v>1652</v>
      </c>
      <c r="S277" s="86">
        <v>44166</v>
      </c>
      <c r="T277" s="85" t="s">
        <v>1652</v>
      </c>
      <c r="U277" s="86">
        <v>43266</v>
      </c>
      <c r="V277" s="86">
        <v>43646</v>
      </c>
      <c r="W277" s="85" t="s">
        <v>1653</v>
      </c>
      <c r="X277" s="85" t="s">
        <v>114</v>
      </c>
      <c r="Y277" s="85">
        <v>1</v>
      </c>
      <c r="Z277" s="85" t="s">
        <v>114</v>
      </c>
      <c r="AA277" s="85"/>
      <c r="AB277" s="85" t="s">
        <v>114</v>
      </c>
      <c r="AC277" s="85" t="s">
        <v>114</v>
      </c>
      <c r="AD277" s="85" t="s">
        <v>114</v>
      </c>
      <c r="AE277" s="85"/>
      <c r="AF277" s="85"/>
      <c r="AG277" s="86">
        <v>43203</v>
      </c>
      <c r="AH277" s="85" t="s">
        <v>107</v>
      </c>
      <c r="AI277" s="86">
        <v>43189</v>
      </c>
      <c r="AJ277" s="86">
        <v>43234</v>
      </c>
      <c r="AK277" s="86">
        <v>43164</v>
      </c>
      <c r="AL277" s="85" t="s">
        <v>107</v>
      </c>
      <c r="AM277" s="85" t="s">
        <v>107</v>
      </c>
      <c r="AN277" s="86">
        <v>43507</v>
      </c>
      <c r="AO277" s="86">
        <v>43207</v>
      </c>
      <c r="AP277" s="86">
        <v>43507</v>
      </c>
      <c r="AQ277" s="86">
        <v>43157</v>
      </c>
      <c r="AR277" s="86">
        <v>43507</v>
      </c>
      <c r="AS277" s="86">
        <v>43507</v>
      </c>
      <c r="AT277" s="86">
        <v>43507</v>
      </c>
      <c r="AU277" s="86">
        <v>43507</v>
      </c>
      <c r="AV277" s="86">
        <v>43507</v>
      </c>
      <c r="AW277" s="86">
        <v>43507</v>
      </c>
    </row>
    <row r="278" spans="1:49" x14ac:dyDescent="0.2">
      <c r="A278" s="85" t="s">
        <v>1839</v>
      </c>
      <c r="B278" s="85" t="s">
        <v>1840</v>
      </c>
      <c r="C278" s="85" t="s">
        <v>932</v>
      </c>
      <c r="D278" s="85" t="s">
        <v>1841</v>
      </c>
      <c r="E278" s="85" t="s">
        <v>149</v>
      </c>
      <c r="F278" s="85" t="s">
        <v>122</v>
      </c>
      <c r="G278" s="85" t="s">
        <v>4</v>
      </c>
      <c r="H278" s="85" t="s">
        <v>8</v>
      </c>
      <c r="I278" s="86">
        <v>43486</v>
      </c>
      <c r="J278" s="85"/>
      <c r="K278" s="86">
        <v>43510</v>
      </c>
      <c r="L278" s="85" t="s">
        <v>99</v>
      </c>
      <c r="M278" s="85"/>
      <c r="N278" s="85" t="s">
        <v>107</v>
      </c>
      <c r="O278" s="86">
        <v>43510</v>
      </c>
      <c r="P278" s="85"/>
      <c r="Q278" s="86">
        <v>43869</v>
      </c>
      <c r="R278" s="85" t="s">
        <v>1652</v>
      </c>
      <c r="S278" s="86">
        <v>45200</v>
      </c>
      <c r="T278" s="85" t="s">
        <v>1658</v>
      </c>
      <c r="U278" s="86">
        <v>43417</v>
      </c>
      <c r="V278" s="86">
        <v>43799</v>
      </c>
      <c r="W278" s="85" t="s">
        <v>1653</v>
      </c>
      <c r="X278" s="85" t="s">
        <v>114</v>
      </c>
      <c r="Y278" s="85">
        <v>4</v>
      </c>
      <c r="Z278" s="85" t="s">
        <v>119</v>
      </c>
      <c r="AA278" s="85"/>
      <c r="AB278" s="85" t="s">
        <v>211</v>
      </c>
      <c r="AC278" s="85" t="s">
        <v>211</v>
      </c>
      <c r="AD278" s="85" t="s">
        <v>119</v>
      </c>
      <c r="AE278" s="85" t="s">
        <v>1886</v>
      </c>
      <c r="AF278" s="85"/>
      <c r="AG278" s="85" t="s">
        <v>59</v>
      </c>
      <c r="AH278" s="85" t="s">
        <v>107</v>
      </c>
      <c r="AI278" s="85" t="s">
        <v>59</v>
      </c>
      <c r="AJ278" s="85" t="s">
        <v>59</v>
      </c>
      <c r="AK278" s="85" t="s">
        <v>59</v>
      </c>
      <c r="AL278" s="85" t="s">
        <v>107</v>
      </c>
      <c r="AM278" s="85" t="s">
        <v>107</v>
      </c>
      <c r="AN278" s="86">
        <v>43472</v>
      </c>
      <c r="AO278" s="86">
        <v>43472</v>
      </c>
      <c r="AP278" s="86">
        <v>43472</v>
      </c>
      <c r="AQ278" s="86">
        <v>43472</v>
      </c>
      <c r="AR278" s="86">
        <v>43472</v>
      </c>
      <c r="AS278" s="86">
        <v>43472</v>
      </c>
      <c r="AT278" s="86">
        <v>43472</v>
      </c>
      <c r="AU278" s="86">
        <v>43472</v>
      </c>
      <c r="AV278" s="86">
        <v>43472</v>
      </c>
      <c r="AW278" s="86">
        <v>43472</v>
      </c>
    </row>
    <row r="279" spans="1:49" x14ac:dyDescent="0.2">
      <c r="A279" s="85" t="s">
        <v>1978</v>
      </c>
      <c r="B279" s="85" t="s">
        <v>1979</v>
      </c>
      <c r="C279" s="85" t="s">
        <v>932</v>
      </c>
      <c r="D279" s="85" t="s">
        <v>1980</v>
      </c>
      <c r="E279" s="85"/>
      <c r="F279" s="85" t="s">
        <v>106</v>
      </c>
      <c r="G279" s="85" t="s">
        <v>4</v>
      </c>
      <c r="H279" s="85" t="s">
        <v>13</v>
      </c>
      <c r="I279" s="85" t="s">
        <v>107</v>
      </c>
      <c r="J279" s="85" t="s">
        <v>59</v>
      </c>
      <c r="K279" s="85" t="s">
        <v>59</v>
      </c>
      <c r="L279" s="85" t="s">
        <v>107</v>
      </c>
      <c r="M279" s="85" t="s">
        <v>107</v>
      </c>
      <c r="N279" s="85" t="s">
        <v>107</v>
      </c>
      <c r="O279" s="85" t="s">
        <v>107</v>
      </c>
      <c r="P279" s="85" t="s">
        <v>107</v>
      </c>
      <c r="Q279" s="85" t="s">
        <v>59</v>
      </c>
      <c r="R279" s="85" t="s">
        <v>107</v>
      </c>
      <c r="S279" s="85" t="s">
        <v>107</v>
      </c>
      <c r="T279" s="85" t="s">
        <v>107</v>
      </c>
      <c r="U279" s="85" t="s">
        <v>107</v>
      </c>
      <c r="V279" s="85" t="s">
        <v>107</v>
      </c>
      <c r="W279" s="85" t="s">
        <v>107</v>
      </c>
      <c r="X279" s="85" t="s">
        <v>107</v>
      </c>
      <c r="Y279" s="85" t="s">
        <v>107</v>
      </c>
      <c r="Z279" s="85" t="s">
        <v>107</v>
      </c>
      <c r="AA279" s="85" t="s">
        <v>107</v>
      </c>
      <c r="AB279" s="85" t="s">
        <v>107</v>
      </c>
      <c r="AC279" s="85" t="s">
        <v>107</v>
      </c>
      <c r="AD279" s="85" t="s">
        <v>107</v>
      </c>
      <c r="AE279" s="85" t="s">
        <v>107</v>
      </c>
      <c r="AF279" s="85" t="s">
        <v>107</v>
      </c>
      <c r="AG279" s="86">
        <v>43517</v>
      </c>
      <c r="AH279" s="85" t="s">
        <v>107</v>
      </c>
      <c r="AI279" s="85" t="s">
        <v>107</v>
      </c>
      <c r="AJ279" s="85" t="s">
        <v>107</v>
      </c>
      <c r="AK279" s="85" t="s">
        <v>107</v>
      </c>
      <c r="AL279" s="85" t="s">
        <v>107</v>
      </c>
      <c r="AM279" s="85" t="s">
        <v>107</v>
      </c>
      <c r="AN279" s="86">
        <v>43516</v>
      </c>
      <c r="AO279" s="86">
        <v>43516</v>
      </c>
      <c r="AP279" s="86">
        <v>43516</v>
      </c>
      <c r="AQ279" s="86">
        <v>43516</v>
      </c>
      <c r="AR279" s="86">
        <v>43516</v>
      </c>
      <c r="AS279" s="86">
        <v>43516</v>
      </c>
      <c r="AT279" s="86">
        <v>43516</v>
      </c>
      <c r="AU279" s="86" t="s">
        <v>107</v>
      </c>
      <c r="AV279" s="86">
        <v>43516</v>
      </c>
      <c r="AW279" s="86">
        <v>43516</v>
      </c>
    </row>
    <row r="280" spans="1:49" x14ac:dyDescent="0.2">
      <c r="A280" s="85" t="s">
        <v>934</v>
      </c>
      <c r="B280" s="85" t="s">
        <v>935</v>
      </c>
      <c r="C280" s="85" t="s">
        <v>219</v>
      </c>
      <c r="D280" s="85" t="s">
        <v>936</v>
      </c>
      <c r="E280" s="85" t="s">
        <v>126</v>
      </c>
      <c r="F280" s="85" t="s">
        <v>122</v>
      </c>
      <c r="G280" s="85" t="s">
        <v>4</v>
      </c>
      <c r="H280" s="85" t="s">
        <v>7</v>
      </c>
      <c r="I280" s="86">
        <v>43468</v>
      </c>
      <c r="J280" s="86">
        <v>43417</v>
      </c>
      <c r="K280" s="86">
        <v>43338</v>
      </c>
      <c r="L280" s="85" t="s">
        <v>99</v>
      </c>
      <c r="M280" s="86">
        <v>42752</v>
      </c>
      <c r="N280" s="85" t="s">
        <v>107</v>
      </c>
      <c r="O280" s="86">
        <v>43164</v>
      </c>
      <c r="P280" s="86">
        <v>43305</v>
      </c>
      <c r="Q280" s="86">
        <v>43532</v>
      </c>
      <c r="R280" s="85" t="s">
        <v>1652</v>
      </c>
      <c r="S280" s="86">
        <v>44075</v>
      </c>
      <c r="T280" s="85" t="s">
        <v>1652</v>
      </c>
      <c r="U280" s="86">
        <v>43487</v>
      </c>
      <c r="V280" s="86">
        <v>43861</v>
      </c>
      <c r="W280" s="85" t="s">
        <v>1653</v>
      </c>
      <c r="X280" s="85" t="s">
        <v>114</v>
      </c>
      <c r="Y280" s="85">
        <v>1</v>
      </c>
      <c r="Z280" s="85" t="s">
        <v>114</v>
      </c>
      <c r="AA280" s="85"/>
      <c r="AB280" s="85" t="s">
        <v>114</v>
      </c>
      <c r="AC280" s="85" t="s">
        <v>114</v>
      </c>
      <c r="AD280" s="85" t="s">
        <v>211</v>
      </c>
      <c r="AE280" s="85" t="s">
        <v>1654</v>
      </c>
      <c r="AF280" s="86">
        <v>43525</v>
      </c>
      <c r="AG280" s="86">
        <v>43412</v>
      </c>
      <c r="AH280" s="85" t="s">
        <v>107</v>
      </c>
      <c r="AI280" s="85"/>
      <c r="AJ280" s="85"/>
      <c r="AK280" s="86">
        <v>43164</v>
      </c>
      <c r="AL280" s="85" t="s">
        <v>107</v>
      </c>
      <c r="AM280" s="85" t="s">
        <v>107</v>
      </c>
      <c r="AN280" s="86">
        <v>43398</v>
      </c>
      <c r="AO280" s="86">
        <v>43207</v>
      </c>
      <c r="AP280" s="86">
        <v>43047</v>
      </c>
      <c r="AQ280" s="86">
        <v>43118</v>
      </c>
      <c r="AR280" s="86">
        <v>43118</v>
      </c>
      <c r="AS280" s="86">
        <v>43155</v>
      </c>
      <c r="AT280" s="86">
        <v>43118</v>
      </c>
      <c r="AU280" s="86">
        <v>43118</v>
      </c>
      <c r="AV280" s="86">
        <v>43118</v>
      </c>
      <c r="AW280" s="86">
        <v>43118</v>
      </c>
    </row>
    <row r="281" spans="1:49" x14ac:dyDescent="0.2">
      <c r="A281" s="85" t="s">
        <v>1887</v>
      </c>
      <c r="B281" s="85" t="s">
        <v>1888</v>
      </c>
      <c r="C281" s="85" t="s">
        <v>1889</v>
      </c>
      <c r="D281" s="85" t="s">
        <v>1890</v>
      </c>
      <c r="E281" s="85" t="s">
        <v>158</v>
      </c>
      <c r="F281" s="85" t="s">
        <v>106</v>
      </c>
      <c r="G281" s="85" t="s">
        <v>4</v>
      </c>
      <c r="H281" s="85" t="s">
        <v>5</v>
      </c>
      <c r="I281" s="85" t="s">
        <v>107</v>
      </c>
      <c r="J281" s="85" t="s">
        <v>59</v>
      </c>
      <c r="K281" s="85" t="s">
        <v>59</v>
      </c>
      <c r="L281" s="85" t="s">
        <v>107</v>
      </c>
      <c r="M281" s="85" t="s">
        <v>107</v>
      </c>
      <c r="N281" s="85" t="s">
        <v>107</v>
      </c>
      <c r="O281" s="85" t="s">
        <v>107</v>
      </c>
      <c r="P281" s="85" t="s">
        <v>107</v>
      </c>
      <c r="Q281" s="86">
        <v>365</v>
      </c>
      <c r="R281" s="85" t="s">
        <v>107</v>
      </c>
      <c r="S281" s="85" t="s">
        <v>107</v>
      </c>
      <c r="T281" s="85" t="s">
        <v>107</v>
      </c>
      <c r="U281" s="85" t="s">
        <v>107</v>
      </c>
      <c r="V281" s="85" t="s">
        <v>107</v>
      </c>
      <c r="W281" s="85" t="s">
        <v>107</v>
      </c>
      <c r="X281" s="85" t="s">
        <v>107</v>
      </c>
      <c r="Y281" s="85" t="s">
        <v>107</v>
      </c>
      <c r="Z281" s="85" t="s">
        <v>107</v>
      </c>
      <c r="AA281" s="85" t="s">
        <v>107</v>
      </c>
      <c r="AB281" s="85" t="s">
        <v>107</v>
      </c>
      <c r="AC281" s="85" t="s">
        <v>107</v>
      </c>
      <c r="AD281" s="85" t="s">
        <v>107</v>
      </c>
      <c r="AE281" s="85" t="s">
        <v>107</v>
      </c>
      <c r="AF281" s="85" t="s">
        <v>107</v>
      </c>
      <c r="AG281" s="86">
        <v>43476</v>
      </c>
      <c r="AH281" s="85" t="s">
        <v>107</v>
      </c>
      <c r="AI281" s="85" t="s">
        <v>107</v>
      </c>
      <c r="AJ281" s="85" t="s">
        <v>107</v>
      </c>
      <c r="AK281" s="85" t="s">
        <v>107</v>
      </c>
      <c r="AL281" s="85" t="s">
        <v>107</v>
      </c>
      <c r="AM281" s="85" t="s">
        <v>107</v>
      </c>
      <c r="AN281" s="86">
        <v>43472</v>
      </c>
      <c r="AO281" s="86">
        <v>43472</v>
      </c>
      <c r="AP281" s="86">
        <v>43472</v>
      </c>
      <c r="AQ281" s="86">
        <v>43472</v>
      </c>
      <c r="AR281" s="86">
        <v>43472</v>
      </c>
      <c r="AS281" s="86">
        <v>43472</v>
      </c>
      <c r="AT281" s="86">
        <v>43472</v>
      </c>
      <c r="AU281" s="85" t="s">
        <v>107</v>
      </c>
      <c r="AV281" s="86">
        <v>43472</v>
      </c>
      <c r="AW281" s="86">
        <v>43472</v>
      </c>
    </row>
    <row r="282" spans="1:49" x14ac:dyDescent="0.2">
      <c r="A282" s="85" t="s">
        <v>937</v>
      </c>
      <c r="B282" s="85" t="s">
        <v>938</v>
      </c>
      <c r="C282" s="85" t="s">
        <v>939</v>
      </c>
      <c r="D282" s="85" t="s">
        <v>686</v>
      </c>
      <c r="E282" s="85" t="s">
        <v>149</v>
      </c>
      <c r="F282" s="85" t="s">
        <v>127</v>
      </c>
      <c r="G282" s="85" t="s">
        <v>4</v>
      </c>
      <c r="H282" s="85" t="s">
        <v>9</v>
      </c>
      <c r="I282" s="86">
        <v>43430</v>
      </c>
      <c r="J282" s="86">
        <v>43493</v>
      </c>
      <c r="K282" s="86">
        <v>43494</v>
      </c>
      <c r="L282" s="85" t="s">
        <v>99</v>
      </c>
      <c r="M282" s="86">
        <v>43228</v>
      </c>
      <c r="N282" s="85" t="s">
        <v>107</v>
      </c>
      <c r="O282" s="86">
        <v>43125</v>
      </c>
      <c r="P282" s="86">
        <v>43213</v>
      </c>
      <c r="Q282" s="86">
        <v>43862</v>
      </c>
      <c r="R282" s="85" t="s">
        <v>1652</v>
      </c>
      <c r="S282" s="86">
        <v>44228</v>
      </c>
      <c r="T282" s="85" t="s">
        <v>1652</v>
      </c>
      <c r="U282" s="86">
        <v>43434</v>
      </c>
      <c r="V282" s="86">
        <v>43616</v>
      </c>
      <c r="W282" s="85" t="s">
        <v>1657</v>
      </c>
      <c r="X282" s="85" t="s">
        <v>114</v>
      </c>
      <c r="Y282" s="85">
        <v>1</v>
      </c>
      <c r="Z282" s="85" t="s">
        <v>114</v>
      </c>
      <c r="AA282" s="85"/>
      <c r="AB282" s="85" t="s">
        <v>114</v>
      </c>
      <c r="AC282" s="85" t="s">
        <v>114</v>
      </c>
      <c r="AD282" s="85" t="s">
        <v>114</v>
      </c>
      <c r="AE282" s="85"/>
      <c r="AF282" s="85"/>
      <c r="AG282" s="86">
        <v>43229</v>
      </c>
      <c r="AH282" s="85" t="s">
        <v>107</v>
      </c>
      <c r="AI282" s="86">
        <v>41939</v>
      </c>
      <c r="AJ282" s="86">
        <v>43219</v>
      </c>
      <c r="AK282" s="86">
        <v>43125</v>
      </c>
      <c r="AL282" s="85" t="s">
        <v>107</v>
      </c>
      <c r="AM282" s="85" t="s">
        <v>107</v>
      </c>
      <c r="AN282" s="86">
        <v>43502</v>
      </c>
      <c r="AO282" s="86">
        <v>43207</v>
      </c>
      <c r="AP282" s="86">
        <v>43502</v>
      </c>
      <c r="AQ282" s="86">
        <v>41963</v>
      </c>
      <c r="AR282" s="86">
        <v>43502</v>
      </c>
      <c r="AS282" s="86">
        <v>43502</v>
      </c>
      <c r="AT282" s="86">
        <v>43502</v>
      </c>
      <c r="AU282" s="86">
        <v>43502</v>
      </c>
      <c r="AV282" s="86">
        <v>43502</v>
      </c>
      <c r="AW282" s="86">
        <v>43502</v>
      </c>
    </row>
    <row r="283" spans="1:49" x14ac:dyDescent="0.2">
      <c r="A283" s="85" t="s">
        <v>940</v>
      </c>
      <c r="B283" s="85" t="s">
        <v>941</v>
      </c>
      <c r="C283" s="85" t="s">
        <v>942</v>
      </c>
      <c r="D283" s="85" t="s">
        <v>933</v>
      </c>
      <c r="E283" s="85" t="s">
        <v>158</v>
      </c>
      <c r="F283" s="85" t="s">
        <v>122</v>
      </c>
      <c r="G283" s="85" t="s">
        <v>4</v>
      </c>
      <c r="H283" s="85" t="s">
        <v>13</v>
      </c>
      <c r="I283" s="86">
        <v>43185</v>
      </c>
      <c r="J283" s="86">
        <v>43195</v>
      </c>
      <c r="K283" s="86">
        <v>43497</v>
      </c>
      <c r="L283" s="85" t="s">
        <v>99</v>
      </c>
      <c r="M283" s="86">
        <v>42823</v>
      </c>
      <c r="N283" s="85" t="s">
        <v>107</v>
      </c>
      <c r="O283" s="86">
        <v>42821</v>
      </c>
      <c r="P283" s="86">
        <v>43269</v>
      </c>
      <c r="Q283" s="86">
        <v>43862</v>
      </c>
      <c r="R283" s="85" t="s">
        <v>1652</v>
      </c>
      <c r="S283" s="86">
        <v>43800</v>
      </c>
      <c r="T283" s="85" t="s">
        <v>1652</v>
      </c>
      <c r="U283" s="86">
        <v>43175</v>
      </c>
      <c r="V283" s="86">
        <v>43555</v>
      </c>
      <c r="W283" s="85" t="s">
        <v>1653</v>
      </c>
      <c r="X283" s="85" t="s">
        <v>114</v>
      </c>
      <c r="Y283" s="85">
        <v>1</v>
      </c>
      <c r="Z283" s="85" t="s">
        <v>114</v>
      </c>
      <c r="AA283" s="85"/>
      <c r="AB283" s="85" t="s">
        <v>114</v>
      </c>
      <c r="AC283" s="85" t="s">
        <v>114</v>
      </c>
      <c r="AD283" s="85" t="s">
        <v>114</v>
      </c>
      <c r="AE283" s="85"/>
      <c r="AF283" s="85"/>
      <c r="AG283" s="86">
        <v>43195</v>
      </c>
      <c r="AH283" s="85" t="s">
        <v>107</v>
      </c>
      <c r="AI283" s="86">
        <v>43101</v>
      </c>
      <c r="AJ283" s="86">
        <v>43101</v>
      </c>
      <c r="AK283" s="86">
        <v>43195</v>
      </c>
      <c r="AL283" s="85" t="s">
        <v>107</v>
      </c>
      <c r="AM283" s="85" t="s">
        <v>107</v>
      </c>
      <c r="AN283" s="86">
        <v>43390</v>
      </c>
      <c r="AO283" s="86">
        <v>43209</v>
      </c>
      <c r="AP283" s="86">
        <v>43339</v>
      </c>
      <c r="AQ283" s="86">
        <v>43339</v>
      </c>
      <c r="AR283" s="86">
        <v>43339</v>
      </c>
      <c r="AS283" s="86">
        <v>43339</v>
      </c>
      <c r="AT283" s="86">
        <v>43339</v>
      </c>
      <c r="AU283" s="86">
        <v>43339</v>
      </c>
      <c r="AV283" s="86">
        <v>43339</v>
      </c>
      <c r="AW283" s="86">
        <v>43339</v>
      </c>
    </row>
    <row r="284" spans="1:49" x14ac:dyDescent="0.2">
      <c r="A284" s="85" t="s">
        <v>1806</v>
      </c>
      <c r="B284" s="85" t="s">
        <v>1807</v>
      </c>
      <c r="C284" s="85" t="s">
        <v>1808</v>
      </c>
      <c r="D284" s="85" t="s">
        <v>733</v>
      </c>
      <c r="E284" s="85" t="s">
        <v>126</v>
      </c>
      <c r="F284" s="85" t="s">
        <v>136</v>
      </c>
      <c r="G284" s="85" t="s">
        <v>4</v>
      </c>
      <c r="H284" s="85" t="s">
        <v>13</v>
      </c>
      <c r="I284" s="86">
        <v>43451</v>
      </c>
      <c r="J284" s="85" t="s">
        <v>59</v>
      </c>
      <c r="K284" s="85" t="s">
        <v>59</v>
      </c>
      <c r="L284" s="85" t="s">
        <v>59</v>
      </c>
      <c r="M284" s="85" t="s">
        <v>59</v>
      </c>
      <c r="N284" s="85" t="s">
        <v>107</v>
      </c>
      <c r="O284" s="85" t="s">
        <v>59</v>
      </c>
      <c r="P284" s="85" t="s">
        <v>59</v>
      </c>
      <c r="Q284" s="85" t="s">
        <v>59</v>
      </c>
      <c r="R284" s="85" t="s">
        <v>1652</v>
      </c>
      <c r="S284" s="85" t="s">
        <v>59</v>
      </c>
      <c r="T284" s="85" t="s">
        <v>59</v>
      </c>
      <c r="U284" s="86">
        <v>43335</v>
      </c>
      <c r="V284" s="86">
        <v>43524</v>
      </c>
      <c r="W284" s="85" t="s">
        <v>1657</v>
      </c>
      <c r="X284" s="85" t="s">
        <v>211</v>
      </c>
      <c r="Y284" s="85">
        <v>1</v>
      </c>
      <c r="Z284" s="85" t="s">
        <v>114</v>
      </c>
      <c r="AA284" s="85"/>
      <c r="AB284" s="85" t="s">
        <v>114</v>
      </c>
      <c r="AC284" s="85" t="s">
        <v>114</v>
      </c>
      <c r="AD284" s="85" t="s">
        <v>211</v>
      </c>
      <c r="AE284" s="85" t="s">
        <v>1981</v>
      </c>
      <c r="AF284" s="86">
        <v>43585</v>
      </c>
      <c r="AG284" s="85" t="s">
        <v>59</v>
      </c>
      <c r="AH284" s="85" t="s">
        <v>107</v>
      </c>
      <c r="AI284" s="85" t="s">
        <v>59</v>
      </c>
      <c r="AJ284" s="85" t="s">
        <v>59</v>
      </c>
      <c r="AK284" s="85" t="s">
        <v>59</v>
      </c>
      <c r="AL284" s="85" t="s">
        <v>107</v>
      </c>
      <c r="AM284" s="85" t="s">
        <v>107</v>
      </c>
      <c r="AN284" s="86">
        <v>43472</v>
      </c>
      <c r="AO284" s="86">
        <v>43472</v>
      </c>
      <c r="AP284" s="86">
        <v>43472</v>
      </c>
      <c r="AQ284" s="86">
        <v>43472</v>
      </c>
      <c r="AR284" s="86">
        <v>43472</v>
      </c>
      <c r="AS284" s="86">
        <v>43472</v>
      </c>
      <c r="AT284" s="86">
        <v>43472</v>
      </c>
      <c r="AU284" s="86">
        <v>43472</v>
      </c>
      <c r="AV284" s="86">
        <v>43472</v>
      </c>
      <c r="AW284" s="86">
        <v>43472</v>
      </c>
    </row>
    <row r="285" spans="1:49" x14ac:dyDescent="0.2">
      <c r="A285" s="85" t="s">
        <v>943</v>
      </c>
      <c r="B285" s="85" t="s">
        <v>944</v>
      </c>
      <c r="C285" s="85" t="s">
        <v>945</v>
      </c>
      <c r="D285" s="85" t="s">
        <v>946</v>
      </c>
      <c r="E285" s="85" t="s">
        <v>141</v>
      </c>
      <c r="F285" s="85" t="s">
        <v>172</v>
      </c>
      <c r="G285" s="85" t="s">
        <v>4</v>
      </c>
      <c r="H285" s="85" t="s">
        <v>12</v>
      </c>
      <c r="I285" s="86">
        <v>43453</v>
      </c>
      <c r="J285" s="86">
        <v>43159</v>
      </c>
      <c r="K285" s="86">
        <v>43222</v>
      </c>
      <c r="L285" s="85" t="s">
        <v>99</v>
      </c>
      <c r="M285" s="86">
        <v>42796</v>
      </c>
      <c r="N285" s="85" t="s">
        <v>107</v>
      </c>
      <c r="O285" s="86">
        <v>42795</v>
      </c>
      <c r="P285" s="86">
        <v>43319</v>
      </c>
      <c r="Q285" s="86">
        <v>43862</v>
      </c>
      <c r="R285" s="85" t="s">
        <v>1652</v>
      </c>
      <c r="S285" s="86">
        <v>43586</v>
      </c>
      <c r="T285" s="85" t="s">
        <v>1652</v>
      </c>
      <c r="U285" s="86">
        <v>43488</v>
      </c>
      <c r="V285" s="86">
        <v>43861</v>
      </c>
      <c r="W285" s="85" t="s">
        <v>1653</v>
      </c>
      <c r="X285" s="85" t="s">
        <v>114</v>
      </c>
      <c r="Y285" s="85">
        <v>1</v>
      </c>
      <c r="Z285" s="85" t="s">
        <v>114</v>
      </c>
      <c r="AA285" s="85"/>
      <c r="AB285" s="85" t="s">
        <v>114</v>
      </c>
      <c r="AC285" s="85" t="s">
        <v>114</v>
      </c>
      <c r="AD285" s="85" t="s">
        <v>114</v>
      </c>
      <c r="AE285" s="85"/>
      <c r="AF285" s="85"/>
      <c r="AG285" s="86">
        <v>43321</v>
      </c>
      <c r="AH285" s="85" t="s">
        <v>107</v>
      </c>
      <c r="AI285" s="85"/>
      <c r="AJ285" s="85"/>
      <c r="AK285" s="86">
        <v>42123</v>
      </c>
      <c r="AL285" s="86">
        <v>42425</v>
      </c>
      <c r="AM285" s="86">
        <v>42425</v>
      </c>
      <c r="AN285" s="86">
        <v>43405</v>
      </c>
      <c r="AO285" s="86">
        <v>43279</v>
      </c>
      <c r="AP285" s="86">
        <v>43279</v>
      </c>
      <c r="AQ285" s="86">
        <v>43279</v>
      </c>
      <c r="AR285" s="86">
        <v>43279</v>
      </c>
      <c r="AS285" s="86">
        <v>43279</v>
      </c>
      <c r="AT285" s="86">
        <v>43279</v>
      </c>
      <c r="AU285" s="86">
        <v>43279</v>
      </c>
      <c r="AV285" s="86">
        <v>43279</v>
      </c>
      <c r="AW285" s="86">
        <v>43279</v>
      </c>
    </row>
    <row r="286" spans="1:49" x14ac:dyDescent="0.2">
      <c r="A286" s="85" t="s">
        <v>947</v>
      </c>
      <c r="B286" s="85" t="s">
        <v>948</v>
      </c>
      <c r="C286" s="85" t="s">
        <v>949</v>
      </c>
      <c r="D286" s="85" t="s">
        <v>675</v>
      </c>
      <c r="E286" s="85" t="s">
        <v>291</v>
      </c>
      <c r="F286" s="85" t="s">
        <v>136</v>
      </c>
      <c r="G286" s="85" t="s">
        <v>4</v>
      </c>
      <c r="H286" s="85" t="s">
        <v>11</v>
      </c>
      <c r="I286" s="86">
        <v>43474</v>
      </c>
      <c r="J286" s="86">
        <v>43220</v>
      </c>
      <c r="K286" s="86">
        <v>43220</v>
      </c>
      <c r="L286" s="85" t="s">
        <v>99</v>
      </c>
      <c r="M286" s="86">
        <v>43474</v>
      </c>
      <c r="N286" s="85" t="s">
        <v>107</v>
      </c>
      <c r="O286" s="86">
        <v>42927</v>
      </c>
      <c r="P286" s="86">
        <v>43243</v>
      </c>
      <c r="Q286" s="86">
        <v>43461</v>
      </c>
      <c r="R286" s="85" t="s">
        <v>1652</v>
      </c>
      <c r="S286" s="86">
        <v>43800</v>
      </c>
      <c r="T286" s="85" t="s">
        <v>1652</v>
      </c>
      <c r="U286" s="86">
        <v>43481</v>
      </c>
      <c r="V286" s="86">
        <v>43861</v>
      </c>
      <c r="W286" s="85" t="s">
        <v>1653</v>
      </c>
      <c r="X286" s="85" t="s">
        <v>114</v>
      </c>
      <c r="Y286" s="85">
        <v>1</v>
      </c>
      <c r="Z286" s="85" t="s">
        <v>114</v>
      </c>
      <c r="AA286" s="85"/>
      <c r="AB286" s="85" t="s">
        <v>114</v>
      </c>
      <c r="AC286" s="85" t="s">
        <v>114</v>
      </c>
      <c r="AD286" s="85" t="s">
        <v>114</v>
      </c>
      <c r="AE286" s="85"/>
      <c r="AF286" s="85"/>
      <c r="AG286" s="86">
        <v>43497</v>
      </c>
      <c r="AH286" s="85" t="s">
        <v>107</v>
      </c>
      <c r="AI286" s="86">
        <v>42530</v>
      </c>
      <c r="AJ286" s="86">
        <v>43220</v>
      </c>
      <c r="AK286" s="86">
        <v>42333</v>
      </c>
      <c r="AL286" s="85" t="s">
        <v>107</v>
      </c>
      <c r="AM286" s="85" t="s">
        <v>107</v>
      </c>
      <c r="AN286" s="86">
        <v>43375</v>
      </c>
      <c r="AO286" s="86">
        <v>43207</v>
      </c>
      <c r="AP286" s="86">
        <v>43311</v>
      </c>
      <c r="AQ286" s="86">
        <v>43311</v>
      </c>
      <c r="AR286" s="86">
        <v>43311</v>
      </c>
      <c r="AS286" s="86">
        <v>43311</v>
      </c>
      <c r="AT286" s="86">
        <v>43311</v>
      </c>
      <c r="AU286" s="86">
        <v>43311</v>
      </c>
      <c r="AV286" s="86">
        <v>43311</v>
      </c>
      <c r="AW286" s="86">
        <v>43311</v>
      </c>
    </row>
    <row r="287" spans="1:49" x14ac:dyDescent="0.2">
      <c r="A287" s="85" t="s">
        <v>950</v>
      </c>
      <c r="B287" s="85" t="s">
        <v>951</v>
      </c>
      <c r="C287" s="85" t="s">
        <v>952</v>
      </c>
      <c r="D287" s="85" t="s">
        <v>225</v>
      </c>
      <c r="E287" s="85" t="s">
        <v>149</v>
      </c>
      <c r="F287" s="85" t="s">
        <v>144</v>
      </c>
      <c r="G287" s="85" t="s">
        <v>4</v>
      </c>
      <c r="H287" s="85" t="s">
        <v>10</v>
      </c>
      <c r="I287" s="85" t="s">
        <v>59</v>
      </c>
      <c r="J287" s="86">
        <v>43465</v>
      </c>
      <c r="K287" s="86">
        <v>42960</v>
      </c>
      <c r="L287" s="85" t="s">
        <v>99</v>
      </c>
      <c r="M287" s="86">
        <v>42592</v>
      </c>
      <c r="N287" s="85" t="s">
        <v>107</v>
      </c>
      <c r="O287" s="86">
        <v>42583</v>
      </c>
      <c r="P287" s="86">
        <v>43243</v>
      </c>
      <c r="Q287" s="85" t="s">
        <v>59</v>
      </c>
      <c r="R287" s="85" t="s">
        <v>1652</v>
      </c>
      <c r="S287" s="85" t="s">
        <v>59</v>
      </c>
      <c r="T287" s="85" t="s">
        <v>59</v>
      </c>
      <c r="U287" s="85" t="s">
        <v>59</v>
      </c>
      <c r="V287" s="85" t="s">
        <v>59</v>
      </c>
      <c r="W287" s="85" t="s">
        <v>59</v>
      </c>
      <c r="X287" s="85" t="s">
        <v>59</v>
      </c>
      <c r="Y287" s="85" t="s">
        <v>59</v>
      </c>
      <c r="Z287" s="85" t="s">
        <v>59</v>
      </c>
      <c r="AA287" s="85" t="s">
        <v>59</v>
      </c>
      <c r="AB287" s="85" t="s">
        <v>59</v>
      </c>
      <c r="AC287" s="85" t="s">
        <v>59</v>
      </c>
      <c r="AD287" s="85" t="s">
        <v>59</v>
      </c>
      <c r="AE287" s="85" t="s">
        <v>59</v>
      </c>
      <c r="AF287" s="85" t="s">
        <v>59</v>
      </c>
      <c r="AG287" s="85" t="s">
        <v>59</v>
      </c>
      <c r="AH287" s="85" t="s">
        <v>107</v>
      </c>
      <c r="AI287" s="85" t="s">
        <v>59</v>
      </c>
      <c r="AJ287" s="85" t="s">
        <v>59</v>
      </c>
      <c r="AK287" s="86">
        <v>42990</v>
      </c>
      <c r="AL287" s="85" t="s">
        <v>107</v>
      </c>
      <c r="AM287" s="85" t="s">
        <v>107</v>
      </c>
      <c r="AN287" s="86">
        <v>43403</v>
      </c>
      <c r="AO287" s="86">
        <v>43332</v>
      </c>
      <c r="AP287" s="86">
        <v>43332</v>
      </c>
      <c r="AQ287" s="86">
        <v>43332</v>
      </c>
      <c r="AR287" s="86">
        <v>43332</v>
      </c>
      <c r="AS287" s="86">
        <v>43332</v>
      </c>
      <c r="AT287" s="86">
        <v>43332</v>
      </c>
      <c r="AU287" s="85"/>
      <c r="AV287" s="86">
        <v>43332</v>
      </c>
      <c r="AW287" s="86">
        <v>43332</v>
      </c>
    </row>
    <row r="288" spans="1:49" x14ac:dyDescent="0.2">
      <c r="A288" s="85" t="s">
        <v>953</v>
      </c>
      <c r="B288" s="85" t="s">
        <v>954</v>
      </c>
      <c r="C288" s="85" t="s">
        <v>955</v>
      </c>
      <c r="D288" s="85" t="s">
        <v>956</v>
      </c>
      <c r="E288" s="85" t="s">
        <v>141</v>
      </c>
      <c r="F288" s="85" t="s">
        <v>122</v>
      </c>
      <c r="G288" s="85" t="s">
        <v>4</v>
      </c>
      <c r="H288" s="85" t="s">
        <v>10</v>
      </c>
      <c r="I288" s="86">
        <v>43493</v>
      </c>
      <c r="J288" s="86">
        <v>43275</v>
      </c>
      <c r="K288" s="86">
        <v>43466</v>
      </c>
      <c r="L288" s="85" t="s">
        <v>99</v>
      </c>
      <c r="M288" s="86">
        <v>42732</v>
      </c>
      <c r="N288" s="85" t="s">
        <v>107</v>
      </c>
      <c r="O288" s="86">
        <v>42731</v>
      </c>
      <c r="P288" s="86">
        <v>43292</v>
      </c>
      <c r="Q288" s="85"/>
      <c r="R288" s="85" t="s">
        <v>1652</v>
      </c>
      <c r="S288" s="86">
        <v>43922</v>
      </c>
      <c r="T288" s="85" t="s">
        <v>1652</v>
      </c>
      <c r="U288" s="86">
        <v>43265</v>
      </c>
      <c r="V288" s="86">
        <v>43646</v>
      </c>
      <c r="W288" s="85" t="s">
        <v>1653</v>
      </c>
      <c r="X288" s="85" t="s">
        <v>114</v>
      </c>
      <c r="Y288" s="85">
        <v>3</v>
      </c>
      <c r="Z288" s="85" t="s">
        <v>114</v>
      </c>
      <c r="AA288" s="85"/>
      <c r="AB288" s="85" t="s">
        <v>114</v>
      </c>
      <c r="AC288" s="85" t="s">
        <v>114</v>
      </c>
      <c r="AD288" s="85" t="s">
        <v>119</v>
      </c>
      <c r="AE288" s="85"/>
      <c r="AF288" s="85"/>
      <c r="AG288" s="85" t="s">
        <v>59</v>
      </c>
      <c r="AH288" s="85" t="s">
        <v>107</v>
      </c>
      <c r="AI288" s="86">
        <v>43178</v>
      </c>
      <c r="AJ288" s="86">
        <v>43178</v>
      </c>
      <c r="AK288" s="86">
        <v>42769</v>
      </c>
      <c r="AL288" s="85" t="s">
        <v>107</v>
      </c>
      <c r="AM288" s="85" t="s">
        <v>107</v>
      </c>
      <c r="AN288" s="86">
        <v>43403</v>
      </c>
      <c r="AO288" s="86">
        <v>43214</v>
      </c>
      <c r="AP288" s="86">
        <v>43046</v>
      </c>
      <c r="AQ288" s="86">
        <v>42719</v>
      </c>
      <c r="AR288" s="86">
        <v>43124</v>
      </c>
      <c r="AS288" s="86">
        <v>43129</v>
      </c>
      <c r="AT288" s="86">
        <v>42719</v>
      </c>
      <c r="AU288" s="86">
        <v>43124</v>
      </c>
      <c r="AV288" s="86">
        <v>43124</v>
      </c>
      <c r="AW288" s="86">
        <v>43124</v>
      </c>
    </row>
    <row r="289" spans="1:49" x14ac:dyDescent="0.2">
      <c r="A289" s="85" t="s">
        <v>957</v>
      </c>
      <c r="B289" s="85" t="s">
        <v>958</v>
      </c>
      <c r="C289" s="85" t="s">
        <v>959</v>
      </c>
      <c r="D289" s="85" t="s">
        <v>634</v>
      </c>
      <c r="E289" s="85" t="s">
        <v>105</v>
      </c>
      <c r="F289" s="85" t="s">
        <v>144</v>
      </c>
      <c r="G289" s="85" t="s">
        <v>4</v>
      </c>
      <c r="H289" s="85" t="s">
        <v>18</v>
      </c>
      <c r="I289" s="86">
        <v>43507</v>
      </c>
      <c r="J289" s="86">
        <v>43440</v>
      </c>
      <c r="K289" s="86">
        <v>43276</v>
      </c>
      <c r="L289" s="85" t="s">
        <v>99</v>
      </c>
      <c r="M289" s="86">
        <v>43200</v>
      </c>
      <c r="N289" s="85" t="s">
        <v>107</v>
      </c>
      <c r="O289" s="86">
        <v>42476</v>
      </c>
      <c r="P289" s="86">
        <v>43213</v>
      </c>
      <c r="Q289" s="85" t="s">
        <v>59</v>
      </c>
      <c r="R289" s="85" t="s">
        <v>1652</v>
      </c>
      <c r="S289" s="86">
        <v>44713</v>
      </c>
      <c r="T289" s="85" t="s">
        <v>1652</v>
      </c>
      <c r="U289" s="86">
        <v>43377</v>
      </c>
      <c r="V289" s="86">
        <v>43769</v>
      </c>
      <c r="W289" s="85" t="s">
        <v>1653</v>
      </c>
      <c r="X289" s="85" t="s">
        <v>114</v>
      </c>
      <c r="Y289" s="85">
        <v>1</v>
      </c>
      <c r="Z289" s="85" t="s">
        <v>114</v>
      </c>
      <c r="AA289" s="85"/>
      <c r="AB289" s="85" t="s">
        <v>114</v>
      </c>
      <c r="AC289" s="85" t="s">
        <v>114</v>
      </c>
      <c r="AD289" s="85" t="s">
        <v>114</v>
      </c>
      <c r="AE289" s="85"/>
      <c r="AF289" s="85"/>
      <c r="AG289" s="85" t="s">
        <v>59</v>
      </c>
      <c r="AH289" s="85" t="s">
        <v>107</v>
      </c>
      <c r="AI289" s="86">
        <v>42009</v>
      </c>
      <c r="AJ289" s="86">
        <v>43171</v>
      </c>
      <c r="AK289" s="86">
        <v>42111</v>
      </c>
      <c r="AL289" s="85" t="s">
        <v>107</v>
      </c>
      <c r="AM289" s="85" t="s">
        <v>107</v>
      </c>
      <c r="AN289" s="86">
        <v>43375</v>
      </c>
      <c r="AO289" s="86">
        <v>43207</v>
      </c>
      <c r="AP289" s="86">
        <v>43158</v>
      </c>
      <c r="AQ289" s="86">
        <v>43158</v>
      </c>
      <c r="AR289" s="86">
        <v>43158</v>
      </c>
      <c r="AS289" s="86">
        <v>43158</v>
      </c>
      <c r="AT289" s="86">
        <v>43158</v>
      </c>
      <c r="AU289" s="86">
        <v>43158</v>
      </c>
      <c r="AV289" s="86">
        <v>43158</v>
      </c>
      <c r="AW289" s="86">
        <v>43158</v>
      </c>
    </row>
    <row r="290" spans="1:49" x14ac:dyDescent="0.2">
      <c r="A290" s="85" t="s">
        <v>960</v>
      </c>
      <c r="B290" s="85" t="s">
        <v>961</v>
      </c>
      <c r="C290" s="85" t="s">
        <v>962</v>
      </c>
      <c r="D290" s="85" t="s">
        <v>652</v>
      </c>
      <c r="E290" s="85" t="s">
        <v>278</v>
      </c>
      <c r="F290" s="85" t="s">
        <v>144</v>
      </c>
      <c r="G290" s="85" t="s">
        <v>4</v>
      </c>
      <c r="H290" s="85" t="s">
        <v>1670</v>
      </c>
      <c r="I290" s="86">
        <v>43451</v>
      </c>
      <c r="J290" s="86">
        <v>43409</v>
      </c>
      <c r="K290" s="86">
        <v>43122</v>
      </c>
      <c r="L290" s="85" t="s">
        <v>99</v>
      </c>
      <c r="M290" s="86">
        <v>42440</v>
      </c>
      <c r="N290" s="85" t="s">
        <v>107</v>
      </c>
      <c r="O290" s="86">
        <v>42775</v>
      </c>
      <c r="P290" s="86">
        <v>43377</v>
      </c>
      <c r="Q290" s="85" t="s">
        <v>59</v>
      </c>
      <c r="R290" s="85" t="s">
        <v>1652</v>
      </c>
      <c r="S290" s="86">
        <v>43556</v>
      </c>
      <c r="T290" s="85" t="s">
        <v>1652</v>
      </c>
      <c r="U290" s="86">
        <v>43465</v>
      </c>
      <c r="V290" s="86">
        <v>43646</v>
      </c>
      <c r="W290" s="85" t="s">
        <v>1655</v>
      </c>
      <c r="X290" s="85" t="s">
        <v>114</v>
      </c>
      <c r="Y290" s="85">
        <v>2</v>
      </c>
      <c r="Z290" s="85" t="s">
        <v>114</v>
      </c>
      <c r="AA290" s="85"/>
      <c r="AB290" s="85" t="s">
        <v>114</v>
      </c>
      <c r="AC290" s="85" t="s">
        <v>114</v>
      </c>
      <c r="AD290" s="85" t="s">
        <v>114</v>
      </c>
      <c r="AE290" s="85"/>
      <c r="AF290" s="85"/>
      <c r="AG290" s="85" t="s">
        <v>59</v>
      </c>
      <c r="AH290" s="85" t="s">
        <v>107</v>
      </c>
      <c r="AI290" s="86">
        <v>43206</v>
      </c>
      <c r="AJ290" s="86">
        <v>43376</v>
      </c>
      <c r="AK290" s="86">
        <v>41624</v>
      </c>
      <c r="AL290" s="85"/>
      <c r="AM290" s="85"/>
      <c r="AN290" s="86">
        <v>43375</v>
      </c>
      <c r="AO290" s="86">
        <v>43209</v>
      </c>
      <c r="AP290" s="86">
        <v>43209</v>
      </c>
      <c r="AQ290" s="86">
        <v>43209</v>
      </c>
      <c r="AR290" s="86">
        <v>43209</v>
      </c>
      <c r="AS290" s="86">
        <v>43209</v>
      </c>
      <c r="AT290" s="86">
        <v>43209</v>
      </c>
      <c r="AU290" s="86">
        <v>43209</v>
      </c>
      <c r="AV290" s="86">
        <v>43209</v>
      </c>
      <c r="AW290" s="86">
        <v>43209</v>
      </c>
    </row>
    <row r="291" spans="1:49" x14ac:dyDescent="0.2">
      <c r="A291" s="85" t="s">
        <v>963</v>
      </c>
      <c r="B291" s="85" t="s">
        <v>964</v>
      </c>
      <c r="C291" s="85" t="s">
        <v>965</v>
      </c>
      <c r="D291" s="85" t="s">
        <v>966</v>
      </c>
      <c r="E291" s="85" t="s">
        <v>222</v>
      </c>
      <c r="F291" s="85" t="s">
        <v>100</v>
      </c>
      <c r="G291" s="85" t="s">
        <v>4</v>
      </c>
      <c r="H291" s="85" t="s">
        <v>1670</v>
      </c>
      <c r="I291" s="86">
        <v>43497</v>
      </c>
      <c r="J291" s="86">
        <v>43179</v>
      </c>
      <c r="K291" s="86">
        <v>43199</v>
      </c>
      <c r="L291" s="85" t="s">
        <v>99</v>
      </c>
      <c r="M291" s="86">
        <v>43262</v>
      </c>
      <c r="N291" s="86">
        <v>43286</v>
      </c>
      <c r="O291" s="86">
        <v>42752</v>
      </c>
      <c r="P291" s="86">
        <v>43244</v>
      </c>
      <c r="Q291" s="86">
        <v>43460</v>
      </c>
      <c r="R291" s="85" t="s">
        <v>1652</v>
      </c>
      <c r="S291" s="86">
        <v>43891</v>
      </c>
      <c r="T291" s="85" t="s">
        <v>1652</v>
      </c>
      <c r="U291" s="85" t="s">
        <v>107</v>
      </c>
      <c r="V291" s="85" t="s">
        <v>107</v>
      </c>
      <c r="W291" s="85" t="s">
        <v>107</v>
      </c>
      <c r="X291" s="85" t="s">
        <v>107</v>
      </c>
      <c r="Y291" s="85" t="s">
        <v>107</v>
      </c>
      <c r="Z291" s="85" t="s">
        <v>107</v>
      </c>
      <c r="AA291" s="85" t="s">
        <v>107</v>
      </c>
      <c r="AB291" s="85" t="s">
        <v>107</v>
      </c>
      <c r="AC291" s="85" t="s">
        <v>107</v>
      </c>
      <c r="AD291" s="85" t="s">
        <v>107</v>
      </c>
      <c r="AE291" s="85" t="s">
        <v>107</v>
      </c>
      <c r="AF291" s="85" t="s">
        <v>107</v>
      </c>
      <c r="AG291" s="86">
        <v>43199</v>
      </c>
      <c r="AH291" s="85" t="s">
        <v>107</v>
      </c>
      <c r="AI291" s="85" t="s">
        <v>107</v>
      </c>
      <c r="AJ291" s="85" t="s">
        <v>107</v>
      </c>
      <c r="AK291" s="86">
        <v>42061</v>
      </c>
      <c r="AL291" s="85" t="s">
        <v>107</v>
      </c>
      <c r="AM291" s="85" t="s">
        <v>107</v>
      </c>
      <c r="AN291" s="86">
        <v>43375</v>
      </c>
      <c r="AO291" s="86">
        <v>43206</v>
      </c>
      <c r="AP291" s="86">
        <v>43039</v>
      </c>
      <c r="AQ291" s="86">
        <v>43111</v>
      </c>
      <c r="AR291" s="86">
        <v>43284</v>
      </c>
      <c r="AS291" s="86">
        <v>43284</v>
      </c>
      <c r="AT291" s="86">
        <v>43111</v>
      </c>
      <c r="AU291" s="86">
        <v>43284</v>
      </c>
      <c r="AV291" s="86">
        <v>43284</v>
      </c>
      <c r="AW291" s="86">
        <v>43284</v>
      </c>
    </row>
    <row r="292" spans="1:49" x14ac:dyDescent="0.2">
      <c r="A292" s="85" t="s">
        <v>968</v>
      </c>
      <c r="B292" s="85" t="s">
        <v>969</v>
      </c>
      <c r="C292" s="85" t="s">
        <v>970</v>
      </c>
      <c r="D292" s="85" t="s">
        <v>971</v>
      </c>
      <c r="E292" s="85" t="s">
        <v>206</v>
      </c>
      <c r="F292" s="85" t="s">
        <v>144</v>
      </c>
      <c r="G292" s="85" t="s">
        <v>4</v>
      </c>
      <c r="H292" s="85" t="s">
        <v>5</v>
      </c>
      <c r="I292" s="86">
        <v>43439</v>
      </c>
      <c r="J292" s="86">
        <v>43167</v>
      </c>
      <c r="K292" s="86">
        <v>43497</v>
      </c>
      <c r="L292" s="85" t="s">
        <v>99</v>
      </c>
      <c r="M292" s="86">
        <v>43467</v>
      </c>
      <c r="N292" s="85" t="s">
        <v>107</v>
      </c>
      <c r="O292" s="86">
        <v>43167</v>
      </c>
      <c r="P292" s="86">
        <v>43271</v>
      </c>
      <c r="Q292" s="86">
        <v>43862</v>
      </c>
      <c r="R292" s="85" t="s">
        <v>1652</v>
      </c>
      <c r="S292" s="86">
        <v>43556</v>
      </c>
      <c r="T292" s="85" t="s">
        <v>1652</v>
      </c>
      <c r="U292" s="86">
        <v>43367</v>
      </c>
      <c r="V292" s="86">
        <v>43738</v>
      </c>
      <c r="W292" s="85" t="s">
        <v>1653</v>
      </c>
      <c r="X292" s="85" t="s">
        <v>114</v>
      </c>
      <c r="Y292" s="85">
        <v>2</v>
      </c>
      <c r="Z292" s="85" t="s">
        <v>114</v>
      </c>
      <c r="AA292" s="85"/>
      <c r="AB292" s="85" t="s">
        <v>114</v>
      </c>
      <c r="AC292" s="85" t="s">
        <v>114</v>
      </c>
      <c r="AD292" s="85" t="s">
        <v>114</v>
      </c>
      <c r="AE292" s="85" t="s">
        <v>1660</v>
      </c>
      <c r="AF292" s="85"/>
      <c r="AG292" s="86">
        <v>43493</v>
      </c>
      <c r="AH292" s="85" t="s">
        <v>107</v>
      </c>
      <c r="AI292" s="85"/>
      <c r="AJ292" s="86">
        <v>43431</v>
      </c>
      <c r="AK292" s="86">
        <v>43167</v>
      </c>
      <c r="AL292" s="85" t="s">
        <v>107</v>
      </c>
      <c r="AM292" s="85" t="s">
        <v>107</v>
      </c>
      <c r="AN292" s="86">
        <v>43467</v>
      </c>
      <c r="AO292" s="86">
        <v>43467</v>
      </c>
      <c r="AP292" s="86">
        <v>43467</v>
      </c>
      <c r="AQ292" s="86">
        <v>43467</v>
      </c>
      <c r="AR292" s="86">
        <v>43467</v>
      </c>
      <c r="AS292" s="86">
        <v>43467</v>
      </c>
      <c r="AT292" s="86">
        <v>43467</v>
      </c>
      <c r="AU292" s="86">
        <v>43467</v>
      </c>
      <c r="AV292" s="86">
        <v>43467</v>
      </c>
      <c r="AW292" s="86">
        <v>43467</v>
      </c>
    </row>
    <row r="293" spans="1:49" x14ac:dyDescent="0.2">
      <c r="A293" s="85" t="s">
        <v>972</v>
      </c>
      <c r="B293" s="85" t="s">
        <v>973</v>
      </c>
      <c r="C293" s="85" t="s">
        <v>974</v>
      </c>
      <c r="D293" s="85" t="s">
        <v>118</v>
      </c>
      <c r="E293" s="85" t="s">
        <v>119</v>
      </c>
      <c r="F293" s="85" t="s">
        <v>100</v>
      </c>
      <c r="G293" s="85" t="s">
        <v>4</v>
      </c>
      <c r="H293" s="85" t="s">
        <v>8</v>
      </c>
      <c r="I293" s="86">
        <v>43475</v>
      </c>
      <c r="J293" s="86">
        <v>43460</v>
      </c>
      <c r="K293" s="86">
        <v>43489</v>
      </c>
      <c r="L293" s="85" t="s">
        <v>99</v>
      </c>
      <c r="M293" s="86">
        <v>43078</v>
      </c>
      <c r="N293" s="86">
        <v>43074</v>
      </c>
      <c r="O293" s="86">
        <v>43074</v>
      </c>
      <c r="P293" s="86">
        <v>43172</v>
      </c>
      <c r="Q293" s="86">
        <v>43491</v>
      </c>
      <c r="R293" s="85" t="s">
        <v>1652</v>
      </c>
      <c r="S293" s="86">
        <v>43862</v>
      </c>
      <c r="T293" s="85" t="s">
        <v>1652</v>
      </c>
      <c r="U293" s="85" t="s">
        <v>107</v>
      </c>
      <c r="V293" s="85" t="s">
        <v>107</v>
      </c>
      <c r="W293" s="85" t="s">
        <v>107</v>
      </c>
      <c r="X293" s="85" t="s">
        <v>107</v>
      </c>
      <c r="Y293" s="85" t="s">
        <v>107</v>
      </c>
      <c r="Z293" s="85" t="s">
        <v>107</v>
      </c>
      <c r="AA293" s="85" t="s">
        <v>107</v>
      </c>
      <c r="AB293" s="85" t="s">
        <v>107</v>
      </c>
      <c r="AC293" s="85" t="s">
        <v>107</v>
      </c>
      <c r="AD293" s="85" t="s">
        <v>107</v>
      </c>
      <c r="AE293" s="85" t="s">
        <v>107</v>
      </c>
      <c r="AF293" s="85" t="s">
        <v>107</v>
      </c>
      <c r="AG293" s="86">
        <v>43161</v>
      </c>
      <c r="AH293" s="85" t="s">
        <v>107</v>
      </c>
      <c r="AI293" s="85" t="s">
        <v>107</v>
      </c>
      <c r="AJ293" s="85" t="s">
        <v>107</v>
      </c>
      <c r="AK293" s="86">
        <v>43075</v>
      </c>
      <c r="AL293" s="85" t="s">
        <v>107</v>
      </c>
      <c r="AM293" s="85" t="s">
        <v>107</v>
      </c>
      <c r="AN293" s="86">
        <v>43502</v>
      </c>
      <c r="AO293" s="86">
        <v>43209</v>
      </c>
      <c r="AP293" s="86">
        <v>43502</v>
      </c>
      <c r="AQ293" s="86">
        <v>43126</v>
      </c>
      <c r="AR293" s="86">
        <v>43502</v>
      </c>
      <c r="AS293" s="86">
        <v>43502</v>
      </c>
      <c r="AT293" s="86">
        <v>43502</v>
      </c>
      <c r="AU293" s="86">
        <v>43502</v>
      </c>
      <c r="AV293" s="86">
        <v>43502</v>
      </c>
      <c r="AW293" s="86">
        <v>43502</v>
      </c>
    </row>
    <row r="294" spans="1:49" x14ac:dyDescent="0.2">
      <c r="A294" s="85" t="s">
        <v>975</v>
      </c>
      <c r="B294" s="85" t="s">
        <v>976</v>
      </c>
      <c r="C294" s="85" t="s">
        <v>977</v>
      </c>
      <c r="D294" s="85" t="s">
        <v>978</v>
      </c>
      <c r="E294" s="85" t="s">
        <v>112</v>
      </c>
      <c r="F294" s="85" t="s">
        <v>270</v>
      </c>
      <c r="G294" s="85" t="s">
        <v>4</v>
      </c>
      <c r="H294" s="85" t="s">
        <v>7</v>
      </c>
      <c r="I294" s="86">
        <v>43463</v>
      </c>
      <c r="J294" s="86">
        <v>43220</v>
      </c>
      <c r="K294" s="86">
        <v>43220</v>
      </c>
      <c r="L294" s="85" t="s">
        <v>99</v>
      </c>
      <c r="M294" s="86">
        <v>43220</v>
      </c>
      <c r="N294" s="85" t="s">
        <v>107</v>
      </c>
      <c r="O294" s="86">
        <v>43241</v>
      </c>
      <c r="P294" s="86">
        <v>43368</v>
      </c>
      <c r="Q294" s="86">
        <v>43585</v>
      </c>
      <c r="R294" s="85" t="s">
        <v>1652</v>
      </c>
      <c r="S294" s="86">
        <v>44044</v>
      </c>
      <c r="T294" s="85" t="s">
        <v>1652</v>
      </c>
      <c r="U294" s="86">
        <v>43363</v>
      </c>
      <c r="V294" s="86">
        <v>43738</v>
      </c>
      <c r="W294" s="85" t="s">
        <v>1653</v>
      </c>
      <c r="X294" s="85" t="s">
        <v>114</v>
      </c>
      <c r="Y294" s="85">
        <v>1</v>
      </c>
      <c r="Z294" s="85" t="s">
        <v>114</v>
      </c>
      <c r="AA294" s="85"/>
      <c r="AB294" s="85" t="s">
        <v>114</v>
      </c>
      <c r="AC294" s="85" t="s">
        <v>114</v>
      </c>
      <c r="AD294" s="85" t="s">
        <v>114</v>
      </c>
      <c r="AE294" s="85"/>
      <c r="AF294" s="85"/>
      <c r="AG294" s="86">
        <v>43238</v>
      </c>
      <c r="AH294" s="85" t="s">
        <v>107</v>
      </c>
      <c r="AI294" s="86">
        <v>43411</v>
      </c>
      <c r="AJ294" s="86">
        <v>43411</v>
      </c>
      <c r="AK294" s="86">
        <v>43241</v>
      </c>
      <c r="AL294" s="85"/>
      <c r="AM294" s="85"/>
      <c r="AN294" s="86">
        <v>43403</v>
      </c>
      <c r="AO294" s="86">
        <v>43209</v>
      </c>
      <c r="AP294" s="86">
        <v>43209</v>
      </c>
      <c r="AQ294" s="86">
        <v>43209</v>
      </c>
      <c r="AR294" s="86">
        <v>43209</v>
      </c>
      <c r="AS294" s="86">
        <v>43209</v>
      </c>
      <c r="AT294" s="86">
        <v>43209</v>
      </c>
      <c r="AU294" s="86">
        <v>43209</v>
      </c>
      <c r="AV294" s="86">
        <v>43209</v>
      </c>
      <c r="AW294" s="86">
        <v>43209</v>
      </c>
    </row>
    <row r="295" spans="1:49" x14ac:dyDescent="0.2">
      <c r="A295" s="85" t="s">
        <v>979</v>
      </c>
      <c r="B295" s="85" t="s">
        <v>980</v>
      </c>
      <c r="C295" s="85" t="s">
        <v>981</v>
      </c>
      <c r="D295" s="85" t="s">
        <v>982</v>
      </c>
      <c r="E295" s="85" t="s">
        <v>119</v>
      </c>
      <c r="F295" s="85" t="s">
        <v>106</v>
      </c>
      <c r="G295" s="85" t="s">
        <v>4</v>
      </c>
      <c r="H295" s="85" t="s">
        <v>12</v>
      </c>
      <c r="I295" s="85" t="s">
        <v>107</v>
      </c>
      <c r="J295" s="86">
        <v>43168</v>
      </c>
      <c r="K295" s="86">
        <v>43168</v>
      </c>
      <c r="L295" s="85" t="s">
        <v>107</v>
      </c>
      <c r="M295" s="85" t="s">
        <v>107</v>
      </c>
      <c r="N295" s="85" t="s">
        <v>107</v>
      </c>
      <c r="O295" s="85" t="s">
        <v>107</v>
      </c>
      <c r="P295" s="85" t="s">
        <v>107</v>
      </c>
      <c r="Q295" s="86">
        <v>43490</v>
      </c>
      <c r="R295" s="85" t="s">
        <v>107</v>
      </c>
      <c r="S295" s="85" t="s">
        <v>107</v>
      </c>
      <c r="T295" s="85" t="s">
        <v>107</v>
      </c>
      <c r="U295" s="85" t="s">
        <v>107</v>
      </c>
      <c r="V295" s="85" t="s">
        <v>107</v>
      </c>
      <c r="W295" s="85" t="s">
        <v>107</v>
      </c>
      <c r="X295" s="85" t="s">
        <v>107</v>
      </c>
      <c r="Y295" s="85" t="s">
        <v>107</v>
      </c>
      <c r="Z295" s="85" t="s">
        <v>107</v>
      </c>
      <c r="AA295" s="85" t="s">
        <v>107</v>
      </c>
      <c r="AB295" s="85" t="s">
        <v>107</v>
      </c>
      <c r="AC295" s="85" t="s">
        <v>107</v>
      </c>
      <c r="AD295" s="85" t="s">
        <v>107</v>
      </c>
      <c r="AE295" s="85" t="s">
        <v>107</v>
      </c>
      <c r="AF295" s="85" t="s">
        <v>107</v>
      </c>
      <c r="AG295" s="86">
        <v>43178</v>
      </c>
      <c r="AH295" s="85" t="s">
        <v>107</v>
      </c>
      <c r="AI295" s="85" t="s">
        <v>107</v>
      </c>
      <c r="AJ295" s="85" t="s">
        <v>107</v>
      </c>
      <c r="AK295" s="85" t="s">
        <v>107</v>
      </c>
      <c r="AL295" s="85" t="s">
        <v>107</v>
      </c>
      <c r="AM295" s="85" t="s">
        <v>107</v>
      </c>
      <c r="AN295" s="86">
        <v>43376</v>
      </c>
      <c r="AO295" s="86">
        <v>43227</v>
      </c>
      <c r="AP295" s="86">
        <v>43157</v>
      </c>
      <c r="AQ295" s="86">
        <v>42800</v>
      </c>
      <c r="AR295" s="86">
        <v>43125</v>
      </c>
      <c r="AS295" s="86">
        <v>43125</v>
      </c>
      <c r="AT295" s="86">
        <v>43125</v>
      </c>
      <c r="AU295" s="85" t="s">
        <v>107</v>
      </c>
      <c r="AV295" s="86">
        <v>43125</v>
      </c>
      <c r="AW295" s="86">
        <v>43125</v>
      </c>
    </row>
    <row r="296" spans="1:49" x14ac:dyDescent="0.2">
      <c r="A296" s="85" t="s">
        <v>983</v>
      </c>
      <c r="B296" s="85" t="s">
        <v>984</v>
      </c>
      <c r="C296" s="85" t="s">
        <v>985</v>
      </c>
      <c r="D296" s="85" t="s">
        <v>986</v>
      </c>
      <c r="E296" s="85" t="s">
        <v>714</v>
      </c>
      <c r="F296" s="85" t="s">
        <v>106</v>
      </c>
      <c r="G296" s="85" t="s">
        <v>4</v>
      </c>
      <c r="H296" s="85" t="s">
        <v>8</v>
      </c>
      <c r="I296" s="85" t="s">
        <v>107</v>
      </c>
      <c r="J296" s="86">
        <v>43503</v>
      </c>
      <c r="K296" s="86">
        <v>43167</v>
      </c>
      <c r="L296" s="85" t="s">
        <v>107</v>
      </c>
      <c r="M296" s="85" t="s">
        <v>107</v>
      </c>
      <c r="N296" s="85" t="s">
        <v>107</v>
      </c>
      <c r="O296" s="85" t="s">
        <v>107</v>
      </c>
      <c r="P296" s="85" t="s">
        <v>107</v>
      </c>
      <c r="Q296" s="86">
        <v>43532</v>
      </c>
      <c r="R296" s="85" t="s">
        <v>107</v>
      </c>
      <c r="S296" s="85" t="s">
        <v>107</v>
      </c>
      <c r="T296" s="85" t="s">
        <v>107</v>
      </c>
      <c r="U296" s="85" t="s">
        <v>107</v>
      </c>
      <c r="V296" s="85" t="s">
        <v>107</v>
      </c>
      <c r="W296" s="85" t="s">
        <v>107</v>
      </c>
      <c r="X296" s="85" t="s">
        <v>107</v>
      </c>
      <c r="Y296" s="85" t="s">
        <v>107</v>
      </c>
      <c r="Z296" s="85" t="s">
        <v>107</v>
      </c>
      <c r="AA296" s="85" t="s">
        <v>107</v>
      </c>
      <c r="AB296" s="85" t="s">
        <v>107</v>
      </c>
      <c r="AC296" s="85" t="s">
        <v>107</v>
      </c>
      <c r="AD296" s="85" t="s">
        <v>107</v>
      </c>
      <c r="AE296" s="85" t="s">
        <v>107</v>
      </c>
      <c r="AF296" s="85" t="s">
        <v>107</v>
      </c>
      <c r="AG296" s="86">
        <v>43167</v>
      </c>
      <c r="AH296" s="85" t="s">
        <v>107</v>
      </c>
      <c r="AI296" s="85" t="s">
        <v>107</v>
      </c>
      <c r="AJ296" s="85" t="s">
        <v>107</v>
      </c>
      <c r="AK296" s="85" t="s">
        <v>107</v>
      </c>
      <c r="AL296" s="85" t="s">
        <v>107</v>
      </c>
      <c r="AM296" s="85" t="s">
        <v>107</v>
      </c>
      <c r="AN296" s="86">
        <v>43502</v>
      </c>
      <c r="AO296" s="86">
        <v>43209</v>
      </c>
      <c r="AP296" s="86">
        <v>43502</v>
      </c>
      <c r="AQ296" s="86">
        <v>42293</v>
      </c>
      <c r="AR296" s="86">
        <v>43502</v>
      </c>
      <c r="AS296" s="86">
        <v>43502</v>
      </c>
      <c r="AT296" s="86">
        <v>43502</v>
      </c>
      <c r="AU296" s="85" t="s">
        <v>107</v>
      </c>
      <c r="AV296" s="86">
        <v>43502</v>
      </c>
      <c r="AW296" s="86">
        <v>43502</v>
      </c>
    </row>
    <row r="297" spans="1:49" x14ac:dyDescent="0.2">
      <c r="A297" s="85" t="s">
        <v>987</v>
      </c>
      <c r="B297" s="85" t="s">
        <v>988</v>
      </c>
      <c r="C297" s="85" t="s">
        <v>989</v>
      </c>
      <c r="D297" s="85" t="s">
        <v>990</v>
      </c>
      <c r="E297" s="85" t="s">
        <v>126</v>
      </c>
      <c r="F297" s="85" t="s">
        <v>172</v>
      </c>
      <c r="G297" s="85" t="s">
        <v>4</v>
      </c>
      <c r="H297" s="85" t="s">
        <v>14</v>
      </c>
      <c r="I297" s="86">
        <v>43451</v>
      </c>
      <c r="J297" s="86">
        <v>43216</v>
      </c>
      <c r="K297" s="86">
        <v>43215</v>
      </c>
      <c r="L297" s="85" t="s">
        <v>99</v>
      </c>
      <c r="M297" s="86">
        <v>43038</v>
      </c>
      <c r="N297" s="85" t="s">
        <v>107</v>
      </c>
      <c r="O297" s="86">
        <v>42590</v>
      </c>
      <c r="P297" s="85"/>
      <c r="Q297" s="86">
        <v>43084</v>
      </c>
      <c r="R297" s="85" t="s">
        <v>1652</v>
      </c>
      <c r="S297" s="86">
        <v>44013</v>
      </c>
      <c r="T297" s="85" t="s">
        <v>1652</v>
      </c>
      <c r="U297" s="86">
        <v>43481</v>
      </c>
      <c r="V297" s="86">
        <v>43861</v>
      </c>
      <c r="W297" s="85" t="s">
        <v>1653</v>
      </c>
      <c r="X297" s="85" t="s">
        <v>114</v>
      </c>
      <c r="Y297" s="85">
        <v>1</v>
      </c>
      <c r="Z297" s="85" t="s">
        <v>114</v>
      </c>
      <c r="AA297" s="85"/>
      <c r="AB297" s="85" t="s">
        <v>211</v>
      </c>
      <c r="AC297" s="85" t="s">
        <v>114</v>
      </c>
      <c r="AD297" s="85" t="s">
        <v>211</v>
      </c>
      <c r="AE297" s="85" t="s">
        <v>1656</v>
      </c>
      <c r="AF297" s="86">
        <v>43578</v>
      </c>
      <c r="AG297" s="86">
        <v>43174</v>
      </c>
      <c r="AH297" s="85" t="s">
        <v>1982</v>
      </c>
      <c r="AI297" s="85"/>
      <c r="AJ297" s="85" t="s">
        <v>1771</v>
      </c>
      <c r="AK297" s="86">
        <v>42590</v>
      </c>
      <c r="AL297" s="85" t="s">
        <v>107</v>
      </c>
      <c r="AM297" s="85" t="s">
        <v>107</v>
      </c>
      <c r="AN297" s="85"/>
      <c r="AO297" s="86">
        <v>43207</v>
      </c>
      <c r="AP297" s="86">
        <v>43046</v>
      </c>
      <c r="AQ297" s="86">
        <v>42611</v>
      </c>
      <c r="AR297" s="86">
        <v>42989</v>
      </c>
      <c r="AS297" s="86">
        <v>43066</v>
      </c>
      <c r="AT297" s="86">
        <v>42611</v>
      </c>
      <c r="AU297" s="86">
        <v>42989</v>
      </c>
      <c r="AV297" s="86">
        <v>42989</v>
      </c>
      <c r="AW297" s="86">
        <v>42989</v>
      </c>
    </row>
    <row r="298" spans="1:49" x14ac:dyDescent="0.2">
      <c r="A298" s="85" t="s">
        <v>991</v>
      </c>
      <c r="B298" s="85" t="s">
        <v>992</v>
      </c>
      <c r="C298" s="85" t="s">
        <v>993</v>
      </c>
      <c r="D298" s="85" t="s">
        <v>350</v>
      </c>
      <c r="E298" s="85" t="s">
        <v>126</v>
      </c>
      <c r="F298" s="85" t="s">
        <v>106</v>
      </c>
      <c r="G298" s="85" t="s">
        <v>4</v>
      </c>
      <c r="H298" s="85" t="s">
        <v>13</v>
      </c>
      <c r="I298" s="85" t="s">
        <v>107</v>
      </c>
      <c r="J298" s="86">
        <v>43451</v>
      </c>
      <c r="K298" s="86">
        <v>43434</v>
      </c>
      <c r="L298" s="85" t="s">
        <v>107</v>
      </c>
      <c r="M298" s="85" t="s">
        <v>107</v>
      </c>
      <c r="N298" s="85" t="s">
        <v>107</v>
      </c>
      <c r="O298" s="85" t="s">
        <v>107</v>
      </c>
      <c r="P298" s="85" t="s">
        <v>107</v>
      </c>
      <c r="Q298" s="86">
        <v>43799</v>
      </c>
      <c r="R298" s="85" t="s">
        <v>107</v>
      </c>
      <c r="S298" s="85" t="s">
        <v>107</v>
      </c>
      <c r="T298" s="85" t="s">
        <v>107</v>
      </c>
      <c r="U298" s="85" t="s">
        <v>107</v>
      </c>
      <c r="V298" s="85" t="s">
        <v>107</v>
      </c>
      <c r="W298" s="85" t="s">
        <v>107</v>
      </c>
      <c r="X298" s="85" t="s">
        <v>107</v>
      </c>
      <c r="Y298" s="85" t="s">
        <v>107</v>
      </c>
      <c r="Z298" s="85" t="s">
        <v>107</v>
      </c>
      <c r="AA298" s="85" t="s">
        <v>107</v>
      </c>
      <c r="AB298" s="85" t="s">
        <v>107</v>
      </c>
      <c r="AC298" s="85" t="s">
        <v>107</v>
      </c>
      <c r="AD298" s="85" t="s">
        <v>107</v>
      </c>
      <c r="AE298" s="85" t="s">
        <v>107</v>
      </c>
      <c r="AF298" s="85" t="s">
        <v>107</v>
      </c>
      <c r="AG298" s="86">
        <v>43238</v>
      </c>
      <c r="AH298" s="85" t="s">
        <v>107</v>
      </c>
      <c r="AI298" s="85" t="s">
        <v>107</v>
      </c>
      <c r="AJ298" s="85" t="s">
        <v>107</v>
      </c>
      <c r="AK298" s="85" t="s">
        <v>107</v>
      </c>
      <c r="AL298" s="85" t="s">
        <v>107</v>
      </c>
      <c r="AM298" s="85" t="s">
        <v>107</v>
      </c>
      <c r="AN298" s="86">
        <v>43375</v>
      </c>
      <c r="AO298" s="86">
        <v>43235</v>
      </c>
      <c r="AP298" s="86">
        <v>43235</v>
      </c>
      <c r="AQ298" s="86">
        <v>43235</v>
      </c>
      <c r="AR298" s="86">
        <v>43235</v>
      </c>
      <c r="AS298" s="86">
        <v>43235</v>
      </c>
      <c r="AT298" s="86">
        <v>43235</v>
      </c>
      <c r="AU298" s="86" t="s">
        <v>107</v>
      </c>
      <c r="AV298" s="86">
        <v>43235</v>
      </c>
      <c r="AW298" s="86">
        <v>43235</v>
      </c>
    </row>
    <row r="299" spans="1:49" x14ac:dyDescent="0.2">
      <c r="A299" s="85" t="s">
        <v>1983</v>
      </c>
      <c r="B299" s="85" t="s">
        <v>1984</v>
      </c>
      <c r="C299" s="85" t="s">
        <v>1985</v>
      </c>
      <c r="D299" s="85" t="s">
        <v>1986</v>
      </c>
      <c r="E299" s="85" t="s">
        <v>201</v>
      </c>
      <c r="F299" s="85" t="s">
        <v>113</v>
      </c>
      <c r="G299" s="85" t="s">
        <v>4</v>
      </c>
      <c r="H299" s="85" t="s">
        <v>5</v>
      </c>
      <c r="I299" s="85" t="s">
        <v>59</v>
      </c>
      <c r="J299" s="86">
        <v>43287</v>
      </c>
      <c r="K299" s="86">
        <v>43287</v>
      </c>
      <c r="L299" s="85" t="s">
        <v>99</v>
      </c>
      <c r="M299" s="86">
        <v>42345</v>
      </c>
      <c r="N299" s="85" t="s">
        <v>107</v>
      </c>
      <c r="O299" s="86">
        <v>43321</v>
      </c>
      <c r="P299" s="86">
        <v>43192</v>
      </c>
      <c r="Q299" s="85" t="s">
        <v>59</v>
      </c>
      <c r="R299" s="85" t="s">
        <v>1652</v>
      </c>
      <c r="S299" s="85" t="s">
        <v>59</v>
      </c>
      <c r="T299" s="85" t="s">
        <v>59</v>
      </c>
      <c r="U299" s="86">
        <v>43475</v>
      </c>
      <c r="V299" s="86">
        <v>43677</v>
      </c>
      <c r="W299" s="85" t="s">
        <v>1657</v>
      </c>
      <c r="X299" s="85" t="s">
        <v>114</v>
      </c>
      <c r="Y299" s="85">
        <v>2</v>
      </c>
      <c r="Z299" s="85" t="s">
        <v>114</v>
      </c>
      <c r="AA299" s="85"/>
      <c r="AB299" s="85" t="s">
        <v>114</v>
      </c>
      <c r="AC299" s="85" t="s">
        <v>114</v>
      </c>
      <c r="AD299" s="85" t="s">
        <v>114</v>
      </c>
      <c r="AE299" s="85" t="s">
        <v>1660</v>
      </c>
      <c r="AF299" s="85"/>
      <c r="AG299" s="85" t="s">
        <v>59</v>
      </c>
      <c r="AH299" s="85" t="s">
        <v>107</v>
      </c>
      <c r="AI299" s="85" t="s">
        <v>59</v>
      </c>
      <c r="AJ299" s="85" t="s">
        <v>59</v>
      </c>
      <c r="AK299" s="85" t="s">
        <v>59</v>
      </c>
      <c r="AL299" s="85" t="s">
        <v>107</v>
      </c>
      <c r="AM299" s="85" t="s">
        <v>107</v>
      </c>
      <c r="AN299" s="86">
        <v>43510</v>
      </c>
      <c r="AO299" s="86">
        <v>43510</v>
      </c>
      <c r="AP299" s="86">
        <v>43510</v>
      </c>
      <c r="AQ299" s="86">
        <v>43510</v>
      </c>
      <c r="AR299" s="86">
        <v>43510</v>
      </c>
      <c r="AS299" s="86">
        <v>43510</v>
      </c>
      <c r="AT299" s="86">
        <v>43510</v>
      </c>
      <c r="AU299" s="86">
        <v>43510</v>
      </c>
      <c r="AV299" s="86">
        <v>43510</v>
      </c>
      <c r="AW299" s="86">
        <v>43510</v>
      </c>
    </row>
    <row r="300" spans="1:49" x14ac:dyDescent="0.2">
      <c r="A300" s="85" t="s">
        <v>994</v>
      </c>
      <c r="B300" s="85" t="s">
        <v>995</v>
      </c>
      <c r="C300" s="85" t="s">
        <v>996</v>
      </c>
      <c r="D300" s="85" t="s">
        <v>645</v>
      </c>
      <c r="E300" s="85" t="s">
        <v>121</v>
      </c>
      <c r="F300" s="85" t="s">
        <v>106</v>
      </c>
      <c r="G300" s="85" t="s">
        <v>4</v>
      </c>
      <c r="H300" s="85" t="s">
        <v>13</v>
      </c>
      <c r="I300" s="85" t="s">
        <v>107</v>
      </c>
      <c r="J300" s="86">
        <v>43176</v>
      </c>
      <c r="K300" s="86">
        <v>43503</v>
      </c>
      <c r="L300" s="85" t="s">
        <v>107</v>
      </c>
      <c r="M300" s="85" t="s">
        <v>107</v>
      </c>
      <c r="N300" s="85" t="s">
        <v>107</v>
      </c>
      <c r="O300" s="85" t="s">
        <v>107</v>
      </c>
      <c r="P300" s="85" t="s">
        <v>107</v>
      </c>
      <c r="Q300" s="86">
        <v>43392</v>
      </c>
      <c r="R300" s="85" t="s">
        <v>107</v>
      </c>
      <c r="S300" s="85" t="s">
        <v>107</v>
      </c>
      <c r="T300" s="85" t="s">
        <v>107</v>
      </c>
      <c r="U300" s="85" t="s">
        <v>107</v>
      </c>
      <c r="V300" s="85" t="s">
        <v>107</v>
      </c>
      <c r="W300" s="85" t="s">
        <v>107</v>
      </c>
      <c r="X300" s="85" t="s">
        <v>107</v>
      </c>
      <c r="Y300" s="85" t="s">
        <v>107</v>
      </c>
      <c r="Z300" s="85" t="s">
        <v>107</v>
      </c>
      <c r="AA300" s="85" t="s">
        <v>107</v>
      </c>
      <c r="AB300" s="85" t="s">
        <v>107</v>
      </c>
      <c r="AC300" s="85" t="s">
        <v>107</v>
      </c>
      <c r="AD300" s="85" t="s">
        <v>107</v>
      </c>
      <c r="AE300" s="85" t="s">
        <v>107</v>
      </c>
      <c r="AF300" s="85" t="s">
        <v>107</v>
      </c>
      <c r="AG300" s="86">
        <v>43204</v>
      </c>
      <c r="AH300" s="85" t="s">
        <v>107</v>
      </c>
      <c r="AI300" s="85" t="s">
        <v>107</v>
      </c>
      <c r="AJ300" s="85" t="s">
        <v>107</v>
      </c>
      <c r="AK300" s="85" t="s">
        <v>107</v>
      </c>
      <c r="AL300" s="85" t="s">
        <v>107</v>
      </c>
      <c r="AM300" s="85" t="s">
        <v>107</v>
      </c>
      <c r="AN300" s="86">
        <v>43507</v>
      </c>
      <c r="AO300" s="86">
        <v>43209</v>
      </c>
      <c r="AP300" s="86">
        <v>43507</v>
      </c>
      <c r="AQ300" s="86">
        <v>41533</v>
      </c>
      <c r="AR300" s="86">
        <v>43508</v>
      </c>
      <c r="AS300" s="86">
        <v>43507</v>
      </c>
      <c r="AT300" s="86">
        <v>43507</v>
      </c>
      <c r="AU300" s="85" t="s">
        <v>107</v>
      </c>
      <c r="AV300" s="86">
        <v>43507</v>
      </c>
      <c r="AW300" s="86">
        <v>43507</v>
      </c>
    </row>
    <row r="301" spans="1:49" x14ac:dyDescent="0.2">
      <c r="A301" s="85" t="s">
        <v>1722</v>
      </c>
      <c r="B301" s="85" t="s">
        <v>1723</v>
      </c>
      <c r="C301" s="85" t="s">
        <v>1724</v>
      </c>
      <c r="D301" s="85" t="s">
        <v>142</v>
      </c>
      <c r="E301" s="85" t="s">
        <v>206</v>
      </c>
      <c r="F301" s="85" t="s">
        <v>127</v>
      </c>
      <c r="G301" s="85" t="s">
        <v>4</v>
      </c>
      <c r="H301" s="85" t="s">
        <v>12</v>
      </c>
      <c r="I301" s="86">
        <v>43204</v>
      </c>
      <c r="J301" s="86">
        <v>43236</v>
      </c>
      <c r="K301" s="86">
        <v>43241</v>
      </c>
      <c r="L301" s="85" t="s">
        <v>99</v>
      </c>
      <c r="M301" s="86">
        <v>42271</v>
      </c>
      <c r="N301" s="85" t="s">
        <v>107</v>
      </c>
      <c r="O301" s="86">
        <v>43469</v>
      </c>
      <c r="P301" s="86">
        <v>43339</v>
      </c>
      <c r="Q301" s="86">
        <v>43834</v>
      </c>
      <c r="R301" s="85" t="s">
        <v>1652</v>
      </c>
      <c r="S301" s="86">
        <v>43709</v>
      </c>
      <c r="T301" s="85" t="s">
        <v>1652</v>
      </c>
      <c r="U301" s="86">
        <v>43375</v>
      </c>
      <c r="V301" s="86">
        <v>43585</v>
      </c>
      <c r="W301" s="85" t="s">
        <v>1655</v>
      </c>
      <c r="X301" s="85" t="s">
        <v>114</v>
      </c>
      <c r="Y301" s="85">
        <v>1</v>
      </c>
      <c r="Z301" s="85" t="s">
        <v>114</v>
      </c>
      <c r="AA301" s="85"/>
      <c r="AB301" s="85" t="s">
        <v>114</v>
      </c>
      <c r="AC301" s="85" t="s">
        <v>114</v>
      </c>
      <c r="AD301" s="85" t="s">
        <v>211</v>
      </c>
      <c r="AE301" s="85" t="s">
        <v>1654</v>
      </c>
      <c r="AF301" s="86">
        <v>43525</v>
      </c>
      <c r="AG301" s="86">
        <v>43469</v>
      </c>
      <c r="AH301" s="85" t="s">
        <v>1918</v>
      </c>
      <c r="AI301" s="85"/>
      <c r="AJ301" s="85"/>
      <c r="AK301" s="85"/>
      <c r="AL301" s="85" t="s">
        <v>107</v>
      </c>
      <c r="AM301" s="85" t="s">
        <v>107</v>
      </c>
      <c r="AN301" s="86">
        <v>43412</v>
      </c>
      <c r="AO301" s="86">
        <v>43412</v>
      </c>
      <c r="AP301" s="86">
        <v>43412</v>
      </c>
      <c r="AQ301" s="86">
        <v>43412</v>
      </c>
      <c r="AR301" s="86">
        <v>43412</v>
      </c>
      <c r="AS301" s="86">
        <v>43412</v>
      </c>
      <c r="AT301" s="86">
        <v>43412</v>
      </c>
      <c r="AU301" s="86">
        <v>43412</v>
      </c>
      <c r="AV301" s="86">
        <v>43412</v>
      </c>
      <c r="AW301" s="86">
        <v>43412</v>
      </c>
    </row>
    <row r="302" spans="1:49" x14ac:dyDescent="0.2">
      <c r="A302" s="85" t="s">
        <v>1842</v>
      </c>
      <c r="B302" s="85" t="s">
        <v>1843</v>
      </c>
      <c r="C302" s="85" t="s">
        <v>1844</v>
      </c>
      <c r="D302" s="85" t="s">
        <v>180</v>
      </c>
      <c r="E302" s="85" t="s">
        <v>141</v>
      </c>
      <c r="F302" s="85" t="s">
        <v>106</v>
      </c>
      <c r="G302" s="85" t="s">
        <v>4</v>
      </c>
      <c r="H302" s="85" t="s">
        <v>8</v>
      </c>
      <c r="I302" s="85" t="s">
        <v>107</v>
      </c>
      <c r="J302" s="86">
        <v>43250</v>
      </c>
      <c r="K302" s="86">
        <v>43250</v>
      </c>
      <c r="L302" s="85" t="s">
        <v>107</v>
      </c>
      <c r="M302" s="85" t="s">
        <v>107</v>
      </c>
      <c r="N302" s="85" t="s">
        <v>107</v>
      </c>
      <c r="O302" s="85" t="s">
        <v>107</v>
      </c>
      <c r="P302" s="85" t="s">
        <v>107</v>
      </c>
      <c r="Q302" s="85" t="s">
        <v>59</v>
      </c>
      <c r="R302" s="85" t="s">
        <v>107</v>
      </c>
      <c r="S302" s="85" t="s">
        <v>107</v>
      </c>
      <c r="T302" s="85" t="s">
        <v>107</v>
      </c>
      <c r="U302" s="85" t="s">
        <v>107</v>
      </c>
      <c r="V302" s="85" t="s">
        <v>107</v>
      </c>
      <c r="W302" s="85" t="s">
        <v>107</v>
      </c>
      <c r="X302" s="85" t="s">
        <v>107</v>
      </c>
      <c r="Y302" s="85" t="s">
        <v>107</v>
      </c>
      <c r="Z302" s="85" t="s">
        <v>107</v>
      </c>
      <c r="AA302" s="85" t="s">
        <v>107</v>
      </c>
      <c r="AB302" s="85" t="s">
        <v>107</v>
      </c>
      <c r="AC302" s="85" t="s">
        <v>107</v>
      </c>
      <c r="AD302" s="85" t="s">
        <v>107</v>
      </c>
      <c r="AE302" s="85" t="s">
        <v>107</v>
      </c>
      <c r="AF302" s="85" t="s">
        <v>107</v>
      </c>
      <c r="AG302" s="85" t="s">
        <v>59</v>
      </c>
      <c r="AH302" s="85" t="s">
        <v>1987</v>
      </c>
      <c r="AI302" s="85" t="s">
        <v>107</v>
      </c>
      <c r="AJ302" s="85" t="s">
        <v>107</v>
      </c>
      <c r="AK302" s="85" t="s">
        <v>107</v>
      </c>
      <c r="AL302" s="85" t="s">
        <v>107</v>
      </c>
      <c r="AM302" s="85" t="s">
        <v>107</v>
      </c>
      <c r="AN302" s="86">
        <v>43473</v>
      </c>
      <c r="AO302" s="86">
        <v>43473</v>
      </c>
      <c r="AP302" s="86">
        <v>43473</v>
      </c>
      <c r="AQ302" s="86">
        <v>43473</v>
      </c>
      <c r="AR302" s="86">
        <v>43473</v>
      </c>
      <c r="AS302" s="86">
        <v>43473</v>
      </c>
      <c r="AT302" s="86">
        <v>43473</v>
      </c>
      <c r="AU302" s="85" t="s">
        <v>107</v>
      </c>
      <c r="AV302" s="86">
        <v>43473</v>
      </c>
      <c r="AW302" s="86">
        <v>43473</v>
      </c>
    </row>
    <row r="303" spans="1:49" x14ac:dyDescent="0.2">
      <c r="A303" s="85" t="s">
        <v>997</v>
      </c>
      <c r="B303" s="85" t="s">
        <v>998</v>
      </c>
      <c r="C303" s="85" t="s">
        <v>999</v>
      </c>
      <c r="D303" s="85" t="s">
        <v>142</v>
      </c>
      <c r="E303" s="85" t="s">
        <v>105</v>
      </c>
      <c r="F303" s="85" t="s">
        <v>113</v>
      </c>
      <c r="G303" s="85" t="s">
        <v>4</v>
      </c>
      <c r="H303" s="85" t="s">
        <v>5</v>
      </c>
      <c r="I303" s="86">
        <v>43370</v>
      </c>
      <c r="J303" s="86">
        <v>43307</v>
      </c>
      <c r="K303" s="86">
        <v>43434</v>
      </c>
      <c r="L303" s="85" t="s">
        <v>99</v>
      </c>
      <c r="M303" s="86">
        <v>43088</v>
      </c>
      <c r="N303" s="85" t="s">
        <v>107</v>
      </c>
      <c r="O303" s="86">
        <v>42952</v>
      </c>
      <c r="P303" s="86">
        <v>43377</v>
      </c>
      <c r="Q303" s="86">
        <v>43799</v>
      </c>
      <c r="R303" s="85" t="s">
        <v>1652</v>
      </c>
      <c r="S303" s="86">
        <v>44958</v>
      </c>
      <c r="T303" s="85" t="s">
        <v>1658</v>
      </c>
      <c r="U303" s="86">
        <v>43424</v>
      </c>
      <c r="V303" s="86">
        <v>43616</v>
      </c>
      <c r="W303" s="85" t="s">
        <v>1655</v>
      </c>
      <c r="X303" s="85" t="s">
        <v>114</v>
      </c>
      <c r="Y303" s="85">
        <v>1</v>
      </c>
      <c r="Z303" s="85" t="s">
        <v>114</v>
      </c>
      <c r="AA303" s="85"/>
      <c r="AB303" s="85" t="s">
        <v>114</v>
      </c>
      <c r="AC303" s="85" t="s">
        <v>114</v>
      </c>
      <c r="AD303" s="85" t="s">
        <v>114</v>
      </c>
      <c r="AE303" s="85"/>
      <c r="AF303" s="85"/>
      <c r="AG303" s="86">
        <v>43494</v>
      </c>
      <c r="AH303" s="85" t="s">
        <v>107</v>
      </c>
      <c r="AI303" s="85"/>
      <c r="AJ303" s="86">
        <v>43431</v>
      </c>
      <c r="AK303" s="86">
        <v>41742</v>
      </c>
      <c r="AL303" s="86">
        <v>43007</v>
      </c>
      <c r="AM303" s="86">
        <v>43007</v>
      </c>
      <c r="AN303" s="86">
        <v>43375</v>
      </c>
      <c r="AO303" s="86">
        <v>43251</v>
      </c>
      <c r="AP303" s="86">
        <v>43251</v>
      </c>
      <c r="AQ303" s="86">
        <v>43251</v>
      </c>
      <c r="AR303" s="86">
        <v>43251</v>
      </c>
      <c r="AS303" s="86">
        <v>43251</v>
      </c>
      <c r="AT303" s="86">
        <v>43251</v>
      </c>
      <c r="AU303" s="86">
        <v>43251</v>
      </c>
      <c r="AV303" s="86">
        <v>43251</v>
      </c>
      <c r="AW303" s="86">
        <v>43251</v>
      </c>
    </row>
    <row r="304" spans="1:49" x14ac:dyDescent="0.2">
      <c r="A304" s="85" t="s">
        <v>1988</v>
      </c>
      <c r="B304" s="85" t="s">
        <v>1989</v>
      </c>
      <c r="C304" s="85" t="s">
        <v>1990</v>
      </c>
      <c r="D304" s="85" t="s">
        <v>230</v>
      </c>
      <c r="E304" s="85" t="s">
        <v>119</v>
      </c>
      <c r="F304" s="85" t="s">
        <v>106</v>
      </c>
      <c r="G304" s="85" t="s">
        <v>4</v>
      </c>
      <c r="H304" s="85" t="s">
        <v>8</v>
      </c>
      <c r="I304" s="85" t="s">
        <v>107</v>
      </c>
      <c r="J304" s="86">
        <v>43066</v>
      </c>
      <c r="K304" s="86">
        <v>43066</v>
      </c>
      <c r="L304" s="85" t="s">
        <v>107</v>
      </c>
      <c r="M304" s="85" t="s">
        <v>107</v>
      </c>
      <c r="N304" s="85" t="s">
        <v>107</v>
      </c>
      <c r="O304" s="85" t="s">
        <v>107</v>
      </c>
      <c r="P304" s="85" t="s">
        <v>107</v>
      </c>
      <c r="Q304" s="86">
        <v>42976</v>
      </c>
      <c r="R304" s="85" t="s">
        <v>107</v>
      </c>
      <c r="S304" s="85" t="s">
        <v>107</v>
      </c>
      <c r="T304" s="85" t="s">
        <v>107</v>
      </c>
      <c r="U304" s="85" t="s">
        <v>107</v>
      </c>
      <c r="V304" s="85" t="s">
        <v>107</v>
      </c>
      <c r="W304" s="85" t="s">
        <v>107</v>
      </c>
      <c r="X304" s="85" t="s">
        <v>107</v>
      </c>
      <c r="Y304" s="85" t="s">
        <v>107</v>
      </c>
      <c r="Z304" s="85" t="s">
        <v>107</v>
      </c>
      <c r="AA304" s="85" t="s">
        <v>107</v>
      </c>
      <c r="AB304" s="85" t="s">
        <v>107</v>
      </c>
      <c r="AC304" s="85" t="s">
        <v>107</v>
      </c>
      <c r="AD304" s="85" t="s">
        <v>107</v>
      </c>
      <c r="AE304" s="85" t="s">
        <v>107</v>
      </c>
      <c r="AF304" s="85" t="s">
        <v>107</v>
      </c>
      <c r="AG304" s="86">
        <v>43321</v>
      </c>
      <c r="AH304" s="85" t="s">
        <v>107</v>
      </c>
      <c r="AI304" s="85" t="s">
        <v>107</v>
      </c>
      <c r="AJ304" s="85" t="s">
        <v>107</v>
      </c>
      <c r="AK304" s="85" t="s">
        <v>107</v>
      </c>
      <c r="AL304" s="85" t="s">
        <v>107</v>
      </c>
      <c r="AM304" s="85" t="s">
        <v>107</v>
      </c>
      <c r="AN304" s="86">
        <v>43515</v>
      </c>
      <c r="AO304" s="86">
        <v>43227</v>
      </c>
      <c r="AP304" s="86">
        <v>43515</v>
      </c>
      <c r="AQ304" s="86">
        <v>41530</v>
      </c>
      <c r="AR304" s="86">
        <v>43515</v>
      </c>
      <c r="AS304" s="86">
        <v>43515</v>
      </c>
      <c r="AT304" s="86">
        <v>43515</v>
      </c>
      <c r="AU304" s="85" t="s">
        <v>107</v>
      </c>
      <c r="AV304" s="86">
        <v>43515</v>
      </c>
      <c r="AW304" s="86">
        <v>43515</v>
      </c>
    </row>
    <row r="305" spans="1:49" x14ac:dyDescent="0.2">
      <c r="A305" s="85" t="s">
        <v>1000</v>
      </c>
      <c r="B305" s="85" t="s">
        <v>1001</v>
      </c>
      <c r="C305" s="85" t="s">
        <v>1002</v>
      </c>
      <c r="D305" s="85" t="s">
        <v>1003</v>
      </c>
      <c r="E305" s="85" t="s">
        <v>126</v>
      </c>
      <c r="F305" s="85" t="s">
        <v>122</v>
      </c>
      <c r="G305" s="85" t="s">
        <v>4</v>
      </c>
      <c r="H305" s="85" t="s">
        <v>12</v>
      </c>
      <c r="I305" s="86">
        <v>43368</v>
      </c>
      <c r="J305" s="85" t="s">
        <v>59</v>
      </c>
      <c r="K305" s="85" t="s">
        <v>59</v>
      </c>
      <c r="L305" s="85" t="s">
        <v>59</v>
      </c>
      <c r="M305" s="85" t="s">
        <v>59</v>
      </c>
      <c r="N305" s="85" t="s">
        <v>107</v>
      </c>
      <c r="O305" s="85" t="s">
        <v>59</v>
      </c>
      <c r="P305" s="85" t="s">
        <v>59</v>
      </c>
      <c r="Q305" s="85" t="s">
        <v>59</v>
      </c>
      <c r="R305" s="85" t="s">
        <v>1652</v>
      </c>
      <c r="S305" s="86">
        <v>43678</v>
      </c>
      <c r="T305" s="85" t="s">
        <v>1652</v>
      </c>
      <c r="U305" s="86">
        <v>43389</v>
      </c>
      <c r="V305" s="86">
        <v>43585</v>
      </c>
      <c r="W305" s="85" t="s">
        <v>1655</v>
      </c>
      <c r="X305" s="85" t="s">
        <v>119</v>
      </c>
      <c r="Y305" s="85">
        <v>1</v>
      </c>
      <c r="Z305" s="85" t="s">
        <v>114</v>
      </c>
      <c r="AA305" s="85"/>
      <c r="AB305" s="85" t="s">
        <v>114</v>
      </c>
      <c r="AC305" s="85" t="s">
        <v>114</v>
      </c>
      <c r="AD305" s="85" t="s">
        <v>119</v>
      </c>
      <c r="AE305" s="85" t="s">
        <v>1676</v>
      </c>
      <c r="AF305" s="85"/>
      <c r="AG305" s="86">
        <v>43306</v>
      </c>
      <c r="AH305" s="85" t="s">
        <v>107</v>
      </c>
      <c r="AI305" s="86">
        <v>42825</v>
      </c>
      <c r="AJ305" s="86">
        <v>43219</v>
      </c>
      <c r="AK305" s="86">
        <v>43125</v>
      </c>
      <c r="AL305" s="85" t="s">
        <v>107</v>
      </c>
      <c r="AM305" s="85" t="s">
        <v>107</v>
      </c>
      <c r="AN305" s="85"/>
      <c r="AO305" s="86">
        <v>43213</v>
      </c>
      <c r="AP305" s="86">
        <v>43157</v>
      </c>
      <c r="AQ305" s="86">
        <v>42887</v>
      </c>
      <c r="AR305" s="86">
        <v>43125</v>
      </c>
      <c r="AS305" s="86">
        <v>43187</v>
      </c>
      <c r="AT305" s="86">
        <v>43125</v>
      </c>
      <c r="AU305" s="86">
        <v>43125</v>
      </c>
      <c r="AV305" s="86">
        <v>43125</v>
      </c>
      <c r="AW305" s="86">
        <v>43125</v>
      </c>
    </row>
    <row r="306" spans="1:49" x14ac:dyDescent="0.2">
      <c r="A306" s="85" t="s">
        <v>1004</v>
      </c>
      <c r="B306" s="85" t="s">
        <v>1005</v>
      </c>
      <c r="C306" s="85" t="s">
        <v>1006</v>
      </c>
      <c r="D306" s="85" t="s">
        <v>194</v>
      </c>
      <c r="E306" s="85" t="s">
        <v>119</v>
      </c>
      <c r="F306" s="85" t="s">
        <v>113</v>
      </c>
      <c r="G306" s="85" t="s">
        <v>4</v>
      </c>
      <c r="H306" s="85" t="s">
        <v>13</v>
      </c>
      <c r="I306" s="86">
        <v>43451</v>
      </c>
      <c r="J306" s="86">
        <v>43470</v>
      </c>
      <c r="K306" s="86">
        <v>43240</v>
      </c>
      <c r="L306" s="85" t="s">
        <v>99</v>
      </c>
      <c r="M306" s="86">
        <v>43159</v>
      </c>
      <c r="N306" s="85" t="s">
        <v>107</v>
      </c>
      <c r="O306" s="86">
        <v>42915</v>
      </c>
      <c r="P306" s="86">
        <v>43243</v>
      </c>
      <c r="Q306" s="86">
        <v>43396</v>
      </c>
      <c r="R306" s="85" t="s">
        <v>1652</v>
      </c>
      <c r="S306" s="86">
        <v>43739</v>
      </c>
      <c r="T306" s="85" t="s">
        <v>1652</v>
      </c>
      <c r="U306" s="86">
        <v>43488</v>
      </c>
      <c r="V306" s="86">
        <v>43677</v>
      </c>
      <c r="W306" s="85" t="s">
        <v>1655</v>
      </c>
      <c r="X306" s="85" t="s">
        <v>114</v>
      </c>
      <c r="Y306" s="85">
        <v>1</v>
      </c>
      <c r="Z306" s="85" t="s">
        <v>114</v>
      </c>
      <c r="AA306" s="85"/>
      <c r="AB306" s="85" t="s">
        <v>114</v>
      </c>
      <c r="AC306" s="85" t="s">
        <v>114</v>
      </c>
      <c r="AD306" s="85" t="s">
        <v>114</v>
      </c>
      <c r="AE306" s="85"/>
      <c r="AF306" s="85"/>
      <c r="AG306" s="86">
        <v>43500</v>
      </c>
      <c r="AH306" s="85" t="s">
        <v>107</v>
      </c>
      <c r="AI306" s="86">
        <v>42521</v>
      </c>
      <c r="AJ306" s="86">
        <v>43234</v>
      </c>
      <c r="AK306" s="86">
        <v>42085</v>
      </c>
      <c r="AL306" s="85" t="s">
        <v>107</v>
      </c>
      <c r="AM306" s="85" t="s">
        <v>107</v>
      </c>
      <c r="AN306" s="85"/>
      <c r="AO306" s="86">
        <v>43234</v>
      </c>
      <c r="AP306" s="86">
        <v>42764</v>
      </c>
      <c r="AQ306" s="86">
        <v>42053</v>
      </c>
      <c r="AR306" s="86">
        <v>43129</v>
      </c>
      <c r="AS306" s="86">
        <v>42979</v>
      </c>
      <c r="AT306" s="86">
        <v>43129</v>
      </c>
      <c r="AU306" s="86">
        <v>43129</v>
      </c>
      <c r="AV306" s="86">
        <v>43129</v>
      </c>
      <c r="AW306" s="86">
        <v>43129</v>
      </c>
    </row>
    <row r="307" spans="1:49" x14ac:dyDescent="0.2">
      <c r="A307" s="85" t="s">
        <v>1991</v>
      </c>
      <c r="B307" s="85" t="s">
        <v>1992</v>
      </c>
      <c r="C307" s="85" t="s">
        <v>141</v>
      </c>
      <c r="D307" s="85" t="s">
        <v>1993</v>
      </c>
      <c r="E307" s="85" t="s">
        <v>141</v>
      </c>
      <c r="F307" s="85" t="s">
        <v>106</v>
      </c>
      <c r="G307" s="85" t="s">
        <v>4</v>
      </c>
      <c r="H307" s="85" t="s">
        <v>12</v>
      </c>
      <c r="I307" s="85" t="s">
        <v>107</v>
      </c>
      <c r="J307" s="85" t="s">
        <v>59</v>
      </c>
      <c r="K307" s="85" t="s">
        <v>59</v>
      </c>
      <c r="L307" s="85" t="s">
        <v>107</v>
      </c>
      <c r="M307" s="85" t="s">
        <v>107</v>
      </c>
      <c r="N307" s="85" t="s">
        <v>107</v>
      </c>
      <c r="O307" s="85" t="s">
        <v>107</v>
      </c>
      <c r="P307" s="85" t="s">
        <v>107</v>
      </c>
      <c r="Q307" s="85" t="s">
        <v>59</v>
      </c>
      <c r="R307" s="85" t="s">
        <v>107</v>
      </c>
      <c r="S307" s="85" t="s">
        <v>107</v>
      </c>
      <c r="T307" s="85" t="s">
        <v>107</v>
      </c>
      <c r="U307" s="85" t="s">
        <v>107</v>
      </c>
      <c r="V307" s="85" t="s">
        <v>107</v>
      </c>
      <c r="W307" s="85" t="s">
        <v>107</v>
      </c>
      <c r="X307" s="85" t="s">
        <v>107</v>
      </c>
      <c r="Y307" s="85" t="s">
        <v>107</v>
      </c>
      <c r="Z307" s="85" t="s">
        <v>107</v>
      </c>
      <c r="AA307" s="85" t="s">
        <v>107</v>
      </c>
      <c r="AB307" s="85" t="s">
        <v>107</v>
      </c>
      <c r="AC307" s="85" t="s">
        <v>107</v>
      </c>
      <c r="AD307" s="85" t="s">
        <v>107</v>
      </c>
      <c r="AE307" s="85" t="s">
        <v>107</v>
      </c>
      <c r="AF307" s="85" t="s">
        <v>107</v>
      </c>
      <c r="AG307" s="85" t="s">
        <v>59</v>
      </c>
      <c r="AH307" s="85" t="s">
        <v>107</v>
      </c>
      <c r="AI307" s="85" t="s">
        <v>107</v>
      </c>
      <c r="AJ307" s="85" t="s">
        <v>107</v>
      </c>
      <c r="AK307" s="85" t="s">
        <v>107</v>
      </c>
      <c r="AL307" s="85" t="s">
        <v>107</v>
      </c>
      <c r="AM307" s="85" t="s">
        <v>107</v>
      </c>
      <c r="AN307" s="85" t="s">
        <v>59</v>
      </c>
      <c r="AO307" s="85" t="s">
        <v>59</v>
      </c>
      <c r="AP307" s="85" t="s">
        <v>59</v>
      </c>
      <c r="AQ307" s="85" t="s">
        <v>59</v>
      </c>
      <c r="AR307" s="85" t="s">
        <v>59</v>
      </c>
      <c r="AS307" s="85" t="s">
        <v>59</v>
      </c>
      <c r="AT307" s="85" t="s">
        <v>59</v>
      </c>
      <c r="AU307" s="85" t="s">
        <v>107</v>
      </c>
      <c r="AV307" s="85" t="s">
        <v>59</v>
      </c>
      <c r="AW307" s="85" t="s">
        <v>59</v>
      </c>
    </row>
    <row r="308" spans="1:49" x14ac:dyDescent="0.2">
      <c r="A308" s="85" t="s">
        <v>1007</v>
      </c>
      <c r="B308" s="85" t="s">
        <v>1008</v>
      </c>
      <c r="C308" s="85" t="s">
        <v>1009</v>
      </c>
      <c r="D308" s="85" t="s">
        <v>1010</v>
      </c>
      <c r="E308" s="85" t="s">
        <v>141</v>
      </c>
      <c r="F308" s="85" t="s">
        <v>106</v>
      </c>
      <c r="G308" s="85" t="s">
        <v>4</v>
      </c>
      <c r="H308" s="85" t="s">
        <v>8</v>
      </c>
      <c r="I308" s="85" t="s">
        <v>107</v>
      </c>
      <c r="J308" s="85" t="s">
        <v>59</v>
      </c>
      <c r="K308" s="85" t="s">
        <v>59</v>
      </c>
      <c r="L308" s="85" t="s">
        <v>107</v>
      </c>
      <c r="M308" s="85" t="s">
        <v>107</v>
      </c>
      <c r="N308" s="85" t="s">
        <v>107</v>
      </c>
      <c r="O308" s="85" t="s">
        <v>107</v>
      </c>
      <c r="P308" s="85" t="s">
        <v>107</v>
      </c>
      <c r="Q308" s="85" t="s">
        <v>59</v>
      </c>
      <c r="R308" s="85" t="s">
        <v>107</v>
      </c>
      <c r="S308" s="85" t="s">
        <v>107</v>
      </c>
      <c r="T308" s="85" t="s">
        <v>107</v>
      </c>
      <c r="U308" s="85" t="s">
        <v>107</v>
      </c>
      <c r="V308" s="85" t="s">
        <v>107</v>
      </c>
      <c r="W308" s="85" t="s">
        <v>107</v>
      </c>
      <c r="X308" s="85" t="s">
        <v>107</v>
      </c>
      <c r="Y308" s="85" t="s">
        <v>107</v>
      </c>
      <c r="Z308" s="85" t="s">
        <v>107</v>
      </c>
      <c r="AA308" s="85" t="s">
        <v>107</v>
      </c>
      <c r="AB308" s="85" t="s">
        <v>107</v>
      </c>
      <c r="AC308" s="85" t="s">
        <v>107</v>
      </c>
      <c r="AD308" s="85" t="s">
        <v>107</v>
      </c>
      <c r="AE308" s="85" t="s">
        <v>107</v>
      </c>
      <c r="AF308" s="85" t="s">
        <v>107</v>
      </c>
      <c r="AG308" s="86">
        <v>43238</v>
      </c>
      <c r="AH308" s="85" t="s">
        <v>107</v>
      </c>
      <c r="AI308" s="85" t="s">
        <v>107</v>
      </c>
      <c r="AJ308" s="85" t="s">
        <v>107</v>
      </c>
      <c r="AK308" s="85" t="s">
        <v>107</v>
      </c>
      <c r="AL308" s="85" t="s">
        <v>107</v>
      </c>
      <c r="AM308" s="85" t="s">
        <v>107</v>
      </c>
      <c r="AN308" s="85"/>
      <c r="AO308" s="85"/>
      <c r="AP308" s="85"/>
      <c r="AQ308" s="85"/>
      <c r="AR308" s="85"/>
      <c r="AS308" s="85"/>
      <c r="AT308" s="85"/>
      <c r="AU308" s="85" t="s">
        <v>107</v>
      </c>
      <c r="AV308" s="85"/>
      <c r="AW308" s="85"/>
    </row>
    <row r="309" spans="1:49" x14ac:dyDescent="0.2">
      <c r="A309" s="85" t="s">
        <v>1011</v>
      </c>
      <c r="B309" s="85" t="s">
        <v>1012</v>
      </c>
      <c r="C309" s="85" t="s">
        <v>1013</v>
      </c>
      <c r="D309" s="85" t="s">
        <v>1014</v>
      </c>
      <c r="E309" s="85" t="s">
        <v>141</v>
      </c>
      <c r="F309" s="85" t="s">
        <v>122</v>
      </c>
      <c r="G309" s="85" t="s">
        <v>4</v>
      </c>
      <c r="H309" s="85" t="s">
        <v>7</v>
      </c>
      <c r="I309" s="86">
        <v>43341</v>
      </c>
      <c r="J309" s="86">
        <v>43501</v>
      </c>
      <c r="K309" s="86">
        <v>43315</v>
      </c>
      <c r="L309" s="85" t="s">
        <v>99</v>
      </c>
      <c r="M309" s="86">
        <v>42752</v>
      </c>
      <c r="N309" s="85" t="s">
        <v>107</v>
      </c>
      <c r="O309" s="86">
        <v>42760</v>
      </c>
      <c r="P309" s="86">
        <v>43243</v>
      </c>
      <c r="Q309" s="86">
        <v>43134</v>
      </c>
      <c r="R309" s="85" t="s">
        <v>1652</v>
      </c>
      <c r="S309" s="86">
        <v>43739</v>
      </c>
      <c r="T309" s="85" t="s">
        <v>1652</v>
      </c>
      <c r="U309" s="86">
        <v>43293</v>
      </c>
      <c r="V309" s="86">
        <v>43496</v>
      </c>
      <c r="W309" s="85" t="s">
        <v>1655</v>
      </c>
      <c r="X309" s="85" t="s">
        <v>114</v>
      </c>
      <c r="Y309" s="85">
        <v>1</v>
      </c>
      <c r="Z309" s="85" t="s">
        <v>114</v>
      </c>
      <c r="AA309" s="85"/>
      <c r="AB309" s="85" t="s">
        <v>114</v>
      </c>
      <c r="AC309" s="85" t="s">
        <v>114</v>
      </c>
      <c r="AD309" s="85" t="s">
        <v>114</v>
      </c>
      <c r="AE309" s="85"/>
      <c r="AF309" s="85"/>
      <c r="AG309" s="86">
        <v>43174</v>
      </c>
      <c r="AH309" s="85" t="s">
        <v>107</v>
      </c>
      <c r="AI309" s="86">
        <v>42824</v>
      </c>
      <c r="AJ309" s="86">
        <v>43411</v>
      </c>
      <c r="AK309" s="86">
        <v>42744</v>
      </c>
      <c r="AL309" s="85" t="s">
        <v>107</v>
      </c>
      <c r="AM309" s="85" t="s">
        <v>107</v>
      </c>
      <c r="AN309" s="86">
        <v>43403</v>
      </c>
      <c r="AO309" s="86">
        <v>43343</v>
      </c>
      <c r="AP309" s="86">
        <v>43160</v>
      </c>
      <c r="AQ309" s="86">
        <v>42740</v>
      </c>
      <c r="AR309" s="86">
        <v>43343</v>
      </c>
      <c r="AS309" s="86">
        <v>43343</v>
      </c>
      <c r="AT309" s="86">
        <v>43343</v>
      </c>
      <c r="AU309" s="86">
        <v>43343</v>
      </c>
      <c r="AV309" s="86">
        <v>43343</v>
      </c>
      <c r="AW309" s="86">
        <v>43343</v>
      </c>
    </row>
    <row r="310" spans="1:49" x14ac:dyDescent="0.2">
      <c r="A310" s="85" t="s">
        <v>1756</v>
      </c>
      <c r="B310" s="85" t="s">
        <v>1757</v>
      </c>
      <c r="C310" s="85" t="s">
        <v>1758</v>
      </c>
      <c r="D310" s="85" t="s">
        <v>704</v>
      </c>
      <c r="E310" s="85" t="s">
        <v>141</v>
      </c>
      <c r="F310" s="85" t="s">
        <v>136</v>
      </c>
      <c r="G310" s="85" t="s">
        <v>4</v>
      </c>
      <c r="H310" s="85" t="s">
        <v>8</v>
      </c>
      <c r="I310" s="86">
        <v>43475</v>
      </c>
      <c r="J310" s="86">
        <v>43228</v>
      </c>
      <c r="K310" s="86">
        <v>43271</v>
      </c>
      <c r="L310" s="85" t="s">
        <v>99</v>
      </c>
      <c r="M310" s="86">
        <v>43109</v>
      </c>
      <c r="N310" s="85" t="s">
        <v>107</v>
      </c>
      <c r="O310" s="86">
        <v>42536</v>
      </c>
      <c r="P310" s="86">
        <v>43322</v>
      </c>
      <c r="Q310" s="86">
        <v>43862</v>
      </c>
      <c r="R310" s="85" t="s">
        <v>1652</v>
      </c>
      <c r="S310" s="86">
        <v>44075</v>
      </c>
      <c r="T310" s="85" t="s">
        <v>1652</v>
      </c>
      <c r="U310" s="86">
        <v>43455</v>
      </c>
      <c r="V310" s="86">
        <v>43646</v>
      </c>
      <c r="W310" s="85" t="s">
        <v>1655</v>
      </c>
      <c r="X310" s="85" t="s">
        <v>114</v>
      </c>
      <c r="Y310" s="85">
        <v>1</v>
      </c>
      <c r="Z310" s="85" t="s">
        <v>114</v>
      </c>
      <c r="AA310" s="85"/>
      <c r="AB310" s="85" t="s">
        <v>211</v>
      </c>
      <c r="AC310" s="85" t="s">
        <v>114</v>
      </c>
      <c r="AD310" s="85" t="s">
        <v>211</v>
      </c>
      <c r="AE310" s="85" t="s">
        <v>1666</v>
      </c>
      <c r="AF310" s="86">
        <v>43552</v>
      </c>
      <c r="AG310" s="85" t="s">
        <v>59</v>
      </c>
      <c r="AH310" s="85" t="s">
        <v>1938</v>
      </c>
      <c r="AI310" s="85"/>
      <c r="AJ310" s="85"/>
      <c r="AK310" s="85"/>
      <c r="AL310" s="85"/>
      <c r="AM310" s="85"/>
      <c r="AN310" s="86">
        <v>43385</v>
      </c>
      <c r="AO310" s="86">
        <v>43385</v>
      </c>
      <c r="AP310" s="86">
        <v>43385</v>
      </c>
      <c r="AQ310" s="86">
        <v>43385</v>
      </c>
      <c r="AR310" s="86">
        <v>43385</v>
      </c>
      <c r="AS310" s="86">
        <v>43385</v>
      </c>
      <c r="AT310" s="86">
        <v>43385</v>
      </c>
      <c r="AU310" s="86">
        <v>43385</v>
      </c>
      <c r="AV310" s="86">
        <v>43385</v>
      </c>
      <c r="AW310" s="86">
        <v>43385</v>
      </c>
    </row>
    <row r="311" spans="1:49" x14ac:dyDescent="0.2">
      <c r="A311" s="85" t="s">
        <v>1016</v>
      </c>
      <c r="B311" s="85" t="s">
        <v>1017</v>
      </c>
      <c r="C311" s="85" t="s">
        <v>1015</v>
      </c>
      <c r="D311" s="85" t="s">
        <v>295</v>
      </c>
      <c r="E311" s="85" t="s">
        <v>143</v>
      </c>
      <c r="F311" s="85" t="s">
        <v>106</v>
      </c>
      <c r="G311" s="85" t="s">
        <v>4</v>
      </c>
      <c r="H311" s="85" t="s">
        <v>8</v>
      </c>
      <c r="I311" s="85" t="s">
        <v>107</v>
      </c>
      <c r="J311" s="86">
        <v>43236</v>
      </c>
      <c r="K311" s="86">
        <v>43275</v>
      </c>
      <c r="L311" s="85" t="s">
        <v>107</v>
      </c>
      <c r="M311" s="85" t="s">
        <v>107</v>
      </c>
      <c r="N311" s="85" t="s">
        <v>107</v>
      </c>
      <c r="O311" s="85" t="s">
        <v>107</v>
      </c>
      <c r="P311" s="85" t="s">
        <v>107</v>
      </c>
      <c r="Q311" s="86">
        <v>43697</v>
      </c>
      <c r="R311" s="85" t="s">
        <v>107</v>
      </c>
      <c r="S311" s="85" t="s">
        <v>107</v>
      </c>
      <c r="T311" s="85" t="s">
        <v>107</v>
      </c>
      <c r="U311" s="85" t="s">
        <v>107</v>
      </c>
      <c r="V311" s="85" t="s">
        <v>107</v>
      </c>
      <c r="W311" s="85" t="s">
        <v>107</v>
      </c>
      <c r="X311" s="85" t="s">
        <v>107</v>
      </c>
      <c r="Y311" s="85" t="s">
        <v>107</v>
      </c>
      <c r="Z311" s="85" t="s">
        <v>107</v>
      </c>
      <c r="AA311" s="85" t="s">
        <v>107</v>
      </c>
      <c r="AB311" s="85" t="s">
        <v>107</v>
      </c>
      <c r="AC311" s="85" t="s">
        <v>107</v>
      </c>
      <c r="AD311" s="85" t="s">
        <v>107</v>
      </c>
      <c r="AE311" s="85" t="s">
        <v>107</v>
      </c>
      <c r="AF311" s="85" t="s">
        <v>107</v>
      </c>
      <c r="AG311" s="86">
        <v>43203</v>
      </c>
      <c r="AH311" s="85" t="s">
        <v>107</v>
      </c>
      <c r="AI311" s="85" t="s">
        <v>107</v>
      </c>
      <c r="AJ311" s="85" t="s">
        <v>107</v>
      </c>
      <c r="AK311" s="85" t="s">
        <v>107</v>
      </c>
      <c r="AL311" s="85" t="s">
        <v>107</v>
      </c>
      <c r="AM311" s="85" t="s">
        <v>107</v>
      </c>
      <c r="AN311" s="86">
        <v>43405</v>
      </c>
      <c r="AO311" s="86">
        <v>43215</v>
      </c>
      <c r="AP311" s="86">
        <v>43158</v>
      </c>
      <c r="AQ311" s="86">
        <v>42359</v>
      </c>
      <c r="AR311" s="86">
        <v>43158</v>
      </c>
      <c r="AS311" s="86">
        <v>42836</v>
      </c>
      <c r="AT311" s="86">
        <v>43158</v>
      </c>
      <c r="AU311" s="85" t="s">
        <v>107</v>
      </c>
      <c r="AV311" s="86">
        <v>43158</v>
      </c>
      <c r="AW311" s="86">
        <v>43158</v>
      </c>
    </row>
    <row r="312" spans="1:49" x14ac:dyDescent="0.2">
      <c r="A312" s="85" t="s">
        <v>1725</v>
      </c>
      <c r="B312" s="85" t="s">
        <v>1726</v>
      </c>
      <c r="C312" s="85" t="s">
        <v>1727</v>
      </c>
      <c r="D312" s="85" t="s">
        <v>986</v>
      </c>
      <c r="E312" s="85" t="s">
        <v>105</v>
      </c>
      <c r="F312" s="85" t="s">
        <v>106</v>
      </c>
      <c r="G312" s="85" t="s">
        <v>4</v>
      </c>
      <c r="H312" s="85" t="s">
        <v>12</v>
      </c>
      <c r="I312" s="85" t="s">
        <v>107</v>
      </c>
      <c r="J312" s="85" t="s">
        <v>59</v>
      </c>
      <c r="K312" s="85" t="s">
        <v>59</v>
      </c>
      <c r="L312" s="85" t="s">
        <v>107</v>
      </c>
      <c r="M312" s="85" t="s">
        <v>107</v>
      </c>
      <c r="N312" s="85" t="s">
        <v>107</v>
      </c>
      <c r="O312" s="85" t="s">
        <v>107</v>
      </c>
      <c r="P312" s="85" t="s">
        <v>107</v>
      </c>
      <c r="Q312" s="85" t="s">
        <v>59</v>
      </c>
      <c r="R312" s="85" t="s">
        <v>107</v>
      </c>
      <c r="S312" s="85" t="s">
        <v>107</v>
      </c>
      <c r="T312" s="85" t="s">
        <v>107</v>
      </c>
      <c r="U312" s="85" t="s">
        <v>107</v>
      </c>
      <c r="V312" s="85" t="s">
        <v>107</v>
      </c>
      <c r="W312" s="85" t="s">
        <v>107</v>
      </c>
      <c r="X312" s="85" t="s">
        <v>107</v>
      </c>
      <c r="Y312" s="85" t="s">
        <v>107</v>
      </c>
      <c r="Z312" s="85" t="s">
        <v>107</v>
      </c>
      <c r="AA312" s="85" t="s">
        <v>107</v>
      </c>
      <c r="AB312" s="85" t="s">
        <v>107</v>
      </c>
      <c r="AC312" s="85" t="s">
        <v>107</v>
      </c>
      <c r="AD312" s="85" t="s">
        <v>107</v>
      </c>
      <c r="AE312" s="85" t="s">
        <v>107</v>
      </c>
      <c r="AF312" s="85" t="s">
        <v>107</v>
      </c>
      <c r="AG312" s="85" t="s">
        <v>59</v>
      </c>
      <c r="AH312" s="85" t="s">
        <v>107</v>
      </c>
      <c r="AI312" s="85" t="s">
        <v>107</v>
      </c>
      <c r="AJ312" s="85" t="s">
        <v>107</v>
      </c>
      <c r="AK312" s="85" t="s">
        <v>107</v>
      </c>
      <c r="AL312" s="85" t="s">
        <v>107</v>
      </c>
      <c r="AM312" s="85" t="s">
        <v>107</v>
      </c>
      <c r="AN312" s="86">
        <v>43385</v>
      </c>
      <c r="AO312" s="86">
        <v>43385</v>
      </c>
      <c r="AP312" s="86">
        <v>43385</v>
      </c>
      <c r="AQ312" s="86">
        <v>43385</v>
      </c>
      <c r="AR312" s="86">
        <v>43385</v>
      </c>
      <c r="AS312" s="86">
        <v>43385</v>
      </c>
      <c r="AT312" s="86">
        <v>43385</v>
      </c>
      <c r="AU312" s="85" t="s">
        <v>107</v>
      </c>
      <c r="AV312" s="86">
        <v>43385</v>
      </c>
      <c r="AW312" s="86">
        <v>43385</v>
      </c>
    </row>
    <row r="313" spans="1:49" x14ac:dyDescent="0.2">
      <c r="A313" s="85" t="s">
        <v>1018</v>
      </c>
      <c r="B313" s="85" t="s">
        <v>1019</v>
      </c>
      <c r="C313" s="85" t="s">
        <v>1020</v>
      </c>
      <c r="D313" s="85" t="s">
        <v>1021</v>
      </c>
      <c r="E313" s="85"/>
      <c r="F313" s="85" t="s">
        <v>113</v>
      </c>
      <c r="G313" s="85" t="s">
        <v>4</v>
      </c>
      <c r="H313" s="85" t="s">
        <v>12</v>
      </c>
      <c r="I313" s="86">
        <v>43372</v>
      </c>
      <c r="J313" s="86">
        <v>43298</v>
      </c>
      <c r="K313" s="86">
        <v>43195</v>
      </c>
      <c r="L313" s="85" t="s">
        <v>99</v>
      </c>
      <c r="M313" s="86">
        <v>43273</v>
      </c>
      <c r="N313" s="85" t="s">
        <v>107</v>
      </c>
      <c r="O313" s="86">
        <v>43075</v>
      </c>
      <c r="P313" s="86">
        <v>43292</v>
      </c>
      <c r="Q313" s="86">
        <v>43638</v>
      </c>
      <c r="R313" s="85" t="s">
        <v>1652</v>
      </c>
      <c r="S313" s="86">
        <v>43983</v>
      </c>
      <c r="T313" s="85" t="s">
        <v>1652</v>
      </c>
      <c r="U313" s="86">
        <v>43328</v>
      </c>
      <c r="V313" s="86">
        <v>43524</v>
      </c>
      <c r="W313" s="85" t="s">
        <v>1657</v>
      </c>
      <c r="X313" s="85" t="s">
        <v>114</v>
      </c>
      <c r="Y313" s="85">
        <v>2</v>
      </c>
      <c r="Z313" s="85" t="s">
        <v>114</v>
      </c>
      <c r="AA313" s="85" t="s">
        <v>1663</v>
      </c>
      <c r="AB313" s="85" t="s">
        <v>211</v>
      </c>
      <c r="AC313" s="85" t="s">
        <v>114</v>
      </c>
      <c r="AD313" s="85" t="s">
        <v>211</v>
      </c>
      <c r="AE313" s="85" t="s">
        <v>1824</v>
      </c>
      <c r="AF313" s="85"/>
      <c r="AG313" s="86">
        <v>43203</v>
      </c>
      <c r="AH313" s="85" t="s">
        <v>107</v>
      </c>
      <c r="AI313" s="86">
        <v>43396</v>
      </c>
      <c r="AJ313" s="86">
        <v>43396</v>
      </c>
      <c r="AK313" s="86">
        <v>43070</v>
      </c>
      <c r="AL313" s="85" t="s">
        <v>107</v>
      </c>
      <c r="AM313" s="85" t="s">
        <v>107</v>
      </c>
      <c r="AN313" s="86">
        <v>43376</v>
      </c>
      <c r="AO313" s="85"/>
      <c r="AP313" s="86">
        <v>43060</v>
      </c>
      <c r="AQ313" s="86">
        <v>43124</v>
      </c>
      <c r="AR313" s="86">
        <v>43124</v>
      </c>
      <c r="AS313" s="86">
        <v>43060</v>
      </c>
      <c r="AT313" s="86">
        <v>43124</v>
      </c>
      <c r="AU313" s="85"/>
      <c r="AV313" s="86">
        <v>43124</v>
      </c>
      <c r="AW313" s="86">
        <v>43124</v>
      </c>
    </row>
    <row r="314" spans="1:49" x14ac:dyDescent="0.2">
      <c r="A314" s="85" t="s">
        <v>1022</v>
      </c>
      <c r="B314" s="85" t="s">
        <v>1023</v>
      </c>
      <c r="C314" s="85" t="s">
        <v>1024</v>
      </c>
      <c r="D314" s="85" t="s">
        <v>157</v>
      </c>
      <c r="E314" s="85" t="s">
        <v>126</v>
      </c>
      <c r="F314" s="85" t="s">
        <v>100</v>
      </c>
      <c r="G314" s="85" t="s">
        <v>4</v>
      </c>
      <c r="H314" s="85" t="s">
        <v>9</v>
      </c>
      <c r="I314" s="85" t="s">
        <v>59</v>
      </c>
      <c r="J314" s="86">
        <v>43374</v>
      </c>
      <c r="K314" s="86">
        <v>43507</v>
      </c>
      <c r="L314" s="85" t="s">
        <v>99</v>
      </c>
      <c r="M314" s="86">
        <v>43507</v>
      </c>
      <c r="N314" s="86">
        <v>43507</v>
      </c>
      <c r="O314" s="86">
        <v>43508</v>
      </c>
      <c r="P314" s="85"/>
      <c r="Q314" s="85"/>
      <c r="R314" s="85" t="s">
        <v>1658</v>
      </c>
      <c r="S314" s="85"/>
      <c r="T314" s="85" t="s">
        <v>1658</v>
      </c>
      <c r="U314" s="85" t="s">
        <v>107</v>
      </c>
      <c r="V314" s="85" t="s">
        <v>107</v>
      </c>
      <c r="W314" s="85" t="s">
        <v>107</v>
      </c>
      <c r="X314" s="85" t="s">
        <v>107</v>
      </c>
      <c r="Y314" s="85" t="s">
        <v>107</v>
      </c>
      <c r="Z314" s="85" t="s">
        <v>107</v>
      </c>
      <c r="AA314" s="85" t="s">
        <v>107</v>
      </c>
      <c r="AB314" s="85" t="s">
        <v>107</v>
      </c>
      <c r="AC314" s="85" t="s">
        <v>107</v>
      </c>
      <c r="AD314" s="85" t="s">
        <v>107</v>
      </c>
      <c r="AE314" s="85" t="s">
        <v>107</v>
      </c>
      <c r="AF314" s="85" t="s">
        <v>107</v>
      </c>
      <c r="AG314" s="85" t="s">
        <v>59</v>
      </c>
      <c r="AH314" s="85" t="s">
        <v>107</v>
      </c>
      <c r="AI314" s="85" t="s">
        <v>107</v>
      </c>
      <c r="AJ314" s="85" t="s">
        <v>107</v>
      </c>
      <c r="AK314" s="85" t="s">
        <v>59</v>
      </c>
      <c r="AL314" s="85" t="s">
        <v>107</v>
      </c>
      <c r="AM314" s="85" t="s">
        <v>107</v>
      </c>
      <c r="AN314" s="86">
        <v>43475</v>
      </c>
      <c r="AO314" s="86">
        <v>43213</v>
      </c>
      <c r="AP314" s="86">
        <v>43475</v>
      </c>
      <c r="AQ314" s="86">
        <v>42629</v>
      </c>
      <c r="AR314" s="86">
        <v>43475</v>
      </c>
      <c r="AS314" s="86">
        <v>43475</v>
      </c>
      <c r="AT314" s="86">
        <v>43475</v>
      </c>
      <c r="AU314" s="85"/>
      <c r="AV314" s="86">
        <v>43475</v>
      </c>
      <c r="AW314" s="86">
        <v>43475</v>
      </c>
    </row>
    <row r="315" spans="1:49" x14ac:dyDescent="0.2">
      <c r="A315" s="85" t="s">
        <v>1025</v>
      </c>
      <c r="B315" s="85" t="s">
        <v>1026</v>
      </c>
      <c r="C315" s="85" t="s">
        <v>1027</v>
      </c>
      <c r="D315" s="85" t="s">
        <v>1028</v>
      </c>
      <c r="E315" s="85" t="s">
        <v>119</v>
      </c>
      <c r="F315" s="85" t="s">
        <v>106</v>
      </c>
      <c r="G315" s="85" t="s">
        <v>4</v>
      </c>
      <c r="H315" s="85" t="s">
        <v>9</v>
      </c>
      <c r="I315" s="85" t="s">
        <v>107</v>
      </c>
      <c r="J315" s="86">
        <v>43503</v>
      </c>
      <c r="K315" s="86">
        <v>43167</v>
      </c>
      <c r="L315" s="85" t="s">
        <v>107</v>
      </c>
      <c r="M315" s="85" t="s">
        <v>107</v>
      </c>
      <c r="N315" s="85" t="s">
        <v>107</v>
      </c>
      <c r="O315" s="85" t="s">
        <v>107</v>
      </c>
      <c r="P315" s="85" t="s">
        <v>107</v>
      </c>
      <c r="Q315" s="86">
        <v>43532</v>
      </c>
      <c r="R315" s="85" t="s">
        <v>107</v>
      </c>
      <c r="S315" s="85" t="s">
        <v>107</v>
      </c>
      <c r="T315" s="85" t="s">
        <v>107</v>
      </c>
      <c r="U315" s="85" t="s">
        <v>107</v>
      </c>
      <c r="V315" s="85" t="s">
        <v>107</v>
      </c>
      <c r="W315" s="85" t="s">
        <v>107</v>
      </c>
      <c r="X315" s="85" t="s">
        <v>107</v>
      </c>
      <c r="Y315" s="85" t="s">
        <v>107</v>
      </c>
      <c r="Z315" s="85" t="s">
        <v>107</v>
      </c>
      <c r="AA315" s="85" t="s">
        <v>107</v>
      </c>
      <c r="AB315" s="85" t="s">
        <v>107</v>
      </c>
      <c r="AC315" s="85" t="s">
        <v>107</v>
      </c>
      <c r="AD315" s="85" t="s">
        <v>107</v>
      </c>
      <c r="AE315" s="85" t="s">
        <v>107</v>
      </c>
      <c r="AF315" s="85" t="s">
        <v>107</v>
      </c>
      <c r="AG315" s="86">
        <v>43167</v>
      </c>
      <c r="AH315" s="85" t="s">
        <v>107</v>
      </c>
      <c r="AI315" s="85" t="s">
        <v>107</v>
      </c>
      <c r="AJ315" s="85" t="s">
        <v>107</v>
      </c>
      <c r="AK315" s="85" t="s">
        <v>107</v>
      </c>
      <c r="AL315" s="85" t="s">
        <v>107</v>
      </c>
      <c r="AM315" s="85" t="s">
        <v>107</v>
      </c>
      <c r="AN315" s="86">
        <v>43375</v>
      </c>
      <c r="AO315" s="86">
        <v>43207</v>
      </c>
      <c r="AP315" s="86">
        <v>43160</v>
      </c>
      <c r="AQ315" s="86">
        <v>42858</v>
      </c>
      <c r="AR315" s="86">
        <v>43160</v>
      </c>
      <c r="AS315" s="86">
        <v>43227</v>
      </c>
      <c r="AT315" s="86">
        <v>43160</v>
      </c>
      <c r="AU315" s="85" t="s">
        <v>107</v>
      </c>
      <c r="AV315" s="86">
        <v>43160</v>
      </c>
      <c r="AW315" s="86">
        <v>43160</v>
      </c>
    </row>
    <row r="316" spans="1:49" x14ac:dyDescent="0.2">
      <c r="A316" s="85" t="s">
        <v>1994</v>
      </c>
      <c r="B316" s="85" t="s">
        <v>1995</v>
      </c>
      <c r="C316" s="85" t="s">
        <v>1996</v>
      </c>
      <c r="D316" s="85" t="s">
        <v>239</v>
      </c>
      <c r="E316" s="85" t="s">
        <v>908</v>
      </c>
      <c r="F316" s="85" t="s">
        <v>106</v>
      </c>
      <c r="G316" s="85" t="s">
        <v>4</v>
      </c>
      <c r="H316" s="85" t="s">
        <v>8</v>
      </c>
      <c r="I316" s="85" t="s">
        <v>107</v>
      </c>
      <c r="J316" s="85" t="s">
        <v>59</v>
      </c>
      <c r="K316" s="85" t="s">
        <v>59</v>
      </c>
      <c r="L316" s="85" t="s">
        <v>107</v>
      </c>
      <c r="M316" s="85" t="s">
        <v>107</v>
      </c>
      <c r="N316" s="85" t="s">
        <v>107</v>
      </c>
      <c r="O316" s="85" t="s">
        <v>107</v>
      </c>
      <c r="P316" s="85" t="s">
        <v>107</v>
      </c>
      <c r="Q316" s="85" t="s">
        <v>59</v>
      </c>
      <c r="R316" s="85" t="s">
        <v>107</v>
      </c>
      <c r="S316" s="85" t="s">
        <v>107</v>
      </c>
      <c r="T316" s="85" t="s">
        <v>107</v>
      </c>
      <c r="U316" s="85" t="s">
        <v>107</v>
      </c>
      <c r="V316" s="85" t="s">
        <v>107</v>
      </c>
      <c r="W316" s="85" t="s">
        <v>107</v>
      </c>
      <c r="X316" s="85" t="s">
        <v>107</v>
      </c>
      <c r="Y316" s="85" t="s">
        <v>107</v>
      </c>
      <c r="Z316" s="85" t="s">
        <v>107</v>
      </c>
      <c r="AA316" s="85" t="s">
        <v>107</v>
      </c>
      <c r="AB316" s="85" t="s">
        <v>107</v>
      </c>
      <c r="AC316" s="85" t="s">
        <v>107</v>
      </c>
      <c r="AD316" s="85" t="s">
        <v>107</v>
      </c>
      <c r="AE316" s="85" t="s">
        <v>107</v>
      </c>
      <c r="AF316" s="85" t="s">
        <v>107</v>
      </c>
      <c r="AG316" s="86">
        <v>43517</v>
      </c>
      <c r="AH316" s="85" t="s">
        <v>107</v>
      </c>
      <c r="AI316" s="85" t="s">
        <v>107</v>
      </c>
      <c r="AJ316" s="85" t="s">
        <v>107</v>
      </c>
      <c r="AK316" s="85" t="s">
        <v>107</v>
      </c>
      <c r="AL316" s="85" t="s">
        <v>107</v>
      </c>
      <c r="AM316" s="85" t="s">
        <v>107</v>
      </c>
      <c r="AN316" s="86">
        <v>43516</v>
      </c>
      <c r="AO316" s="86">
        <v>43516</v>
      </c>
      <c r="AP316" s="86">
        <v>43516</v>
      </c>
      <c r="AQ316" s="86">
        <v>43516</v>
      </c>
      <c r="AR316" s="86">
        <v>43516</v>
      </c>
      <c r="AS316" s="86">
        <v>43516</v>
      </c>
      <c r="AT316" s="86">
        <v>43516</v>
      </c>
      <c r="AU316" s="86" t="s">
        <v>107</v>
      </c>
      <c r="AV316" s="86">
        <v>43516</v>
      </c>
      <c r="AW316" s="86">
        <v>43516</v>
      </c>
    </row>
    <row r="317" spans="1:49" x14ac:dyDescent="0.2">
      <c r="A317" s="85" t="s">
        <v>1029</v>
      </c>
      <c r="B317" s="85" t="s">
        <v>1030</v>
      </c>
      <c r="C317" s="85" t="s">
        <v>1031</v>
      </c>
      <c r="D317" s="85" t="s">
        <v>652</v>
      </c>
      <c r="E317" s="85" t="s">
        <v>119</v>
      </c>
      <c r="F317" s="85" t="s">
        <v>122</v>
      </c>
      <c r="G317" s="85" t="s">
        <v>4</v>
      </c>
      <c r="H317" s="85" t="s">
        <v>13</v>
      </c>
      <c r="I317" s="86">
        <v>43486</v>
      </c>
      <c r="J317" s="86">
        <v>43195</v>
      </c>
      <c r="K317" s="86">
        <v>43199</v>
      </c>
      <c r="L317" s="85" t="s">
        <v>99</v>
      </c>
      <c r="M317" s="86">
        <v>42966</v>
      </c>
      <c r="N317" s="85" t="s">
        <v>107</v>
      </c>
      <c r="O317" s="86">
        <v>43199</v>
      </c>
      <c r="P317" s="86">
        <v>43269</v>
      </c>
      <c r="Q317" s="86">
        <v>43564</v>
      </c>
      <c r="R317" s="85" t="s">
        <v>1652</v>
      </c>
      <c r="S317" s="86">
        <v>43525</v>
      </c>
      <c r="T317" s="85" t="s">
        <v>1652</v>
      </c>
      <c r="U317" s="86">
        <v>43357</v>
      </c>
      <c r="V317" s="86">
        <v>43555</v>
      </c>
      <c r="W317" s="85" t="s">
        <v>1655</v>
      </c>
      <c r="X317" s="85" t="s">
        <v>114</v>
      </c>
      <c r="Y317" s="85">
        <v>1</v>
      </c>
      <c r="Z317" s="85" t="s">
        <v>114</v>
      </c>
      <c r="AA317" s="85"/>
      <c r="AB317" s="85" t="s">
        <v>211</v>
      </c>
      <c r="AC317" s="85" t="s">
        <v>114</v>
      </c>
      <c r="AD317" s="85" t="s">
        <v>211</v>
      </c>
      <c r="AE317" s="85" t="s">
        <v>1656</v>
      </c>
      <c r="AF317" s="86">
        <v>43518</v>
      </c>
      <c r="AG317" s="86">
        <v>43479</v>
      </c>
      <c r="AH317" s="85" t="s">
        <v>1997</v>
      </c>
      <c r="AI317" s="86">
        <v>42830</v>
      </c>
      <c r="AJ317" s="86">
        <v>43213</v>
      </c>
      <c r="AK317" s="86">
        <v>43195</v>
      </c>
      <c r="AL317" s="85" t="s">
        <v>107</v>
      </c>
      <c r="AM317" s="85" t="s">
        <v>107</v>
      </c>
      <c r="AN317" s="85"/>
      <c r="AO317" s="86">
        <v>43209</v>
      </c>
      <c r="AP317" s="86">
        <v>43046</v>
      </c>
      <c r="AQ317" s="86">
        <v>42816</v>
      </c>
      <c r="AR317" s="86">
        <v>43161</v>
      </c>
      <c r="AS317" s="86">
        <v>43215</v>
      </c>
      <c r="AT317" s="86">
        <v>42816</v>
      </c>
      <c r="AU317" s="86">
        <v>43161</v>
      </c>
      <c r="AV317" s="86">
        <v>43161</v>
      </c>
      <c r="AW317" s="86">
        <v>43161</v>
      </c>
    </row>
    <row r="318" spans="1:49" x14ac:dyDescent="0.2">
      <c r="A318" s="85" t="s">
        <v>1728</v>
      </c>
      <c r="B318" s="85" t="s">
        <v>1729</v>
      </c>
      <c r="C318" s="85" t="s">
        <v>1730</v>
      </c>
      <c r="D318" s="85" t="s">
        <v>188</v>
      </c>
      <c r="E318" s="85" t="s">
        <v>149</v>
      </c>
      <c r="F318" s="85" t="s">
        <v>106</v>
      </c>
      <c r="G318" s="85" t="s">
        <v>4</v>
      </c>
      <c r="H318" s="85" t="s">
        <v>8</v>
      </c>
      <c r="I318" s="85" t="s">
        <v>107</v>
      </c>
      <c r="J318" s="85" t="s">
        <v>59</v>
      </c>
      <c r="K318" s="85" t="s">
        <v>59</v>
      </c>
      <c r="L318" s="85" t="s">
        <v>107</v>
      </c>
      <c r="M318" s="85" t="s">
        <v>107</v>
      </c>
      <c r="N318" s="85" t="s">
        <v>107</v>
      </c>
      <c r="O318" s="85" t="s">
        <v>107</v>
      </c>
      <c r="P318" s="85" t="s">
        <v>107</v>
      </c>
      <c r="Q318" s="85" t="s">
        <v>59</v>
      </c>
      <c r="R318" s="85" t="s">
        <v>107</v>
      </c>
      <c r="S318" s="85" t="s">
        <v>107</v>
      </c>
      <c r="T318" s="85" t="s">
        <v>107</v>
      </c>
      <c r="U318" s="85" t="s">
        <v>107</v>
      </c>
      <c r="V318" s="85" t="s">
        <v>107</v>
      </c>
      <c r="W318" s="85" t="s">
        <v>107</v>
      </c>
      <c r="X318" s="85" t="s">
        <v>107</v>
      </c>
      <c r="Y318" s="85" t="s">
        <v>107</v>
      </c>
      <c r="Z318" s="85" t="s">
        <v>107</v>
      </c>
      <c r="AA318" s="85" t="s">
        <v>107</v>
      </c>
      <c r="AB318" s="85" t="s">
        <v>107</v>
      </c>
      <c r="AC318" s="85" t="s">
        <v>107</v>
      </c>
      <c r="AD318" s="85" t="s">
        <v>107</v>
      </c>
      <c r="AE318" s="85" t="s">
        <v>107</v>
      </c>
      <c r="AF318" s="85" t="s">
        <v>107</v>
      </c>
      <c r="AG318" s="86">
        <v>43488</v>
      </c>
      <c r="AH318" s="85" t="s">
        <v>107</v>
      </c>
      <c r="AI318" s="85" t="s">
        <v>107</v>
      </c>
      <c r="AJ318" s="85" t="s">
        <v>107</v>
      </c>
      <c r="AK318" s="85" t="s">
        <v>107</v>
      </c>
      <c r="AL318" s="85" t="s">
        <v>107</v>
      </c>
      <c r="AM318" s="85" t="s">
        <v>107</v>
      </c>
      <c r="AN318" s="86">
        <v>43424</v>
      </c>
      <c r="AO318" s="86">
        <v>43424</v>
      </c>
      <c r="AP318" s="86">
        <v>43424</v>
      </c>
      <c r="AQ318" s="86">
        <v>43424</v>
      </c>
      <c r="AR318" s="86">
        <v>43424</v>
      </c>
      <c r="AS318" s="86">
        <v>43424</v>
      </c>
      <c r="AT318" s="86">
        <v>43424</v>
      </c>
      <c r="AU318" s="85" t="s">
        <v>107</v>
      </c>
      <c r="AV318" s="86">
        <v>43424</v>
      </c>
      <c r="AW318" s="86">
        <v>43424</v>
      </c>
    </row>
    <row r="319" spans="1:49" x14ac:dyDescent="0.2">
      <c r="A319" s="85" t="s">
        <v>1032</v>
      </c>
      <c r="B319" s="85" t="s">
        <v>1033</v>
      </c>
      <c r="C319" s="85" t="s">
        <v>1034</v>
      </c>
      <c r="D319" s="85" t="s">
        <v>1035</v>
      </c>
      <c r="E319" s="85" t="s">
        <v>206</v>
      </c>
      <c r="F319" s="85" t="s">
        <v>106</v>
      </c>
      <c r="G319" s="85" t="s">
        <v>4</v>
      </c>
      <c r="H319" s="85" t="s">
        <v>8</v>
      </c>
      <c r="I319" s="85" t="s">
        <v>107</v>
      </c>
      <c r="J319" s="86">
        <v>43283</v>
      </c>
      <c r="K319" s="86">
        <v>43497</v>
      </c>
      <c r="L319" s="85" t="s">
        <v>107</v>
      </c>
      <c r="M319" s="85" t="s">
        <v>107</v>
      </c>
      <c r="N319" s="85" t="s">
        <v>107</v>
      </c>
      <c r="O319" s="85" t="s">
        <v>107</v>
      </c>
      <c r="P319" s="85" t="s">
        <v>107</v>
      </c>
      <c r="Q319" s="86">
        <v>43862</v>
      </c>
      <c r="R319" s="85" t="s">
        <v>107</v>
      </c>
      <c r="S319" s="85" t="s">
        <v>107</v>
      </c>
      <c r="T319" s="85" t="s">
        <v>107</v>
      </c>
      <c r="U319" s="85" t="s">
        <v>107</v>
      </c>
      <c r="V319" s="85" t="s">
        <v>107</v>
      </c>
      <c r="W319" s="85" t="s">
        <v>107</v>
      </c>
      <c r="X319" s="85" t="s">
        <v>107</v>
      </c>
      <c r="Y319" s="85" t="s">
        <v>107</v>
      </c>
      <c r="Z319" s="85" t="s">
        <v>107</v>
      </c>
      <c r="AA319" s="85" t="s">
        <v>107</v>
      </c>
      <c r="AB319" s="85" t="s">
        <v>107</v>
      </c>
      <c r="AC319" s="85" t="s">
        <v>107</v>
      </c>
      <c r="AD319" s="85" t="s">
        <v>107</v>
      </c>
      <c r="AE319" s="85" t="s">
        <v>107</v>
      </c>
      <c r="AF319" s="85" t="s">
        <v>107</v>
      </c>
      <c r="AG319" s="86">
        <v>43203</v>
      </c>
      <c r="AH319" s="85" t="s">
        <v>1938</v>
      </c>
      <c r="AI319" s="85" t="s">
        <v>107</v>
      </c>
      <c r="AJ319" s="85" t="s">
        <v>107</v>
      </c>
      <c r="AK319" s="85" t="s">
        <v>107</v>
      </c>
      <c r="AL319" s="85" t="s">
        <v>107</v>
      </c>
      <c r="AM319" s="85" t="s">
        <v>107</v>
      </c>
      <c r="AN319" s="86">
        <v>43502</v>
      </c>
      <c r="AO319" s="86">
        <v>43209</v>
      </c>
      <c r="AP319" s="86">
        <v>43502</v>
      </c>
      <c r="AQ319" s="86">
        <v>42318</v>
      </c>
      <c r="AR319" s="86">
        <v>43502</v>
      </c>
      <c r="AS319" s="86">
        <v>43502</v>
      </c>
      <c r="AT319" s="86">
        <v>43502</v>
      </c>
      <c r="AU319" s="85" t="s">
        <v>107</v>
      </c>
      <c r="AV319" s="86">
        <v>43502</v>
      </c>
      <c r="AW319" s="86">
        <v>43502</v>
      </c>
    </row>
    <row r="320" spans="1:49" x14ac:dyDescent="0.2">
      <c r="A320" s="85" t="s">
        <v>1036</v>
      </c>
      <c r="B320" s="85" t="s">
        <v>1037</v>
      </c>
      <c r="C320" s="85" t="s">
        <v>1038</v>
      </c>
      <c r="D320" s="85" t="s">
        <v>1039</v>
      </c>
      <c r="E320" s="85" t="s">
        <v>149</v>
      </c>
      <c r="F320" s="85" t="s">
        <v>113</v>
      </c>
      <c r="G320" s="85" t="s">
        <v>4</v>
      </c>
      <c r="H320" s="85" t="s">
        <v>6</v>
      </c>
      <c r="I320" s="86">
        <v>43491</v>
      </c>
      <c r="J320" s="86">
        <v>43212</v>
      </c>
      <c r="K320" s="86">
        <v>43212</v>
      </c>
      <c r="L320" s="85" t="s">
        <v>99</v>
      </c>
      <c r="M320" s="86">
        <v>42876</v>
      </c>
      <c r="N320" s="85" t="s">
        <v>107</v>
      </c>
      <c r="O320" s="86">
        <v>42529</v>
      </c>
      <c r="P320" s="86">
        <v>43305</v>
      </c>
      <c r="Q320" s="86">
        <v>43847</v>
      </c>
      <c r="R320" s="85" t="s">
        <v>1652</v>
      </c>
      <c r="S320" s="86">
        <v>43922</v>
      </c>
      <c r="T320" s="85" t="s">
        <v>1652</v>
      </c>
      <c r="U320" s="86">
        <v>43450</v>
      </c>
      <c r="V320" s="86">
        <v>43646</v>
      </c>
      <c r="W320" s="85" t="s">
        <v>1655</v>
      </c>
      <c r="X320" s="85" t="s">
        <v>114</v>
      </c>
      <c r="Y320" s="85">
        <v>1</v>
      </c>
      <c r="Z320" s="85" t="s">
        <v>114</v>
      </c>
      <c r="AA320" s="85"/>
      <c r="AB320" s="85" t="s">
        <v>114</v>
      </c>
      <c r="AC320" s="85" t="s">
        <v>114</v>
      </c>
      <c r="AD320" s="85" t="s">
        <v>114</v>
      </c>
      <c r="AE320" s="85"/>
      <c r="AF320" s="85"/>
      <c r="AG320" s="85" t="s">
        <v>59</v>
      </c>
      <c r="AH320" s="85" t="s">
        <v>1998</v>
      </c>
      <c r="AI320" s="85"/>
      <c r="AJ320" s="86">
        <v>43431</v>
      </c>
      <c r="AK320" s="86">
        <v>42531</v>
      </c>
      <c r="AL320" s="85" t="s">
        <v>107</v>
      </c>
      <c r="AM320" s="85" t="s">
        <v>107</v>
      </c>
      <c r="AN320" s="86">
        <v>43375</v>
      </c>
      <c r="AO320" s="86">
        <v>43300</v>
      </c>
      <c r="AP320" s="86">
        <v>43300</v>
      </c>
      <c r="AQ320" s="86">
        <v>43300</v>
      </c>
      <c r="AR320" s="86">
        <v>43300</v>
      </c>
      <c r="AS320" s="86">
        <v>43300</v>
      </c>
      <c r="AT320" s="86">
        <v>43300</v>
      </c>
      <c r="AU320" s="86">
        <v>43300</v>
      </c>
      <c r="AV320" s="86">
        <v>43300</v>
      </c>
      <c r="AW320" s="86">
        <v>43300</v>
      </c>
    </row>
    <row r="321" spans="1:49" x14ac:dyDescent="0.2">
      <c r="A321" s="85" t="s">
        <v>1040</v>
      </c>
      <c r="B321" s="85" t="s">
        <v>1041</v>
      </c>
      <c r="C321" s="85" t="s">
        <v>1042</v>
      </c>
      <c r="D321" s="85" t="s">
        <v>230</v>
      </c>
      <c r="E321" s="85" t="s">
        <v>141</v>
      </c>
      <c r="F321" s="85" t="s">
        <v>100</v>
      </c>
      <c r="G321" s="85" t="s">
        <v>4</v>
      </c>
      <c r="H321" s="85" t="s">
        <v>13</v>
      </c>
      <c r="I321" s="86">
        <v>43274</v>
      </c>
      <c r="J321" s="86">
        <v>43500</v>
      </c>
      <c r="K321" s="86">
        <v>43500</v>
      </c>
      <c r="L321" s="85" t="s">
        <v>99</v>
      </c>
      <c r="M321" s="86">
        <v>42346</v>
      </c>
      <c r="N321" s="86">
        <v>43274</v>
      </c>
      <c r="O321" s="86">
        <v>42743</v>
      </c>
      <c r="P321" s="86">
        <v>43172</v>
      </c>
      <c r="Q321" s="86">
        <v>43494</v>
      </c>
      <c r="R321" s="85" t="s">
        <v>1652</v>
      </c>
      <c r="S321" s="86">
        <v>43617</v>
      </c>
      <c r="T321" s="85" t="s">
        <v>1652</v>
      </c>
      <c r="U321" s="85" t="s">
        <v>107</v>
      </c>
      <c r="V321" s="85" t="s">
        <v>107</v>
      </c>
      <c r="W321" s="85" t="s">
        <v>107</v>
      </c>
      <c r="X321" s="85" t="s">
        <v>107</v>
      </c>
      <c r="Y321" s="85" t="s">
        <v>107</v>
      </c>
      <c r="Z321" s="85" t="s">
        <v>107</v>
      </c>
      <c r="AA321" s="85" t="s">
        <v>107</v>
      </c>
      <c r="AB321" s="85" t="s">
        <v>107</v>
      </c>
      <c r="AC321" s="85" t="s">
        <v>107</v>
      </c>
      <c r="AD321" s="85" t="s">
        <v>107</v>
      </c>
      <c r="AE321" s="85" t="s">
        <v>107</v>
      </c>
      <c r="AF321" s="85" t="s">
        <v>107</v>
      </c>
      <c r="AG321" s="86">
        <v>43266</v>
      </c>
      <c r="AH321" s="85" t="s">
        <v>107</v>
      </c>
      <c r="AI321" s="85" t="s">
        <v>107</v>
      </c>
      <c r="AJ321" s="85" t="s">
        <v>107</v>
      </c>
      <c r="AK321" s="86">
        <v>42062</v>
      </c>
      <c r="AL321" s="85" t="s">
        <v>107</v>
      </c>
      <c r="AM321" s="85" t="s">
        <v>107</v>
      </c>
      <c r="AN321" s="86">
        <v>43504</v>
      </c>
      <c r="AO321" s="86">
        <v>43234</v>
      </c>
      <c r="AP321" s="86">
        <v>43504</v>
      </c>
      <c r="AQ321" s="86">
        <v>42354</v>
      </c>
      <c r="AR321" s="86">
        <v>43504</v>
      </c>
      <c r="AS321" s="86">
        <v>43504</v>
      </c>
      <c r="AT321" s="86">
        <v>43504</v>
      </c>
      <c r="AU321" s="86">
        <v>43504</v>
      </c>
      <c r="AV321" s="86">
        <v>43504</v>
      </c>
      <c r="AW321" s="86">
        <v>43504</v>
      </c>
    </row>
    <row r="322" spans="1:49" x14ac:dyDescent="0.2">
      <c r="A322" s="85" t="s">
        <v>1043</v>
      </c>
      <c r="B322" s="85" t="s">
        <v>1044</v>
      </c>
      <c r="C322" s="85" t="s">
        <v>1045</v>
      </c>
      <c r="D322" s="85" t="s">
        <v>1046</v>
      </c>
      <c r="E322" s="85"/>
      <c r="F322" s="85" t="s">
        <v>106</v>
      </c>
      <c r="G322" s="85" t="s">
        <v>4</v>
      </c>
      <c r="H322" s="85" t="s">
        <v>5</v>
      </c>
      <c r="I322" s="85" t="s">
        <v>107</v>
      </c>
      <c r="J322" s="86">
        <v>43167</v>
      </c>
      <c r="K322" s="86">
        <v>43167</v>
      </c>
      <c r="L322" s="85" t="s">
        <v>107</v>
      </c>
      <c r="M322" s="85" t="s">
        <v>107</v>
      </c>
      <c r="N322" s="85" t="s">
        <v>107</v>
      </c>
      <c r="O322" s="85" t="s">
        <v>107</v>
      </c>
      <c r="P322" s="85" t="s">
        <v>107</v>
      </c>
      <c r="Q322" s="86">
        <v>43532</v>
      </c>
      <c r="R322" s="85" t="s">
        <v>107</v>
      </c>
      <c r="S322" s="85" t="s">
        <v>107</v>
      </c>
      <c r="T322" s="85" t="s">
        <v>107</v>
      </c>
      <c r="U322" s="85" t="s">
        <v>107</v>
      </c>
      <c r="V322" s="85" t="s">
        <v>107</v>
      </c>
      <c r="W322" s="85" t="s">
        <v>107</v>
      </c>
      <c r="X322" s="85" t="s">
        <v>107</v>
      </c>
      <c r="Y322" s="85" t="s">
        <v>107</v>
      </c>
      <c r="Z322" s="85" t="s">
        <v>107</v>
      </c>
      <c r="AA322" s="85" t="s">
        <v>107</v>
      </c>
      <c r="AB322" s="85" t="s">
        <v>107</v>
      </c>
      <c r="AC322" s="85" t="s">
        <v>107</v>
      </c>
      <c r="AD322" s="85" t="s">
        <v>107</v>
      </c>
      <c r="AE322" s="85" t="s">
        <v>107</v>
      </c>
      <c r="AF322" s="85" t="s">
        <v>107</v>
      </c>
      <c r="AG322" s="86">
        <v>43507</v>
      </c>
      <c r="AH322" s="85" t="s">
        <v>107</v>
      </c>
      <c r="AI322" s="85" t="s">
        <v>107</v>
      </c>
      <c r="AJ322" s="85" t="s">
        <v>107</v>
      </c>
      <c r="AK322" s="85" t="s">
        <v>107</v>
      </c>
      <c r="AL322" s="85" t="s">
        <v>107</v>
      </c>
      <c r="AM322" s="85" t="s">
        <v>107</v>
      </c>
      <c r="AN322" s="86">
        <v>43375</v>
      </c>
      <c r="AO322" s="86">
        <v>43207</v>
      </c>
      <c r="AP322" s="86">
        <v>43175</v>
      </c>
      <c r="AQ322" s="86">
        <v>40312</v>
      </c>
      <c r="AR322" s="86">
        <v>43175</v>
      </c>
      <c r="AS322" s="86">
        <v>43213</v>
      </c>
      <c r="AT322" s="86">
        <v>43175</v>
      </c>
      <c r="AU322" s="85" t="s">
        <v>107</v>
      </c>
      <c r="AV322" s="86">
        <v>43175</v>
      </c>
      <c r="AW322" s="86">
        <v>43175</v>
      </c>
    </row>
    <row r="323" spans="1:49" x14ac:dyDescent="0.2">
      <c r="A323" s="85" t="s">
        <v>1047</v>
      </c>
      <c r="B323" s="85" t="s">
        <v>1048</v>
      </c>
      <c r="C323" s="85" t="s">
        <v>1049</v>
      </c>
      <c r="D323" s="85" t="s">
        <v>652</v>
      </c>
      <c r="E323" s="85" t="s">
        <v>278</v>
      </c>
      <c r="F323" s="85" t="s">
        <v>106</v>
      </c>
      <c r="G323" s="85" t="s">
        <v>4</v>
      </c>
      <c r="H323" s="85" t="s">
        <v>18</v>
      </c>
      <c r="I323" s="85" t="s">
        <v>107</v>
      </c>
      <c r="J323" s="86">
        <v>43468</v>
      </c>
      <c r="K323" s="86">
        <v>43272</v>
      </c>
      <c r="L323" s="85" t="s">
        <v>107</v>
      </c>
      <c r="M323" s="85" t="s">
        <v>107</v>
      </c>
      <c r="N323" s="85" t="s">
        <v>107</v>
      </c>
      <c r="O323" s="85" t="s">
        <v>107</v>
      </c>
      <c r="P323" s="85" t="s">
        <v>107</v>
      </c>
      <c r="Q323" s="86">
        <v>42992</v>
      </c>
      <c r="R323" s="85" t="s">
        <v>107</v>
      </c>
      <c r="S323" s="85" t="s">
        <v>107</v>
      </c>
      <c r="T323" s="85" t="s">
        <v>107</v>
      </c>
      <c r="U323" s="85" t="s">
        <v>107</v>
      </c>
      <c r="V323" s="85" t="s">
        <v>107</v>
      </c>
      <c r="W323" s="85" t="s">
        <v>107</v>
      </c>
      <c r="X323" s="85" t="s">
        <v>107</v>
      </c>
      <c r="Y323" s="85" t="s">
        <v>107</v>
      </c>
      <c r="Z323" s="85" t="s">
        <v>107</v>
      </c>
      <c r="AA323" s="85" t="s">
        <v>107</v>
      </c>
      <c r="AB323" s="85" t="s">
        <v>107</v>
      </c>
      <c r="AC323" s="85" t="s">
        <v>107</v>
      </c>
      <c r="AD323" s="85" t="s">
        <v>107</v>
      </c>
      <c r="AE323" s="85" t="s">
        <v>107</v>
      </c>
      <c r="AF323" s="85" t="s">
        <v>107</v>
      </c>
      <c r="AG323" s="86">
        <v>43192</v>
      </c>
      <c r="AH323" s="85" t="s">
        <v>107</v>
      </c>
      <c r="AI323" s="85" t="s">
        <v>107</v>
      </c>
      <c r="AJ323" s="85" t="s">
        <v>107</v>
      </c>
      <c r="AK323" s="85" t="s">
        <v>107</v>
      </c>
      <c r="AL323" s="85" t="s">
        <v>107</v>
      </c>
      <c r="AM323" s="85" t="s">
        <v>107</v>
      </c>
      <c r="AN323" s="86">
        <v>43468</v>
      </c>
      <c r="AO323" s="86">
        <v>43207</v>
      </c>
      <c r="AP323" s="86">
        <v>43047</v>
      </c>
      <c r="AQ323" s="86">
        <v>40309</v>
      </c>
      <c r="AR323" s="86">
        <v>43468</v>
      </c>
      <c r="AS323" s="86">
        <v>43468</v>
      </c>
      <c r="AT323" s="86">
        <v>43468</v>
      </c>
      <c r="AU323" s="85" t="s">
        <v>107</v>
      </c>
      <c r="AV323" s="86">
        <v>43468</v>
      </c>
      <c r="AW323" s="86">
        <v>43468</v>
      </c>
    </row>
    <row r="324" spans="1:49" x14ac:dyDescent="0.2">
      <c r="A324" s="85" t="s">
        <v>1050</v>
      </c>
      <c r="B324" s="85" t="s">
        <v>1051</v>
      </c>
      <c r="C324" s="85" t="s">
        <v>1052</v>
      </c>
      <c r="D324" s="85" t="s">
        <v>1053</v>
      </c>
      <c r="E324" s="85" t="s">
        <v>126</v>
      </c>
      <c r="F324" s="85" t="s">
        <v>144</v>
      </c>
      <c r="G324" s="85" t="s">
        <v>4</v>
      </c>
      <c r="H324" s="85" t="s">
        <v>12</v>
      </c>
      <c r="I324" s="86">
        <v>43216</v>
      </c>
      <c r="J324" s="86">
        <v>43139</v>
      </c>
      <c r="K324" s="86">
        <v>43139</v>
      </c>
      <c r="L324" s="85" t="s">
        <v>99</v>
      </c>
      <c r="M324" s="86">
        <v>43145</v>
      </c>
      <c r="N324" s="85" t="s">
        <v>107</v>
      </c>
      <c r="O324" s="86">
        <v>43137</v>
      </c>
      <c r="P324" s="86">
        <v>43144</v>
      </c>
      <c r="Q324" s="86">
        <v>43502</v>
      </c>
      <c r="R324" s="85" t="s">
        <v>1652</v>
      </c>
      <c r="S324" s="86">
        <v>43678</v>
      </c>
      <c r="T324" s="85" t="s">
        <v>1652</v>
      </c>
      <c r="U324" s="86">
        <v>43328</v>
      </c>
      <c r="V324" s="86">
        <v>43524</v>
      </c>
      <c r="W324" s="85" t="s">
        <v>1657</v>
      </c>
      <c r="X324" s="85" t="s">
        <v>114</v>
      </c>
      <c r="Y324" s="85">
        <v>1</v>
      </c>
      <c r="Z324" s="85" t="s">
        <v>114</v>
      </c>
      <c r="AA324" s="85"/>
      <c r="AB324" s="85" t="s">
        <v>114</v>
      </c>
      <c r="AC324" s="85" t="s">
        <v>114</v>
      </c>
      <c r="AD324" s="85" t="s">
        <v>114</v>
      </c>
      <c r="AE324" s="85"/>
      <c r="AF324" s="85"/>
      <c r="AG324" s="86">
        <v>43296</v>
      </c>
      <c r="AH324" s="85" t="s">
        <v>107</v>
      </c>
      <c r="AI324" s="86">
        <v>43321</v>
      </c>
      <c r="AJ324" s="85" t="s">
        <v>1772</v>
      </c>
      <c r="AK324" s="86">
        <v>43137</v>
      </c>
      <c r="AL324" s="86">
        <v>40940</v>
      </c>
      <c r="AM324" s="86">
        <v>40940</v>
      </c>
      <c r="AN324" s="86">
        <v>43480</v>
      </c>
      <c r="AO324" s="86">
        <v>43207</v>
      </c>
      <c r="AP324" s="86">
        <v>43480</v>
      </c>
      <c r="AQ324" s="86">
        <v>43138</v>
      </c>
      <c r="AR324" s="86">
        <v>43480</v>
      </c>
      <c r="AS324" s="86">
        <v>43480</v>
      </c>
      <c r="AT324" s="86">
        <v>43480</v>
      </c>
      <c r="AU324" s="86">
        <v>43480</v>
      </c>
      <c r="AV324" s="86">
        <v>43480</v>
      </c>
      <c r="AW324" s="86">
        <v>43480</v>
      </c>
    </row>
    <row r="325" spans="1:49" x14ac:dyDescent="0.2">
      <c r="A325" s="85" t="s">
        <v>1054</v>
      </c>
      <c r="B325" s="85" t="s">
        <v>1055</v>
      </c>
      <c r="C325" s="85" t="s">
        <v>1056</v>
      </c>
      <c r="D325" s="85" t="s">
        <v>656</v>
      </c>
      <c r="E325" s="85" t="s">
        <v>149</v>
      </c>
      <c r="F325" s="85" t="s">
        <v>127</v>
      </c>
      <c r="G325" s="85" t="s">
        <v>4</v>
      </c>
      <c r="H325" s="85" t="s">
        <v>13</v>
      </c>
      <c r="I325" s="86">
        <v>43320</v>
      </c>
      <c r="J325" s="86">
        <v>43446</v>
      </c>
      <c r="K325" s="86">
        <v>43095</v>
      </c>
      <c r="L325" s="85" t="s">
        <v>99</v>
      </c>
      <c r="M325" s="86">
        <v>43217</v>
      </c>
      <c r="N325" s="85" t="s">
        <v>107</v>
      </c>
      <c r="O325" s="86">
        <v>42759</v>
      </c>
      <c r="P325" s="86">
        <v>43292</v>
      </c>
      <c r="Q325" s="86">
        <v>43582</v>
      </c>
      <c r="R325" s="85" t="s">
        <v>1652</v>
      </c>
      <c r="S325" s="86">
        <v>43709</v>
      </c>
      <c r="T325" s="85" t="s">
        <v>1652</v>
      </c>
      <c r="U325" s="86">
        <v>43479</v>
      </c>
      <c r="V325" s="86">
        <v>43677</v>
      </c>
      <c r="W325" s="85" t="s">
        <v>1657</v>
      </c>
      <c r="X325" s="85" t="s">
        <v>114</v>
      </c>
      <c r="Y325" s="85">
        <v>1</v>
      </c>
      <c r="Z325" s="85" t="s">
        <v>114</v>
      </c>
      <c r="AA325" s="85"/>
      <c r="AB325" s="85" t="s">
        <v>114</v>
      </c>
      <c r="AC325" s="85" t="s">
        <v>114</v>
      </c>
      <c r="AD325" s="85" t="s">
        <v>114</v>
      </c>
      <c r="AE325" s="85"/>
      <c r="AF325" s="85"/>
      <c r="AG325" s="86">
        <v>43217</v>
      </c>
      <c r="AH325" s="85" t="s">
        <v>107</v>
      </c>
      <c r="AI325" s="86">
        <v>43067</v>
      </c>
      <c r="AJ325" s="86">
        <v>43213</v>
      </c>
      <c r="AK325" s="86">
        <v>42040</v>
      </c>
      <c r="AL325" s="86">
        <v>42019</v>
      </c>
      <c r="AM325" s="86">
        <v>42019</v>
      </c>
      <c r="AN325" s="86">
        <v>43390</v>
      </c>
      <c r="AO325" s="86">
        <v>43213</v>
      </c>
      <c r="AP325" s="86">
        <v>43067</v>
      </c>
      <c r="AQ325" s="86">
        <v>43083</v>
      </c>
      <c r="AR325" s="86">
        <v>43083</v>
      </c>
      <c r="AS325" s="86">
        <v>43199</v>
      </c>
      <c r="AT325" s="86">
        <v>43083</v>
      </c>
      <c r="AU325" s="86">
        <v>43083</v>
      </c>
      <c r="AV325" s="86">
        <v>43083</v>
      </c>
      <c r="AW325" s="86">
        <v>43083</v>
      </c>
    </row>
    <row r="326" spans="1:49" x14ac:dyDescent="0.2">
      <c r="A326" s="85" t="s">
        <v>1057</v>
      </c>
      <c r="B326" s="85" t="s">
        <v>1058</v>
      </c>
      <c r="C326" s="85" t="s">
        <v>1059</v>
      </c>
      <c r="D326" s="85" t="s">
        <v>1060</v>
      </c>
      <c r="E326" s="85" t="s">
        <v>149</v>
      </c>
      <c r="F326" s="85" t="s">
        <v>127</v>
      </c>
      <c r="G326" s="85" t="s">
        <v>4</v>
      </c>
      <c r="H326" s="85" t="s">
        <v>12</v>
      </c>
      <c r="I326" s="86">
        <v>43186</v>
      </c>
      <c r="J326" s="86">
        <v>43302</v>
      </c>
      <c r="K326" s="86">
        <v>43283</v>
      </c>
      <c r="L326" s="85" t="s">
        <v>99</v>
      </c>
      <c r="M326" s="86">
        <v>42158</v>
      </c>
      <c r="N326" s="85" t="s">
        <v>107</v>
      </c>
      <c r="O326" s="86">
        <v>42508</v>
      </c>
      <c r="P326" s="86">
        <v>43213</v>
      </c>
      <c r="Q326" s="86">
        <v>43116</v>
      </c>
      <c r="R326" s="85" t="s">
        <v>1652</v>
      </c>
      <c r="S326" s="86">
        <v>43983</v>
      </c>
      <c r="T326" s="85" t="s">
        <v>1652</v>
      </c>
      <c r="U326" s="86">
        <v>43284</v>
      </c>
      <c r="V326" s="86">
        <v>43951</v>
      </c>
      <c r="W326" s="85" t="s">
        <v>1662</v>
      </c>
      <c r="X326" s="85" t="s">
        <v>114</v>
      </c>
      <c r="Y326" s="85">
        <v>2</v>
      </c>
      <c r="Z326" s="85" t="s">
        <v>114</v>
      </c>
      <c r="AA326" s="85" t="s">
        <v>1659</v>
      </c>
      <c r="AB326" s="85" t="s">
        <v>114</v>
      </c>
      <c r="AC326" s="85" t="s">
        <v>114</v>
      </c>
      <c r="AD326" s="85" t="s">
        <v>114</v>
      </c>
      <c r="AE326" s="85"/>
      <c r="AF326" s="85"/>
      <c r="AG326" s="86">
        <v>43214</v>
      </c>
      <c r="AH326" s="85" t="s">
        <v>107</v>
      </c>
      <c r="AI326" s="86">
        <v>42675</v>
      </c>
      <c r="AJ326" s="86">
        <v>43396</v>
      </c>
      <c r="AK326" s="86">
        <v>42029</v>
      </c>
      <c r="AL326" s="85" t="s">
        <v>107</v>
      </c>
      <c r="AM326" s="85" t="s">
        <v>107</v>
      </c>
      <c r="AN326" s="85"/>
      <c r="AO326" s="86">
        <v>43217</v>
      </c>
      <c r="AP326" s="86">
        <v>43157</v>
      </c>
      <c r="AQ326" s="86">
        <v>42738</v>
      </c>
      <c r="AR326" s="86">
        <v>43157</v>
      </c>
      <c r="AS326" s="86">
        <v>43260</v>
      </c>
      <c r="AT326" s="86">
        <v>43157</v>
      </c>
      <c r="AU326" s="86">
        <v>43157</v>
      </c>
      <c r="AV326" s="86">
        <v>43157</v>
      </c>
      <c r="AW326" s="86">
        <v>43157</v>
      </c>
    </row>
    <row r="327" spans="1:49" x14ac:dyDescent="0.2">
      <c r="A327" s="85" t="s">
        <v>1061</v>
      </c>
      <c r="B327" s="85" t="s">
        <v>1062</v>
      </c>
      <c r="C327" s="85" t="s">
        <v>1063</v>
      </c>
      <c r="D327" s="85" t="s">
        <v>1064</v>
      </c>
      <c r="E327" s="85" t="s">
        <v>126</v>
      </c>
      <c r="F327" s="85" t="s">
        <v>106</v>
      </c>
      <c r="G327" s="85" t="s">
        <v>4</v>
      </c>
      <c r="H327" s="85" t="s">
        <v>5</v>
      </c>
      <c r="I327" s="85" t="s">
        <v>107</v>
      </c>
      <c r="J327" s="85" t="s">
        <v>59</v>
      </c>
      <c r="K327" s="85" t="s">
        <v>59</v>
      </c>
      <c r="L327" s="85" t="s">
        <v>107</v>
      </c>
      <c r="M327" s="85" t="s">
        <v>107</v>
      </c>
      <c r="N327" s="85" t="s">
        <v>107</v>
      </c>
      <c r="O327" s="85" t="s">
        <v>107</v>
      </c>
      <c r="P327" s="85" t="s">
        <v>107</v>
      </c>
      <c r="Q327" s="85" t="s">
        <v>59</v>
      </c>
      <c r="R327" s="85" t="s">
        <v>107</v>
      </c>
      <c r="S327" s="85" t="s">
        <v>107</v>
      </c>
      <c r="T327" s="85" t="s">
        <v>107</v>
      </c>
      <c r="U327" s="85" t="s">
        <v>107</v>
      </c>
      <c r="V327" s="85" t="s">
        <v>107</v>
      </c>
      <c r="W327" s="85" t="s">
        <v>107</v>
      </c>
      <c r="X327" s="85" t="s">
        <v>107</v>
      </c>
      <c r="Y327" s="85" t="s">
        <v>107</v>
      </c>
      <c r="Z327" s="85" t="s">
        <v>107</v>
      </c>
      <c r="AA327" s="85" t="s">
        <v>107</v>
      </c>
      <c r="AB327" s="85" t="s">
        <v>107</v>
      </c>
      <c r="AC327" s="85" t="s">
        <v>107</v>
      </c>
      <c r="AD327" s="85" t="s">
        <v>107</v>
      </c>
      <c r="AE327" s="85" t="s">
        <v>107</v>
      </c>
      <c r="AF327" s="85" t="s">
        <v>107</v>
      </c>
      <c r="AG327" s="85" t="s">
        <v>59</v>
      </c>
      <c r="AH327" s="85" t="s">
        <v>107</v>
      </c>
      <c r="AI327" s="85" t="s">
        <v>107</v>
      </c>
      <c r="AJ327" s="85" t="s">
        <v>107</v>
      </c>
      <c r="AK327" s="85" t="s">
        <v>107</v>
      </c>
      <c r="AL327" s="85" t="s">
        <v>107</v>
      </c>
      <c r="AM327" s="85" t="s">
        <v>107</v>
      </c>
      <c r="AN327" s="85"/>
      <c r="AO327" s="86">
        <v>43207</v>
      </c>
      <c r="AP327" s="86">
        <v>43047</v>
      </c>
      <c r="AQ327" s="86">
        <v>42657</v>
      </c>
      <c r="AR327" s="85"/>
      <c r="AS327" s="85"/>
      <c r="AT327" s="85"/>
      <c r="AU327" s="85" t="s">
        <v>107</v>
      </c>
      <c r="AV327" s="85"/>
      <c r="AW327" s="85"/>
    </row>
    <row r="328" spans="1:49" x14ac:dyDescent="0.2">
      <c r="A328" s="85" t="s">
        <v>1891</v>
      </c>
      <c r="B328" s="85" t="s">
        <v>1892</v>
      </c>
      <c r="C328" s="85" t="s">
        <v>1893</v>
      </c>
      <c r="D328" s="85" t="s">
        <v>1894</v>
      </c>
      <c r="E328" s="85" t="s">
        <v>143</v>
      </c>
      <c r="F328" s="85" t="s">
        <v>144</v>
      </c>
      <c r="G328" s="85" t="s">
        <v>4</v>
      </c>
      <c r="H328" s="85" t="s">
        <v>8</v>
      </c>
      <c r="I328" s="86">
        <v>43348</v>
      </c>
      <c r="J328" s="86">
        <v>43256</v>
      </c>
      <c r="K328" s="86">
        <v>43434</v>
      </c>
      <c r="L328" s="85" t="s">
        <v>99</v>
      </c>
      <c r="M328" s="86">
        <v>42614</v>
      </c>
      <c r="N328" s="85" t="s">
        <v>107</v>
      </c>
      <c r="O328" s="86">
        <v>43434</v>
      </c>
      <c r="P328" s="86">
        <v>43199</v>
      </c>
      <c r="Q328" s="86">
        <v>43799</v>
      </c>
      <c r="R328" s="85" t="s">
        <v>1652</v>
      </c>
      <c r="S328" s="85" t="s">
        <v>59</v>
      </c>
      <c r="T328" s="85" t="s">
        <v>59</v>
      </c>
      <c r="U328" s="86">
        <v>43370</v>
      </c>
      <c r="V328" s="86">
        <v>43555</v>
      </c>
      <c r="W328" s="85" t="s">
        <v>1657</v>
      </c>
      <c r="X328" s="85" t="s">
        <v>114</v>
      </c>
      <c r="Y328" s="85">
        <v>1</v>
      </c>
      <c r="Z328" s="85" t="s">
        <v>114</v>
      </c>
      <c r="AA328" s="85"/>
      <c r="AB328" s="85" t="s">
        <v>114</v>
      </c>
      <c r="AC328" s="85" t="s">
        <v>114</v>
      </c>
      <c r="AD328" s="85" t="s">
        <v>211</v>
      </c>
      <c r="AE328" s="85" t="s">
        <v>1654</v>
      </c>
      <c r="AF328" s="86">
        <v>43525</v>
      </c>
      <c r="AG328" s="85" t="s">
        <v>59</v>
      </c>
      <c r="AH328" s="85" t="s">
        <v>107</v>
      </c>
      <c r="AI328" s="85" t="s">
        <v>59</v>
      </c>
      <c r="AJ328" s="85" t="s">
        <v>59</v>
      </c>
      <c r="AK328" s="85" t="s">
        <v>59</v>
      </c>
      <c r="AL328" s="85"/>
      <c r="AM328" s="85"/>
      <c r="AN328" s="86">
        <v>43405</v>
      </c>
      <c r="AO328" s="86">
        <v>43405</v>
      </c>
      <c r="AP328" s="86">
        <v>43405</v>
      </c>
      <c r="AQ328" s="86">
        <v>43405</v>
      </c>
      <c r="AR328" s="86">
        <v>43405</v>
      </c>
      <c r="AS328" s="86">
        <v>43405</v>
      </c>
      <c r="AT328" s="86">
        <v>43405</v>
      </c>
      <c r="AU328" s="86">
        <v>43405</v>
      </c>
      <c r="AV328" s="86">
        <v>43405</v>
      </c>
      <c r="AW328" s="86">
        <v>43405</v>
      </c>
    </row>
    <row r="329" spans="1:49" x14ac:dyDescent="0.2">
      <c r="A329" s="85" t="s">
        <v>1065</v>
      </c>
      <c r="B329" s="85" t="s">
        <v>1066</v>
      </c>
      <c r="C329" s="85" t="s">
        <v>1067</v>
      </c>
      <c r="D329" s="85" t="s">
        <v>668</v>
      </c>
      <c r="E329" s="85" t="s">
        <v>291</v>
      </c>
      <c r="F329" s="85" t="s">
        <v>144</v>
      </c>
      <c r="G329" s="85" t="s">
        <v>4</v>
      </c>
      <c r="H329" s="85" t="s">
        <v>6</v>
      </c>
      <c r="I329" s="86">
        <v>43434</v>
      </c>
      <c r="J329" s="86">
        <v>43206</v>
      </c>
      <c r="K329" s="86">
        <v>43211</v>
      </c>
      <c r="L329" s="85" t="s">
        <v>99</v>
      </c>
      <c r="M329" s="86">
        <v>42879</v>
      </c>
      <c r="N329" s="85" t="s">
        <v>107</v>
      </c>
      <c r="O329" s="86">
        <v>42878</v>
      </c>
      <c r="P329" s="86">
        <v>43235</v>
      </c>
      <c r="Q329" s="86">
        <v>43586</v>
      </c>
      <c r="R329" s="85" t="s">
        <v>1652</v>
      </c>
      <c r="S329" s="86">
        <v>43647</v>
      </c>
      <c r="T329" s="85" t="s">
        <v>1652</v>
      </c>
      <c r="U329" s="86">
        <v>43203</v>
      </c>
      <c r="V329" s="86">
        <v>43585</v>
      </c>
      <c r="W329" s="85" t="s">
        <v>1653</v>
      </c>
      <c r="X329" s="85" t="s">
        <v>114</v>
      </c>
      <c r="Y329" s="85">
        <v>1</v>
      </c>
      <c r="Z329" s="85" t="s">
        <v>114</v>
      </c>
      <c r="AA329" s="85"/>
      <c r="AB329" s="85" t="s">
        <v>114</v>
      </c>
      <c r="AC329" s="85" t="s">
        <v>114</v>
      </c>
      <c r="AD329" s="85" t="s">
        <v>114</v>
      </c>
      <c r="AE329" s="85"/>
      <c r="AF329" s="85"/>
      <c r="AG329" s="86">
        <v>43221</v>
      </c>
      <c r="AH329" s="85" t="s">
        <v>107</v>
      </c>
      <c r="AI329" s="86">
        <v>43178</v>
      </c>
      <c r="AJ329" s="86">
        <v>43178</v>
      </c>
      <c r="AK329" s="86">
        <v>42062</v>
      </c>
      <c r="AL329" s="85" t="s">
        <v>107</v>
      </c>
      <c r="AM329" s="85" t="s">
        <v>107</v>
      </c>
      <c r="AN329" s="86">
        <v>43375</v>
      </c>
      <c r="AO329" s="86">
        <v>43213</v>
      </c>
      <c r="AP329" s="86">
        <v>43364</v>
      </c>
      <c r="AQ329" s="86">
        <v>41937</v>
      </c>
      <c r="AR329" s="86">
        <v>43364</v>
      </c>
      <c r="AS329" s="86">
        <v>43364</v>
      </c>
      <c r="AT329" s="86">
        <v>43364</v>
      </c>
      <c r="AU329" s="86">
        <v>43364</v>
      </c>
      <c r="AV329" s="86">
        <v>43364</v>
      </c>
      <c r="AW329" s="86">
        <v>43364</v>
      </c>
    </row>
    <row r="330" spans="1:49" x14ac:dyDescent="0.2">
      <c r="A330" s="85" t="s">
        <v>1068</v>
      </c>
      <c r="B330" s="85" t="s">
        <v>1069</v>
      </c>
      <c r="C330" s="85" t="s">
        <v>1070</v>
      </c>
      <c r="D330" s="85" t="s">
        <v>690</v>
      </c>
      <c r="E330" s="85" t="s">
        <v>126</v>
      </c>
      <c r="F330" s="85" t="s">
        <v>106</v>
      </c>
      <c r="G330" s="85" t="s">
        <v>4</v>
      </c>
      <c r="H330" s="85" t="s">
        <v>12</v>
      </c>
      <c r="I330" s="85" t="s">
        <v>107</v>
      </c>
      <c r="J330" s="86">
        <v>43494</v>
      </c>
      <c r="K330" s="86">
        <v>42794</v>
      </c>
      <c r="L330" s="85" t="s">
        <v>107</v>
      </c>
      <c r="M330" s="85" t="s">
        <v>107</v>
      </c>
      <c r="N330" s="85" t="s">
        <v>107</v>
      </c>
      <c r="O330" s="85" t="s">
        <v>107</v>
      </c>
      <c r="P330" s="85" t="s">
        <v>107</v>
      </c>
      <c r="Q330" s="86">
        <v>43324</v>
      </c>
      <c r="R330" s="85" t="s">
        <v>107</v>
      </c>
      <c r="S330" s="85" t="s">
        <v>107</v>
      </c>
      <c r="T330" s="85" t="s">
        <v>107</v>
      </c>
      <c r="U330" s="85" t="s">
        <v>107</v>
      </c>
      <c r="V330" s="85" t="s">
        <v>107</v>
      </c>
      <c r="W330" s="85" t="s">
        <v>107</v>
      </c>
      <c r="X330" s="85" t="s">
        <v>107</v>
      </c>
      <c r="Y330" s="85" t="s">
        <v>107</v>
      </c>
      <c r="Z330" s="85" t="s">
        <v>107</v>
      </c>
      <c r="AA330" s="85" t="s">
        <v>107</v>
      </c>
      <c r="AB330" s="85" t="s">
        <v>107</v>
      </c>
      <c r="AC330" s="85" t="s">
        <v>107</v>
      </c>
      <c r="AD330" s="85" t="s">
        <v>107</v>
      </c>
      <c r="AE330" s="85" t="s">
        <v>107</v>
      </c>
      <c r="AF330" s="85" t="s">
        <v>107</v>
      </c>
      <c r="AG330" s="86">
        <v>43168</v>
      </c>
      <c r="AH330" s="85" t="s">
        <v>107</v>
      </c>
      <c r="AI330" s="85" t="s">
        <v>107</v>
      </c>
      <c r="AJ330" s="85" t="s">
        <v>107</v>
      </c>
      <c r="AK330" s="85" t="s">
        <v>107</v>
      </c>
      <c r="AL330" s="85" t="s">
        <v>107</v>
      </c>
      <c r="AM330" s="85" t="s">
        <v>107</v>
      </c>
      <c r="AN330" s="86">
        <v>43480</v>
      </c>
      <c r="AO330" s="86">
        <v>43207</v>
      </c>
      <c r="AP330" s="86">
        <v>43480</v>
      </c>
      <c r="AQ330" s="86">
        <v>41642</v>
      </c>
      <c r="AR330" s="86">
        <v>43480</v>
      </c>
      <c r="AS330" s="86">
        <v>43480</v>
      </c>
      <c r="AT330" s="86">
        <v>43480</v>
      </c>
      <c r="AU330" s="85" t="s">
        <v>107</v>
      </c>
      <c r="AV330" s="86">
        <v>43480</v>
      </c>
      <c r="AW330" s="86">
        <v>43480</v>
      </c>
    </row>
    <row r="331" spans="1:49" x14ac:dyDescent="0.2">
      <c r="A331" s="85" t="s">
        <v>1071</v>
      </c>
      <c r="B331" s="85" t="s">
        <v>1072</v>
      </c>
      <c r="C331" s="85" t="s">
        <v>1073</v>
      </c>
      <c r="D331" s="85" t="s">
        <v>1074</v>
      </c>
      <c r="E331" s="85" t="s">
        <v>112</v>
      </c>
      <c r="F331" s="85" t="s">
        <v>113</v>
      </c>
      <c r="G331" s="85" t="s">
        <v>4</v>
      </c>
      <c r="H331" s="85" t="s">
        <v>8</v>
      </c>
      <c r="I331" s="86">
        <v>43451</v>
      </c>
      <c r="J331" s="86">
        <v>43145</v>
      </c>
      <c r="K331" s="86">
        <v>43145</v>
      </c>
      <c r="L331" s="85" t="s">
        <v>99</v>
      </c>
      <c r="M331" s="86">
        <v>43175</v>
      </c>
      <c r="N331" s="85" t="s">
        <v>107</v>
      </c>
      <c r="O331" s="86">
        <v>43182</v>
      </c>
      <c r="P331" s="86">
        <v>43186</v>
      </c>
      <c r="Q331" s="86">
        <v>43509</v>
      </c>
      <c r="R331" s="85" t="s">
        <v>1652</v>
      </c>
      <c r="S331" s="86">
        <v>43770</v>
      </c>
      <c r="T331" s="85" t="s">
        <v>1652</v>
      </c>
      <c r="U331" s="86">
        <v>43401</v>
      </c>
      <c r="V331" s="86">
        <v>43585</v>
      </c>
      <c r="W331" s="85" t="s">
        <v>1655</v>
      </c>
      <c r="X331" s="85" t="s">
        <v>114</v>
      </c>
      <c r="Y331" s="85">
        <v>1</v>
      </c>
      <c r="Z331" s="85" t="s">
        <v>114</v>
      </c>
      <c r="AA331" s="85"/>
      <c r="AB331" s="85" t="s">
        <v>114</v>
      </c>
      <c r="AC331" s="85" t="s">
        <v>114</v>
      </c>
      <c r="AD331" s="85" t="s">
        <v>114</v>
      </c>
      <c r="AE331" s="85"/>
      <c r="AF331" s="85"/>
      <c r="AG331" s="86">
        <v>43143</v>
      </c>
      <c r="AH331" s="85" t="s">
        <v>107</v>
      </c>
      <c r="AI331" s="86">
        <v>42857</v>
      </c>
      <c r="AJ331" s="86">
        <v>43177</v>
      </c>
      <c r="AK331" s="86">
        <v>43145</v>
      </c>
      <c r="AL331" s="85" t="s">
        <v>107</v>
      </c>
      <c r="AM331" s="85" t="s">
        <v>107</v>
      </c>
      <c r="AN331" s="86">
        <v>43405</v>
      </c>
      <c r="AO331" s="86">
        <v>43207</v>
      </c>
      <c r="AP331" s="86">
        <v>43046</v>
      </c>
      <c r="AQ331" s="86">
        <v>42885</v>
      </c>
      <c r="AR331" s="86">
        <v>43172</v>
      </c>
      <c r="AS331" s="86">
        <v>43215</v>
      </c>
      <c r="AT331" s="86">
        <v>42885</v>
      </c>
      <c r="AU331" s="86">
        <v>43175</v>
      </c>
      <c r="AV331" s="86">
        <v>43175</v>
      </c>
      <c r="AW331" s="86">
        <v>43175</v>
      </c>
    </row>
    <row r="332" spans="1:49" x14ac:dyDescent="0.2">
      <c r="A332" s="85" t="s">
        <v>1075</v>
      </c>
      <c r="B332" s="85" t="s">
        <v>1076</v>
      </c>
      <c r="C332" s="85" t="s">
        <v>1077</v>
      </c>
      <c r="D332" s="85" t="s">
        <v>1078</v>
      </c>
      <c r="E332" s="85" t="s">
        <v>141</v>
      </c>
      <c r="F332" s="85" t="s">
        <v>113</v>
      </c>
      <c r="G332" s="85" t="s">
        <v>4</v>
      </c>
      <c r="H332" s="85" t="s">
        <v>12</v>
      </c>
      <c r="I332" s="86">
        <v>43368</v>
      </c>
      <c r="J332" s="86">
        <v>43501</v>
      </c>
      <c r="K332" s="86">
        <v>43053</v>
      </c>
      <c r="L332" s="85" t="s">
        <v>99</v>
      </c>
      <c r="M332" s="86">
        <v>43500</v>
      </c>
      <c r="N332" s="85" t="s">
        <v>107</v>
      </c>
      <c r="O332" s="86">
        <v>42799</v>
      </c>
      <c r="P332" s="86">
        <v>43227</v>
      </c>
      <c r="Q332" s="86">
        <v>43419</v>
      </c>
      <c r="R332" s="85" t="s">
        <v>1652</v>
      </c>
      <c r="S332" s="86">
        <v>43497</v>
      </c>
      <c r="T332" s="85" t="s">
        <v>1652</v>
      </c>
      <c r="U332" s="86">
        <v>43370</v>
      </c>
      <c r="V332" s="86">
        <v>43555</v>
      </c>
      <c r="W332" s="85" t="s">
        <v>1655</v>
      </c>
      <c r="X332" s="85" t="s">
        <v>114</v>
      </c>
      <c r="Y332" s="85">
        <v>1</v>
      </c>
      <c r="Z332" s="85" t="s">
        <v>211</v>
      </c>
      <c r="AA332" s="85"/>
      <c r="AB332" s="85" t="s">
        <v>114</v>
      </c>
      <c r="AC332" s="85" t="s">
        <v>114</v>
      </c>
      <c r="AD332" s="85" t="s">
        <v>211</v>
      </c>
      <c r="AE332" s="85" t="s">
        <v>1865</v>
      </c>
      <c r="AF332" s="86">
        <v>43542</v>
      </c>
      <c r="AG332" s="86">
        <v>43516</v>
      </c>
      <c r="AH332" s="85" t="s">
        <v>107</v>
      </c>
      <c r="AI332" s="86">
        <v>43035</v>
      </c>
      <c r="AJ332" s="86">
        <v>43219</v>
      </c>
      <c r="AK332" s="86">
        <v>42640</v>
      </c>
      <c r="AL332" s="85"/>
      <c r="AM332" s="85"/>
      <c r="AN332" s="86">
        <v>43516</v>
      </c>
      <c r="AO332" s="86">
        <v>43214</v>
      </c>
      <c r="AP332" s="86">
        <v>43516</v>
      </c>
      <c r="AQ332" s="86">
        <v>43119</v>
      </c>
      <c r="AR332" s="86">
        <v>43516</v>
      </c>
      <c r="AS332" s="86">
        <v>43516</v>
      </c>
      <c r="AT332" s="86">
        <v>43516</v>
      </c>
      <c r="AU332" s="86">
        <v>43516</v>
      </c>
      <c r="AV332" s="86">
        <v>43516</v>
      </c>
      <c r="AW332" s="86">
        <v>43516</v>
      </c>
    </row>
    <row r="333" spans="1:49" x14ac:dyDescent="0.2">
      <c r="A333" s="85" t="s">
        <v>1079</v>
      </c>
      <c r="B333" s="85" t="s">
        <v>1080</v>
      </c>
      <c r="C333" s="85" t="s">
        <v>1081</v>
      </c>
      <c r="D333" s="85" t="s">
        <v>379</v>
      </c>
      <c r="E333" s="85" t="s">
        <v>291</v>
      </c>
      <c r="F333" s="85" t="s">
        <v>100</v>
      </c>
      <c r="G333" s="85" t="s">
        <v>4</v>
      </c>
      <c r="H333" s="85" t="s">
        <v>5</v>
      </c>
      <c r="I333" s="86">
        <v>43500</v>
      </c>
      <c r="J333" s="86">
        <v>43185</v>
      </c>
      <c r="K333" s="86">
        <v>43185</v>
      </c>
      <c r="L333" s="85" t="s">
        <v>99</v>
      </c>
      <c r="M333" s="86">
        <v>43028</v>
      </c>
      <c r="N333" s="86">
        <v>43354</v>
      </c>
      <c r="O333" s="86">
        <v>43185</v>
      </c>
      <c r="P333" s="86">
        <v>43244</v>
      </c>
      <c r="Q333" s="86">
        <v>43550</v>
      </c>
      <c r="R333" s="85" t="s">
        <v>1652</v>
      </c>
      <c r="S333" s="86">
        <v>43800</v>
      </c>
      <c r="T333" s="85" t="s">
        <v>1652</v>
      </c>
      <c r="U333" s="85" t="s">
        <v>107</v>
      </c>
      <c r="V333" s="85" t="s">
        <v>107</v>
      </c>
      <c r="W333" s="85" t="s">
        <v>107</v>
      </c>
      <c r="X333" s="85" t="s">
        <v>107</v>
      </c>
      <c r="Y333" s="85" t="s">
        <v>107</v>
      </c>
      <c r="Z333" s="85" t="s">
        <v>107</v>
      </c>
      <c r="AA333" s="85" t="s">
        <v>107</v>
      </c>
      <c r="AB333" s="85" t="s">
        <v>107</v>
      </c>
      <c r="AC333" s="85" t="s">
        <v>107</v>
      </c>
      <c r="AD333" s="85" t="s">
        <v>107</v>
      </c>
      <c r="AE333" s="85" t="s">
        <v>107</v>
      </c>
      <c r="AF333" s="85" t="s">
        <v>107</v>
      </c>
      <c r="AG333" s="86">
        <v>43185</v>
      </c>
      <c r="AH333" s="85" t="s">
        <v>107</v>
      </c>
      <c r="AI333" s="85" t="s">
        <v>107</v>
      </c>
      <c r="AJ333" s="85" t="s">
        <v>107</v>
      </c>
      <c r="AK333" s="86">
        <v>43185</v>
      </c>
      <c r="AL333" s="85" t="s">
        <v>107</v>
      </c>
      <c r="AM333" s="85" t="s">
        <v>107</v>
      </c>
      <c r="AN333" s="86">
        <v>43542</v>
      </c>
      <c r="AO333" s="86">
        <v>43206</v>
      </c>
      <c r="AP333" s="86">
        <v>43542</v>
      </c>
      <c r="AQ333" s="86">
        <v>41937</v>
      </c>
      <c r="AR333" s="86">
        <v>43542</v>
      </c>
      <c r="AS333" s="86">
        <v>43542</v>
      </c>
      <c r="AT333" s="86">
        <v>43542</v>
      </c>
      <c r="AU333" s="86">
        <v>43542</v>
      </c>
      <c r="AV333" s="86">
        <v>43542</v>
      </c>
      <c r="AW333" s="86">
        <v>43542</v>
      </c>
    </row>
    <row r="334" spans="1:49" x14ac:dyDescent="0.2">
      <c r="A334" s="85" t="s">
        <v>1082</v>
      </c>
      <c r="B334" s="85" t="s">
        <v>1083</v>
      </c>
      <c r="C334" s="85" t="s">
        <v>1084</v>
      </c>
      <c r="D334" s="85" t="s">
        <v>1085</v>
      </c>
      <c r="E334" s="85"/>
      <c r="F334" s="85" t="s">
        <v>100</v>
      </c>
      <c r="G334" s="85" t="s">
        <v>4</v>
      </c>
      <c r="H334" s="85" t="s">
        <v>8</v>
      </c>
      <c r="I334" s="86">
        <v>43475</v>
      </c>
      <c r="J334" s="86">
        <v>43167</v>
      </c>
      <c r="K334" s="86">
        <v>43167</v>
      </c>
      <c r="L334" s="85" t="s">
        <v>99</v>
      </c>
      <c r="M334" s="86">
        <v>43368</v>
      </c>
      <c r="N334" s="86">
        <v>43369</v>
      </c>
      <c r="O334" s="86">
        <v>43167</v>
      </c>
      <c r="P334" s="86">
        <v>43172</v>
      </c>
      <c r="Q334" s="86">
        <v>43532</v>
      </c>
      <c r="R334" s="85" t="s">
        <v>1652</v>
      </c>
      <c r="S334" s="86">
        <v>44378</v>
      </c>
      <c r="T334" s="85" t="s">
        <v>1652</v>
      </c>
      <c r="U334" s="85" t="s">
        <v>107</v>
      </c>
      <c r="V334" s="85" t="s">
        <v>107</v>
      </c>
      <c r="W334" s="85" t="s">
        <v>107</v>
      </c>
      <c r="X334" s="85" t="s">
        <v>107</v>
      </c>
      <c r="Y334" s="85" t="s">
        <v>107</v>
      </c>
      <c r="Z334" s="85" t="s">
        <v>107</v>
      </c>
      <c r="AA334" s="85" t="s">
        <v>107</v>
      </c>
      <c r="AB334" s="85" t="s">
        <v>107</v>
      </c>
      <c r="AC334" s="85" t="s">
        <v>107</v>
      </c>
      <c r="AD334" s="85" t="s">
        <v>107</v>
      </c>
      <c r="AE334" s="85" t="s">
        <v>107</v>
      </c>
      <c r="AF334" s="85" t="s">
        <v>107</v>
      </c>
      <c r="AG334" s="86">
        <v>43167</v>
      </c>
      <c r="AH334" s="85" t="s">
        <v>107</v>
      </c>
      <c r="AI334" s="85" t="s">
        <v>107</v>
      </c>
      <c r="AJ334" s="85" t="s">
        <v>107</v>
      </c>
      <c r="AK334" s="86">
        <v>43167</v>
      </c>
      <c r="AL334" s="85" t="s">
        <v>107</v>
      </c>
      <c r="AM334" s="85" t="s">
        <v>107</v>
      </c>
      <c r="AN334" s="86">
        <v>43479</v>
      </c>
      <c r="AO334" s="86">
        <v>43209</v>
      </c>
      <c r="AP334" s="86">
        <v>43046</v>
      </c>
      <c r="AQ334" s="86">
        <v>42625</v>
      </c>
      <c r="AR334" s="86">
        <v>43172</v>
      </c>
      <c r="AS334" s="86">
        <v>43066</v>
      </c>
      <c r="AT334" s="86">
        <v>43172</v>
      </c>
      <c r="AU334" s="86">
        <v>43172</v>
      </c>
      <c r="AV334" s="86">
        <v>43172</v>
      </c>
      <c r="AW334" s="86">
        <v>43172</v>
      </c>
    </row>
    <row r="335" spans="1:49" x14ac:dyDescent="0.2">
      <c r="A335" s="85" t="s">
        <v>1086</v>
      </c>
      <c r="B335" s="85" t="s">
        <v>1087</v>
      </c>
      <c r="C335" s="85" t="s">
        <v>1088</v>
      </c>
      <c r="D335" s="85" t="s">
        <v>1089</v>
      </c>
      <c r="E335" s="85" t="s">
        <v>141</v>
      </c>
      <c r="F335" s="85" t="s">
        <v>144</v>
      </c>
      <c r="G335" s="85" t="s">
        <v>4</v>
      </c>
      <c r="H335" s="85" t="s">
        <v>7</v>
      </c>
      <c r="I335" s="86">
        <v>43408</v>
      </c>
      <c r="J335" s="86">
        <v>43504</v>
      </c>
      <c r="K335" s="86">
        <v>43504</v>
      </c>
      <c r="L335" s="85" t="s">
        <v>99</v>
      </c>
      <c r="M335" s="86">
        <v>42959</v>
      </c>
      <c r="N335" s="85" t="s">
        <v>107</v>
      </c>
      <c r="O335" s="86">
        <v>43164</v>
      </c>
      <c r="P335" s="86">
        <v>43244</v>
      </c>
      <c r="Q335" s="86">
        <v>43532</v>
      </c>
      <c r="R335" s="85" t="s">
        <v>1652</v>
      </c>
      <c r="S335" s="86">
        <v>43739</v>
      </c>
      <c r="T335" s="85" t="s">
        <v>1652</v>
      </c>
      <c r="U335" s="86">
        <v>43228</v>
      </c>
      <c r="V335" s="86">
        <v>43616</v>
      </c>
      <c r="W335" s="85" t="s">
        <v>1653</v>
      </c>
      <c r="X335" s="85" t="s">
        <v>114</v>
      </c>
      <c r="Y335" s="85">
        <v>1</v>
      </c>
      <c r="Z335" s="85" t="s">
        <v>114</v>
      </c>
      <c r="AA335" s="85"/>
      <c r="AB335" s="85" t="s">
        <v>114</v>
      </c>
      <c r="AC335" s="85" t="s">
        <v>114</v>
      </c>
      <c r="AD335" s="85" t="s">
        <v>114</v>
      </c>
      <c r="AE335" s="85"/>
      <c r="AF335" s="85"/>
      <c r="AG335" s="86">
        <v>43507</v>
      </c>
      <c r="AH335" s="85" t="s">
        <v>107</v>
      </c>
      <c r="AI335" s="86">
        <v>42522</v>
      </c>
      <c r="AJ335" s="86">
        <v>43411</v>
      </c>
      <c r="AK335" s="86">
        <v>43164</v>
      </c>
      <c r="AL335" s="85" t="s">
        <v>107</v>
      </c>
      <c r="AM335" s="85" t="s">
        <v>107</v>
      </c>
      <c r="AN335" s="86">
        <v>43403</v>
      </c>
      <c r="AO335" s="86">
        <v>43207</v>
      </c>
      <c r="AP335" s="86">
        <v>43047</v>
      </c>
      <c r="AQ335" s="86">
        <v>41798</v>
      </c>
      <c r="AR335" s="86">
        <v>43171</v>
      </c>
      <c r="AS335" s="86">
        <v>43171</v>
      </c>
      <c r="AT335" s="86">
        <v>43171</v>
      </c>
      <c r="AU335" s="86">
        <v>43125</v>
      </c>
      <c r="AV335" s="86">
        <v>43125</v>
      </c>
      <c r="AW335" s="86">
        <v>43125</v>
      </c>
    </row>
    <row r="336" spans="1:49" x14ac:dyDescent="0.2">
      <c r="A336" s="85" t="s">
        <v>1090</v>
      </c>
      <c r="B336" s="85" t="s">
        <v>1091</v>
      </c>
      <c r="C336" s="85" t="s">
        <v>1092</v>
      </c>
      <c r="D336" s="85" t="s">
        <v>652</v>
      </c>
      <c r="E336" s="85" t="s">
        <v>126</v>
      </c>
      <c r="F336" s="85" t="s">
        <v>127</v>
      </c>
      <c r="G336" s="85" t="s">
        <v>4</v>
      </c>
      <c r="H336" s="85" t="s">
        <v>16</v>
      </c>
      <c r="I336" s="86">
        <v>43472</v>
      </c>
      <c r="J336" s="86">
        <v>43231</v>
      </c>
      <c r="K336" s="86">
        <v>43193</v>
      </c>
      <c r="L336" s="85" t="s">
        <v>99</v>
      </c>
      <c r="M336" s="86">
        <v>42901</v>
      </c>
      <c r="N336" s="85" t="s">
        <v>107</v>
      </c>
      <c r="O336" s="86">
        <v>42583</v>
      </c>
      <c r="P336" s="86">
        <v>43377</v>
      </c>
      <c r="Q336" s="86">
        <v>43509</v>
      </c>
      <c r="R336" s="85" t="s">
        <v>1652</v>
      </c>
      <c r="S336" s="86">
        <v>43678</v>
      </c>
      <c r="T336" s="85" t="s">
        <v>1652</v>
      </c>
      <c r="U336" s="86">
        <v>43460</v>
      </c>
      <c r="V336" s="86">
        <v>43646</v>
      </c>
      <c r="W336" s="85" t="s">
        <v>1657</v>
      </c>
      <c r="X336" s="85" t="s">
        <v>114</v>
      </c>
      <c r="Y336" s="85">
        <v>1</v>
      </c>
      <c r="Z336" s="85" t="s">
        <v>114</v>
      </c>
      <c r="AA336" s="85"/>
      <c r="AB336" s="85" t="s">
        <v>114</v>
      </c>
      <c r="AC336" s="85" t="s">
        <v>114</v>
      </c>
      <c r="AD336" s="85" t="s">
        <v>114</v>
      </c>
      <c r="AE336" s="85"/>
      <c r="AF336" s="85"/>
      <c r="AG336" s="86">
        <v>43172</v>
      </c>
      <c r="AH336" s="85" t="s">
        <v>1999</v>
      </c>
      <c r="AI336" s="86">
        <v>42550</v>
      </c>
      <c r="AJ336" s="86">
        <v>43177</v>
      </c>
      <c r="AK336" s="86">
        <v>41395</v>
      </c>
      <c r="AL336" s="85" t="s">
        <v>107</v>
      </c>
      <c r="AM336" s="85" t="s">
        <v>107</v>
      </c>
      <c r="AN336" s="86">
        <v>43375</v>
      </c>
      <c r="AO336" s="86">
        <v>43213</v>
      </c>
      <c r="AP336" s="86">
        <v>43144</v>
      </c>
      <c r="AQ336" s="86">
        <v>42570</v>
      </c>
      <c r="AR336" s="86">
        <v>43144</v>
      </c>
      <c r="AS336" s="86">
        <v>43192</v>
      </c>
      <c r="AT336" s="86">
        <v>43144</v>
      </c>
      <c r="AU336" s="86">
        <v>43144</v>
      </c>
      <c r="AV336" s="86">
        <v>43144</v>
      </c>
      <c r="AW336" s="86">
        <v>43144</v>
      </c>
    </row>
    <row r="337" spans="1:49" x14ac:dyDescent="0.2">
      <c r="A337" s="85" t="s">
        <v>1093</v>
      </c>
      <c r="B337" s="85" t="s">
        <v>1094</v>
      </c>
      <c r="C337" s="85" t="s">
        <v>1095</v>
      </c>
      <c r="D337" s="85" t="s">
        <v>1096</v>
      </c>
      <c r="E337" s="85" t="s">
        <v>141</v>
      </c>
      <c r="F337" s="85" t="s">
        <v>1097</v>
      </c>
      <c r="G337" s="85" t="s">
        <v>4</v>
      </c>
      <c r="H337" s="85" t="s">
        <v>1670</v>
      </c>
      <c r="I337" s="86">
        <v>43451</v>
      </c>
      <c r="J337" s="86">
        <v>43453</v>
      </c>
      <c r="K337" s="86">
        <v>43453</v>
      </c>
      <c r="L337" s="85" t="s">
        <v>99</v>
      </c>
      <c r="M337" s="86">
        <v>42303</v>
      </c>
      <c r="N337" s="85" t="s">
        <v>107</v>
      </c>
      <c r="O337" s="86">
        <v>42353</v>
      </c>
      <c r="P337" s="86">
        <v>43131</v>
      </c>
      <c r="Q337" s="85" t="s">
        <v>59</v>
      </c>
      <c r="R337" s="85" t="s">
        <v>1652</v>
      </c>
      <c r="S337" s="86">
        <v>43525</v>
      </c>
      <c r="T337" s="85" t="s">
        <v>1652</v>
      </c>
      <c r="U337" s="86">
        <v>43207</v>
      </c>
      <c r="V337" s="86">
        <v>43585</v>
      </c>
      <c r="W337" s="85" t="s">
        <v>1653</v>
      </c>
      <c r="X337" s="85" t="s">
        <v>114</v>
      </c>
      <c r="Y337" s="85">
        <v>1</v>
      </c>
      <c r="Z337" s="85" t="s">
        <v>114</v>
      </c>
      <c r="AA337" s="85"/>
      <c r="AB337" s="85" t="s">
        <v>114</v>
      </c>
      <c r="AC337" s="85" t="s">
        <v>114</v>
      </c>
      <c r="AD337" s="85" t="s">
        <v>114</v>
      </c>
      <c r="AE337" s="85"/>
      <c r="AF337" s="85"/>
      <c r="AG337" s="85" t="s">
        <v>59</v>
      </c>
      <c r="AH337" s="85" t="s">
        <v>107</v>
      </c>
      <c r="AI337" s="86">
        <v>43377</v>
      </c>
      <c r="AJ337" s="86">
        <v>43377</v>
      </c>
      <c r="AK337" s="85"/>
      <c r="AL337" s="86">
        <v>37706</v>
      </c>
      <c r="AM337" s="86">
        <v>37706</v>
      </c>
      <c r="AN337" s="86">
        <v>43375</v>
      </c>
      <c r="AO337" s="86">
        <v>43229</v>
      </c>
      <c r="AP337" s="86">
        <v>43229</v>
      </c>
      <c r="AQ337" s="86">
        <v>43229</v>
      </c>
      <c r="AR337" s="86">
        <v>43229</v>
      </c>
      <c r="AS337" s="86">
        <v>43229</v>
      </c>
      <c r="AT337" s="86">
        <v>43229</v>
      </c>
      <c r="AU337" s="86">
        <v>43229</v>
      </c>
      <c r="AV337" s="86">
        <v>43229</v>
      </c>
      <c r="AW337" s="86">
        <v>43229</v>
      </c>
    </row>
    <row r="338" spans="1:49" x14ac:dyDescent="0.2">
      <c r="A338" s="85" t="s">
        <v>1098</v>
      </c>
      <c r="B338" s="85" t="s">
        <v>1099</v>
      </c>
      <c r="C338" s="85" t="s">
        <v>1100</v>
      </c>
      <c r="D338" s="85" t="s">
        <v>1101</v>
      </c>
      <c r="E338" s="85" t="s">
        <v>149</v>
      </c>
      <c r="F338" s="85" t="s">
        <v>122</v>
      </c>
      <c r="G338" s="85" t="s">
        <v>4</v>
      </c>
      <c r="H338" s="85" t="s">
        <v>5</v>
      </c>
      <c r="I338" s="86">
        <v>43451</v>
      </c>
      <c r="J338" s="86">
        <v>43506</v>
      </c>
      <c r="K338" s="86">
        <v>43510</v>
      </c>
      <c r="L338" s="85" t="s">
        <v>99</v>
      </c>
      <c r="M338" s="86">
        <v>42761</v>
      </c>
      <c r="N338" s="85" t="s">
        <v>107</v>
      </c>
      <c r="O338" s="86">
        <v>43137</v>
      </c>
      <c r="P338" s="86">
        <v>43392</v>
      </c>
      <c r="Q338" s="86">
        <v>43502</v>
      </c>
      <c r="R338" s="85" t="s">
        <v>1652</v>
      </c>
      <c r="S338" s="86">
        <v>43678</v>
      </c>
      <c r="T338" s="85" t="s">
        <v>1652</v>
      </c>
      <c r="U338" s="86">
        <v>43363</v>
      </c>
      <c r="V338" s="86">
        <v>43555</v>
      </c>
      <c r="W338" s="85" t="s">
        <v>1657</v>
      </c>
      <c r="X338" s="85" t="s">
        <v>114</v>
      </c>
      <c r="Y338" s="85">
        <v>1</v>
      </c>
      <c r="Z338" s="85" t="s">
        <v>114</v>
      </c>
      <c r="AA338" s="85"/>
      <c r="AB338" s="85" t="s">
        <v>114</v>
      </c>
      <c r="AC338" s="85" t="s">
        <v>114</v>
      </c>
      <c r="AD338" s="85" t="s">
        <v>114</v>
      </c>
      <c r="AE338" s="85"/>
      <c r="AF338" s="85"/>
      <c r="AG338" s="86">
        <v>43510</v>
      </c>
      <c r="AH338" s="85" t="s">
        <v>2000</v>
      </c>
      <c r="AI338" s="85"/>
      <c r="AJ338" s="86">
        <v>43431</v>
      </c>
      <c r="AK338" s="86">
        <v>43137</v>
      </c>
      <c r="AL338" s="85" t="s">
        <v>107</v>
      </c>
      <c r="AM338" s="85" t="s">
        <v>107</v>
      </c>
      <c r="AN338" s="86">
        <v>43467</v>
      </c>
      <c r="AO338" s="86">
        <v>43467</v>
      </c>
      <c r="AP338" s="86">
        <v>43467</v>
      </c>
      <c r="AQ338" s="86">
        <v>43467</v>
      </c>
      <c r="AR338" s="86">
        <v>43467</v>
      </c>
      <c r="AS338" s="86">
        <v>43467</v>
      </c>
      <c r="AT338" s="86">
        <v>43467</v>
      </c>
      <c r="AU338" s="86">
        <v>43467</v>
      </c>
      <c r="AV338" s="86">
        <v>43467</v>
      </c>
      <c r="AW338" s="86">
        <v>43467</v>
      </c>
    </row>
    <row r="339" spans="1:49" x14ac:dyDescent="0.2">
      <c r="A339" s="85" t="s">
        <v>1731</v>
      </c>
      <c r="B339" s="85" t="s">
        <v>1732</v>
      </c>
      <c r="C339" s="85" t="s">
        <v>1733</v>
      </c>
      <c r="D339" s="85" t="s">
        <v>463</v>
      </c>
      <c r="E339" s="85" t="s">
        <v>119</v>
      </c>
      <c r="F339" s="85" t="s">
        <v>106</v>
      </c>
      <c r="G339" s="85" t="s">
        <v>4</v>
      </c>
      <c r="H339" s="85" t="s">
        <v>7</v>
      </c>
      <c r="I339" s="85" t="s">
        <v>107</v>
      </c>
      <c r="J339" s="86">
        <v>43411</v>
      </c>
      <c r="K339" s="86">
        <v>43482</v>
      </c>
      <c r="L339" s="85" t="s">
        <v>107</v>
      </c>
      <c r="M339" s="85" t="s">
        <v>107</v>
      </c>
      <c r="N339" s="85" t="s">
        <v>107</v>
      </c>
      <c r="O339" s="85" t="s">
        <v>107</v>
      </c>
      <c r="P339" s="85" t="s">
        <v>107</v>
      </c>
      <c r="Q339" s="85" t="s">
        <v>59</v>
      </c>
      <c r="R339" s="85" t="s">
        <v>107</v>
      </c>
      <c r="S339" s="85" t="s">
        <v>107</v>
      </c>
      <c r="T339" s="85" t="s">
        <v>107</v>
      </c>
      <c r="U339" s="85" t="s">
        <v>107</v>
      </c>
      <c r="V339" s="85" t="s">
        <v>107</v>
      </c>
      <c r="W339" s="85" t="s">
        <v>107</v>
      </c>
      <c r="X339" s="85" t="s">
        <v>107</v>
      </c>
      <c r="Y339" s="85" t="s">
        <v>107</v>
      </c>
      <c r="Z339" s="85" t="s">
        <v>107</v>
      </c>
      <c r="AA339" s="85" t="s">
        <v>107</v>
      </c>
      <c r="AB339" s="85" t="s">
        <v>107</v>
      </c>
      <c r="AC339" s="85" t="s">
        <v>107</v>
      </c>
      <c r="AD339" s="85" t="s">
        <v>107</v>
      </c>
      <c r="AE339" s="85" t="s">
        <v>107</v>
      </c>
      <c r="AF339" s="85" t="s">
        <v>107</v>
      </c>
      <c r="AG339" s="85" t="s">
        <v>59</v>
      </c>
      <c r="AH339" s="85" t="s">
        <v>107</v>
      </c>
      <c r="AI339" s="85" t="s">
        <v>107</v>
      </c>
      <c r="AJ339" s="85" t="s">
        <v>107</v>
      </c>
      <c r="AK339" s="85" t="s">
        <v>107</v>
      </c>
      <c r="AL339" s="85" t="s">
        <v>107</v>
      </c>
      <c r="AM339" s="85" t="s">
        <v>107</v>
      </c>
      <c r="AN339" s="86">
        <v>43385</v>
      </c>
      <c r="AO339" s="86">
        <v>43385</v>
      </c>
      <c r="AP339" s="86">
        <v>43385</v>
      </c>
      <c r="AQ339" s="86">
        <v>43385</v>
      </c>
      <c r="AR339" s="86">
        <v>43385</v>
      </c>
      <c r="AS339" s="86">
        <v>43385</v>
      </c>
      <c r="AT339" s="86">
        <v>43385</v>
      </c>
      <c r="AU339" s="86" t="s">
        <v>107</v>
      </c>
      <c r="AV339" s="86">
        <v>43385</v>
      </c>
      <c r="AW339" s="86">
        <v>43385</v>
      </c>
    </row>
    <row r="340" spans="1:49" x14ac:dyDescent="0.2">
      <c r="A340" s="85" t="s">
        <v>1809</v>
      </c>
      <c r="B340" s="85" t="s">
        <v>1810</v>
      </c>
      <c r="C340" s="85" t="s">
        <v>1104</v>
      </c>
      <c r="D340" s="85" t="s">
        <v>1811</v>
      </c>
      <c r="E340" s="85" t="s">
        <v>231</v>
      </c>
      <c r="F340" s="85" t="s">
        <v>122</v>
      </c>
      <c r="G340" s="85" t="s">
        <v>4</v>
      </c>
      <c r="H340" s="85" t="s">
        <v>8</v>
      </c>
      <c r="I340" s="86">
        <v>43379</v>
      </c>
      <c r="J340" s="85" t="s">
        <v>59</v>
      </c>
      <c r="K340" s="85" t="s">
        <v>59</v>
      </c>
      <c r="L340" s="85" t="s">
        <v>59</v>
      </c>
      <c r="M340" s="85" t="s">
        <v>59</v>
      </c>
      <c r="N340" s="85" t="s">
        <v>107</v>
      </c>
      <c r="O340" s="85" t="s">
        <v>59</v>
      </c>
      <c r="P340" s="85" t="s">
        <v>59</v>
      </c>
      <c r="Q340" s="86">
        <v>43799</v>
      </c>
      <c r="R340" s="85" t="s">
        <v>1658</v>
      </c>
      <c r="S340" s="86">
        <v>45108</v>
      </c>
      <c r="T340" s="85" t="s">
        <v>1658</v>
      </c>
      <c r="U340" s="86">
        <v>43252</v>
      </c>
      <c r="V340" s="86">
        <v>43646</v>
      </c>
      <c r="W340" s="85" t="s">
        <v>1653</v>
      </c>
      <c r="X340" s="85" t="s">
        <v>119</v>
      </c>
      <c r="Y340" s="85">
        <v>4</v>
      </c>
      <c r="Z340" s="85" t="s">
        <v>114</v>
      </c>
      <c r="AA340" s="85"/>
      <c r="AB340" s="85" t="s">
        <v>211</v>
      </c>
      <c r="AC340" s="85" t="s">
        <v>114</v>
      </c>
      <c r="AD340" s="85" t="s">
        <v>119</v>
      </c>
      <c r="AE340" s="85" t="s">
        <v>2001</v>
      </c>
      <c r="AF340" s="85"/>
      <c r="AG340" s="85" t="s">
        <v>59</v>
      </c>
      <c r="AH340" s="85" t="s">
        <v>107</v>
      </c>
      <c r="AI340" s="85" t="s">
        <v>59</v>
      </c>
      <c r="AJ340" s="85" t="s">
        <v>59</v>
      </c>
      <c r="AK340" s="85" t="s">
        <v>59</v>
      </c>
      <c r="AL340" s="85" t="s">
        <v>107</v>
      </c>
      <c r="AM340" s="85" t="s">
        <v>107</v>
      </c>
      <c r="AN340" s="86">
        <v>43433</v>
      </c>
      <c r="AO340" s="86">
        <v>43433</v>
      </c>
      <c r="AP340" s="86">
        <v>43433</v>
      </c>
      <c r="AQ340" s="86">
        <v>43433</v>
      </c>
      <c r="AR340" s="86">
        <v>43433</v>
      </c>
      <c r="AS340" s="86">
        <v>43433</v>
      </c>
      <c r="AT340" s="86">
        <v>43433</v>
      </c>
      <c r="AU340" s="86">
        <v>43433</v>
      </c>
      <c r="AV340" s="86">
        <v>43433</v>
      </c>
      <c r="AW340" s="86">
        <v>43433</v>
      </c>
    </row>
    <row r="341" spans="1:49" x14ac:dyDescent="0.2">
      <c r="A341" s="85" t="s">
        <v>1102</v>
      </c>
      <c r="B341" s="85" t="s">
        <v>1103</v>
      </c>
      <c r="C341" s="85" t="s">
        <v>1104</v>
      </c>
      <c r="D341" s="85" t="s">
        <v>1105</v>
      </c>
      <c r="E341" s="85" t="s">
        <v>105</v>
      </c>
      <c r="F341" s="85" t="s">
        <v>113</v>
      </c>
      <c r="G341" s="85" t="s">
        <v>4</v>
      </c>
      <c r="H341" s="85" t="s">
        <v>7</v>
      </c>
      <c r="I341" s="86">
        <v>43463</v>
      </c>
      <c r="J341" s="86">
        <v>43167</v>
      </c>
      <c r="K341" s="86">
        <v>43167</v>
      </c>
      <c r="L341" s="85" t="s">
        <v>99</v>
      </c>
      <c r="M341" s="86">
        <v>42564</v>
      </c>
      <c r="N341" s="85" t="s">
        <v>107</v>
      </c>
      <c r="O341" s="86">
        <v>43167</v>
      </c>
      <c r="P341" s="86">
        <v>43255</v>
      </c>
      <c r="Q341" s="86">
        <v>43532</v>
      </c>
      <c r="R341" s="85" t="s">
        <v>1652</v>
      </c>
      <c r="S341" s="86">
        <v>43374</v>
      </c>
      <c r="T341" s="85" t="s">
        <v>1652</v>
      </c>
      <c r="U341" s="86">
        <v>43418</v>
      </c>
      <c r="V341" s="86">
        <v>43799</v>
      </c>
      <c r="W341" s="85" t="s">
        <v>1653</v>
      </c>
      <c r="X341" s="85" t="s">
        <v>114</v>
      </c>
      <c r="Y341" s="85">
        <v>1</v>
      </c>
      <c r="Z341" s="85" t="s">
        <v>114</v>
      </c>
      <c r="AA341" s="85"/>
      <c r="AB341" s="85" t="s">
        <v>114</v>
      </c>
      <c r="AC341" s="85" t="s">
        <v>114</v>
      </c>
      <c r="AD341" s="85" t="s">
        <v>114</v>
      </c>
      <c r="AE341" s="85"/>
      <c r="AF341" s="85"/>
      <c r="AG341" s="86">
        <v>43167</v>
      </c>
      <c r="AH341" s="85" t="s">
        <v>107</v>
      </c>
      <c r="AI341" s="86">
        <v>42674</v>
      </c>
      <c r="AJ341" s="86">
        <v>43411</v>
      </c>
      <c r="AK341" s="86">
        <v>43167</v>
      </c>
      <c r="AL341" s="85" t="s">
        <v>107</v>
      </c>
      <c r="AM341" s="85" t="s">
        <v>107</v>
      </c>
      <c r="AN341" s="86">
        <v>43403</v>
      </c>
      <c r="AO341" s="86">
        <v>43207</v>
      </c>
      <c r="AP341" s="86">
        <v>43155</v>
      </c>
      <c r="AQ341" s="86">
        <v>43258</v>
      </c>
      <c r="AR341" s="86">
        <v>43258</v>
      </c>
      <c r="AS341" s="86">
        <v>43258</v>
      </c>
      <c r="AT341" s="86">
        <v>43258</v>
      </c>
      <c r="AU341" s="86">
        <v>43258</v>
      </c>
      <c r="AV341" s="86">
        <v>43258</v>
      </c>
      <c r="AW341" s="86">
        <v>43258</v>
      </c>
    </row>
    <row r="342" spans="1:49" x14ac:dyDescent="0.2">
      <c r="A342" s="85" t="s">
        <v>1106</v>
      </c>
      <c r="B342" s="85" t="s">
        <v>1107</v>
      </c>
      <c r="C342" s="85" t="s">
        <v>1104</v>
      </c>
      <c r="D342" s="85" t="s">
        <v>142</v>
      </c>
      <c r="E342" s="85" t="s">
        <v>141</v>
      </c>
      <c r="F342" s="85" t="s">
        <v>245</v>
      </c>
      <c r="G342" s="85" t="s">
        <v>4</v>
      </c>
      <c r="H342" s="85" t="s">
        <v>7</v>
      </c>
      <c r="I342" s="86">
        <v>43463</v>
      </c>
      <c r="J342" s="86">
        <v>43504</v>
      </c>
      <c r="K342" s="86">
        <v>43254</v>
      </c>
      <c r="L342" s="85" t="s">
        <v>99</v>
      </c>
      <c r="M342" s="86">
        <v>43126</v>
      </c>
      <c r="N342" s="85" t="s">
        <v>107</v>
      </c>
      <c r="O342" s="86">
        <v>43271</v>
      </c>
      <c r="P342" s="86">
        <v>43333</v>
      </c>
      <c r="Q342" s="86">
        <v>43633</v>
      </c>
      <c r="R342" s="85" t="s">
        <v>1652</v>
      </c>
      <c r="S342" s="86">
        <v>43800</v>
      </c>
      <c r="T342" s="85" t="s">
        <v>1652</v>
      </c>
      <c r="U342" s="86">
        <v>43487</v>
      </c>
      <c r="V342" s="86">
        <v>43677</v>
      </c>
      <c r="W342" s="85" t="s">
        <v>1655</v>
      </c>
      <c r="X342" s="85" t="s">
        <v>114</v>
      </c>
      <c r="Y342" s="85">
        <v>2</v>
      </c>
      <c r="Z342" s="85" t="s">
        <v>114</v>
      </c>
      <c r="AA342" s="85"/>
      <c r="AB342" s="85" t="s">
        <v>114</v>
      </c>
      <c r="AC342" s="85" t="s">
        <v>114</v>
      </c>
      <c r="AD342" s="85" t="s">
        <v>114</v>
      </c>
      <c r="AE342" s="85"/>
      <c r="AF342" s="85"/>
      <c r="AG342" s="86">
        <v>43268</v>
      </c>
      <c r="AH342" s="85" t="s">
        <v>107</v>
      </c>
      <c r="AI342" s="86">
        <v>43282</v>
      </c>
      <c r="AJ342" s="86">
        <v>43411</v>
      </c>
      <c r="AK342" s="86">
        <v>43132</v>
      </c>
      <c r="AL342" s="85" t="s">
        <v>107</v>
      </c>
      <c r="AM342" s="85" t="s">
        <v>107</v>
      </c>
      <c r="AN342" s="86">
        <v>43403</v>
      </c>
      <c r="AO342" s="86">
        <v>43271</v>
      </c>
      <c r="AP342" s="86">
        <v>43271</v>
      </c>
      <c r="AQ342" s="86">
        <v>43271</v>
      </c>
      <c r="AR342" s="86">
        <v>43271</v>
      </c>
      <c r="AS342" s="86">
        <v>43271</v>
      </c>
      <c r="AT342" s="86">
        <v>43271</v>
      </c>
      <c r="AU342" s="86">
        <v>43271</v>
      </c>
      <c r="AV342" s="86">
        <v>43271</v>
      </c>
      <c r="AW342" s="86">
        <v>43271</v>
      </c>
    </row>
    <row r="343" spans="1:49" x14ac:dyDescent="0.2">
      <c r="A343" s="85" t="s">
        <v>1108</v>
      </c>
      <c r="B343" s="85" t="s">
        <v>1109</v>
      </c>
      <c r="C343" s="85" t="s">
        <v>1110</v>
      </c>
      <c r="D343" s="85" t="s">
        <v>1111</v>
      </c>
      <c r="E343" s="85" t="s">
        <v>201</v>
      </c>
      <c r="F343" s="85" t="s">
        <v>113</v>
      </c>
      <c r="G343" s="85" t="s">
        <v>4</v>
      </c>
      <c r="H343" s="85" t="s">
        <v>5</v>
      </c>
      <c r="I343" s="86">
        <v>43482</v>
      </c>
      <c r="J343" s="86">
        <v>43167</v>
      </c>
      <c r="K343" s="86">
        <v>43167</v>
      </c>
      <c r="L343" s="85" t="s">
        <v>99</v>
      </c>
      <c r="M343" s="86">
        <v>43276</v>
      </c>
      <c r="N343" s="85" t="s">
        <v>107</v>
      </c>
      <c r="O343" s="86">
        <v>43167</v>
      </c>
      <c r="P343" s="86">
        <v>43271</v>
      </c>
      <c r="Q343" s="86">
        <v>43532</v>
      </c>
      <c r="R343" s="85" t="s">
        <v>1658</v>
      </c>
      <c r="S343" s="86">
        <v>43983</v>
      </c>
      <c r="T343" s="85" t="s">
        <v>1652</v>
      </c>
      <c r="U343" s="86">
        <v>43298</v>
      </c>
      <c r="V343" s="86">
        <v>43491</v>
      </c>
      <c r="W343" s="85" t="s">
        <v>1662</v>
      </c>
      <c r="X343" s="85" t="s">
        <v>114</v>
      </c>
      <c r="Y343" s="85">
        <v>1</v>
      </c>
      <c r="Z343" s="85" t="s">
        <v>114</v>
      </c>
      <c r="AA343" s="85"/>
      <c r="AB343" s="85" t="s">
        <v>114</v>
      </c>
      <c r="AC343" s="85" t="s">
        <v>114</v>
      </c>
      <c r="AD343" s="85" t="s">
        <v>114</v>
      </c>
      <c r="AE343" s="85"/>
      <c r="AF343" s="85"/>
      <c r="AG343" s="86">
        <v>43515</v>
      </c>
      <c r="AH343" s="85" t="s">
        <v>107</v>
      </c>
      <c r="AI343" s="85"/>
      <c r="AJ343" s="85"/>
      <c r="AK343" s="86">
        <v>43167</v>
      </c>
      <c r="AL343" s="85" t="s">
        <v>107</v>
      </c>
      <c r="AM343" s="85" t="s">
        <v>107</v>
      </c>
      <c r="AN343" s="86">
        <v>43511</v>
      </c>
      <c r="AO343" s="86">
        <v>43273</v>
      </c>
      <c r="AP343" s="86">
        <v>43511</v>
      </c>
      <c r="AQ343" s="86">
        <v>43122</v>
      </c>
      <c r="AR343" s="86">
        <v>43511</v>
      </c>
      <c r="AS343" s="86">
        <v>43511</v>
      </c>
      <c r="AT343" s="86">
        <v>43511</v>
      </c>
      <c r="AU343" s="86">
        <v>43511</v>
      </c>
      <c r="AV343" s="86">
        <v>43511</v>
      </c>
      <c r="AW343" s="86">
        <v>43511</v>
      </c>
    </row>
    <row r="344" spans="1:49" x14ac:dyDescent="0.2">
      <c r="A344" s="85" t="s">
        <v>1784</v>
      </c>
      <c r="B344" s="85" t="s">
        <v>1785</v>
      </c>
      <c r="C344" s="85" t="s">
        <v>1110</v>
      </c>
      <c r="D344" s="85" t="s">
        <v>990</v>
      </c>
      <c r="E344" s="85" t="s">
        <v>141</v>
      </c>
      <c r="F344" s="85" t="s">
        <v>106</v>
      </c>
      <c r="G344" s="85" t="s">
        <v>4</v>
      </c>
      <c r="H344" s="85" t="s">
        <v>5</v>
      </c>
      <c r="I344" s="85" t="s">
        <v>107</v>
      </c>
      <c r="J344" s="85" t="s">
        <v>59</v>
      </c>
      <c r="K344" s="85" t="s">
        <v>59</v>
      </c>
      <c r="L344" s="85" t="s">
        <v>107</v>
      </c>
      <c r="M344" s="85" t="s">
        <v>107</v>
      </c>
      <c r="N344" s="85" t="s">
        <v>107</v>
      </c>
      <c r="O344" s="85" t="s">
        <v>107</v>
      </c>
      <c r="P344" s="85" t="s">
        <v>107</v>
      </c>
      <c r="Q344" s="85" t="s">
        <v>59</v>
      </c>
      <c r="R344" s="85" t="s">
        <v>107</v>
      </c>
      <c r="S344" s="85" t="s">
        <v>107</v>
      </c>
      <c r="T344" s="85" t="s">
        <v>107</v>
      </c>
      <c r="U344" s="85" t="s">
        <v>107</v>
      </c>
      <c r="V344" s="85" t="s">
        <v>107</v>
      </c>
      <c r="W344" s="85" t="s">
        <v>107</v>
      </c>
      <c r="X344" s="85" t="s">
        <v>107</v>
      </c>
      <c r="Y344" s="85" t="s">
        <v>107</v>
      </c>
      <c r="Z344" s="85" t="s">
        <v>107</v>
      </c>
      <c r="AA344" s="85" t="s">
        <v>107</v>
      </c>
      <c r="AB344" s="85" t="s">
        <v>107</v>
      </c>
      <c r="AC344" s="85" t="s">
        <v>107</v>
      </c>
      <c r="AD344" s="85" t="s">
        <v>107</v>
      </c>
      <c r="AE344" s="85" t="s">
        <v>107</v>
      </c>
      <c r="AF344" s="85" t="s">
        <v>107</v>
      </c>
      <c r="AG344" s="85" t="s">
        <v>59</v>
      </c>
      <c r="AH344" s="85" t="s">
        <v>2002</v>
      </c>
      <c r="AI344" s="85" t="s">
        <v>107</v>
      </c>
      <c r="AJ344" s="85" t="s">
        <v>107</v>
      </c>
      <c r="AK344" s="85" t="s">
        <v>107</v>
      </c>
      <c r="AL344" s="85" t="s">
        <v>107</v>
      </c>
      <c r="AM344" s="85" t="s">
        <v>107</v>
      </c>
      <c r="AN344" s="86">
        <v>43452</v>
      </c>
      <c r="AO344" s="86">
        <v>43452</v>
      </c>
      <c r="AP344" s="86">
        <v>43452</v>
      </c>
      <c r="AQ344" s="86">
        <v>43452</v>
      </c>
      <c r="AR344" s="86">
        <v>43452</v>
      </c>
      <c r="AS344" s="86">
        <v>43452</v>
      </c>
      <c r="AT344" s="86">
        <v>43452</v>
      </c>
      <c r="AU344" s="86" t="s">
        <v>107</v>
      </c>
      <c r="AV344" s="86">
        <v>43452</v>
      </c>
      <c r="AW344" s="86">
        <v>43452</v>
      </c>
    </row>
    <row r="345" spans="1:49" x14ac:dyDescent="0.2">
      <c r="A345" s="85" t="s">
        <v>1112</v>
      </c>
      <c r="B345" s="85" t="s">
        <v>1113</v>
      </c>
      <c r="C345" s="85" t="s">
        <v>1114</v>
      </c>
      <c r="D345" s="85" t="s">
        <v>882</v>
      </c>
      <c r="E345" s="85" t="s">
        <v>149</v>
      </c>
      <c r="F345" s="85" t="s">
        <v>113</v>
      </c>
      <c r="G345" s="85" t="s">
        <v>4</v>
      </c>
      <c r="H345" s="85" t="s">
        <v>5</v>
      </c>
      <c r="I345" s="86">
        <v>43473</v>
      </c>
      <c r="J345" s="86">
        <v>43199</v>
      </c>
      <c r="K345" s="86">
        <v>43153</v>
      </c>
      <c r="L345" s="85" t="s">
        <v>99</v>
      </c>
      <c r="M345" s="86">
        <v>43318</v>
      </c>
      <c r="N345" s="85" t="s">
        <v>107</v>
      </c>
      <c r="O345" s="86">
        <v>43318</v>
      </c>
      <c r="P345" s="86">
        <v>43256</v>
      </c>
      <c r="Q345" s="86">
        <v>43690</v>
      </c>
      <c r="R345" s="85" t="s">
        <v>1652</v>
      </c>
      <c r="S345" s="85" t="s">
        <v>59</v>
      </c>
      <c r="T345" s="85" t="s">
        <v>59</v>
      </c>
      <c r="U345" s="86">
        <v>43392</v>
      </c>
      <c r="V345" s="86">
        <v>43585</v>
      </c>
      <c r="W345" s="85" t="s">
        <v>1657</v>
      </c>
      <c r="X345" s="85" t="s">
        <v>114</v>
      </c>
      <c r="Y345" s="85">
        <v>1</v>
      </c>
      <c r="Z345" s="85" t="s">
        <v>114</v>
      </c>
      <c r="AA345" s="85"/>
      <c r="AB345" s="85" t="s">
        <v>114</v>
      </c>
      <c r="AC345" s="85" t="s">
        <v>114</v>
      </c>
      <c r="AD345" s="85" t="s">
        <v>114</v>
      </c>
      <c r="AE345" s="85"/>
      <c r="AF345" s="85"/>
      <c r="AG345" s="85" t="s">
        <v>59</v>
      </c>
      <c r="AH345" s="85" t="s">
        <v>107</v>
      </c>
      <c r="AI345" s="85"/>
      <c r="AJ345" s="85"/>
      <c r="AK345" s="85"/>
      <c r="AL345" s="85" t="s">
        <v>107</v>
      </c>
      <c r="AM345" s="85" t="s">
        <v>107</v>
      </c>
      <c r="AN345" s="85"/>
      <c r="AO345" s="85"/>
      <c r="AP345" s="85"/>
      <c r="AQ345" s="85"/>
      <c r="AR345" s="85"/>
      <c r="AS345" s="85"/>
      <c r="AT345" s="85"/>
      <c r="AU345" s="85"/>
      <c r="AV345" s="85"/>
      <c r="AW345" s="85"/>
    </row>
    <row r="346" spans="1:49" x14ac:dyDescent="0.2">
      <c r="A346" s="85" t="s">
        <v>1115</v>
      </c>
      <c r="B346" s="85" t="s">
        <v>1116</v>
      </c>
      <c r="C346" s="85" t="s">
        <v>1117</v>
      </c>
      <c r="D346" s="85" t="s">
        <v>429</v>
      </c>
      <c r="E346" s="85" t="s">
        <v>291</v>
      </c>
      <c r="F346" s="85" t="s">
        <v>106</v>
      </c>
      <c r="G346" s="85" t="s">
        <v>4</v>
      </c>
      <c r="H346" s="85" t="s">
        <v>7</v>
      </c>
      <c r="I346" s="85" t="s">
        <v>107</v>
      </c>
      <c r="J346" s="86">
        <v>43220</v>
      </c>
      <c r="K346" s="86">
        <v>43254</v>
      </c>
      <c r="L346" s="85" t="s">
        <v>107</v>
      </c>
      <c r="M346" s="85" t="s">
        <v>107</v>
      </c>
      <c r="N346" s="85" t="s">
        <v>107</v>
      </c>
      <c r="O346" s="85" t="s">
        <v>107</v>
      </c>
      <c r="P346" s="85" t="s">
        <v>107</v>
      </c>
      <c r="Q346" s="86">
        <v>43218</v>
      </c>
      <c r="R346" s="85" t="s">
        <v>107</v>
      </c>
      <c r="S346" s="85" t="s">
        <v>107</v>
      </c>
      <c r="T346" s="85" t="s">
        <v>107</v>
      </c>
      <c r="U346" s="85" t="s">
        <v>107</v>
      </c>
      <c r="V346" s="85" t="s">
        <v>107</v>
      </c>
      <c r="W346" s="85" t="s">
        <v>107</v>
      </c>
      <c r="X346" s="85" t="s">
        <v>107</v>
      </c>
      <c r="Y346" s="85" t="s">
        <v>107</v>
      </c>
      <c r="Z346" s="85" t="s">
        <v>107</v>
      </c>
      <c r="AA346" s="85" t="s">
        <v>107</v>
      </c>
      <c r="AB346" s="85" t="s">
        <v>107</v>
      </c>
      <c r="AC346" s="85" t="s">
        <v>107</v>
      </c>
      <c r="AD346" s="85" t="s">
        <v>107</v>
      </c>
      <c r="AE346" s="85" t="s">
        <v>107</v>
      </c>
      <c r="AF346" s="85" t="s">
        <v>107</v>
      </c>
      <c r="AG346" s="86">
        <v>43174</v>
      </c>
      <c r="AH346" s="85" t="s">
        <v>107</v>
      </c>
      <c r="AI346" s="85" t="s">
        <v>107</v>
      </c>
      <c r="AJ346" s="85" t="s">
        <v>107</v>
      </c>
      <c r="AK346" s="85" t="s">
        <v>107</v>
      </c>
      <c r="AL346" s="85" t="s">
        <v>107</v>
      </c>
      <c r="AM346" s="85" t="s">
        <v>107</v>
      </c>
      <c r="AN346" s="86">
        <v>43398</v>
      </c>
      <c r="AO346" s="86">
        <v>43215</v>
      </c>
      <c r="AP346" s="86">
        <v>43202</v>
      </c>
      <c r="AQ346" s="86">
        <v>43202</v>
      </c>
      <c r="AR346" s="86">
        <v>43202</v>
      </c>
      <c r="AS346" s="86">
        <v>43229</v>
      </c>
      <c r="AT346" s="86">
        <v>43202</v>
      </c>
      <c r="AU346" s="85" t="s">
        <v>107</v>
      </c>
      <c r="AV346" s="86">
        <v>43202</v>
      </c>
      <c r="AW346" s="86">
        <v>43202</v>
      </c>
    </row>
    <row r="347" spans="1:49" x14ac:dyDescent="0.2">
      <c r="A347" s="85" t="s">
        <v>1118</v>
      </c>
      <c r="B347" s="85" t="s">
        <v>1119</v>
      </c>
      <c r="C347" s="85" t="s">
        <v>1120</v>
      </c>
      <c r="D347" s="85" t="s">
        <v>1121</v>
      </c>
      <c r="E347" s="85" t="s">
        <v>158</v>
      </c>
      <c r="F347" s="85" t="s">
        <v>106</v>
      </c>
      <c r="G347" s="85" t="s">
        <v>4</v>
      </c>
      <c r="H347" s="85" t="s">
        <v>12</v>
      </c>
      <c r="I347" s="85" t="s">
        <v>107</v>
      </c>
      <c r="J347" s="86">
        <v>43489</v>
      </c>
      <c r="K347" s="86">
        <v>43125</v>
      </c>
      <c r="L347" s="85" t="s">
        <v>107</v>
      </c>
      <c r="M347" s="85" t="s">
        <v>107</v>
      </c>
      <c r="N347" s="85" t="s">
        <v>107</v>
      </c>
      <c r="O347" s="85" t="s">
        <v>107</v>
      </c>
      <c r="P347" s="85" t="s">
        <v>107</v>
      </c>
      <c r="Q347" s="86">
        <v>43490</v>
      </c>
      <c r="R347" s="85" t="s">
        <v>107</v>
      </c>
      <c r="S347" s="85" t="s">
        <v>107</v>
      </c>
      <c r="T347" s="85" t="s">
        <v>107</v>
      </c>
      <c r="U347" s="85" t="s">
        <v>107</v>
      </c>
      <c r="V347" s="85" t="s">
        <v>107</v>
      </c>
      <c r="W347" s="85" t="s">
        <v>107</v>
      </c>
      <c r="X347" s="85" t="s">
        <v>107</v>
      </c>
      <c r="Y347" s="85" t="s">
        <v>107</v>
      </c>
      <c r="Z347" s="85" t="s">
        <v>107</v>
      </c>
      <c r="AA347" s="85" t="s">
        <v>107</v>
      </c>
      <c r="AB347" s="85" t="s">
        <v>107</v>
      </c>
      <c r="AC347" s="85" t="s">
        <v>107</v>
      </c>
      <c r="AD347" s="85" t="s">
        <v>107</v>
      </c>
      <c r="AE347" s="85" t="s">
        <v>107</v>
      </c>
      <c r="AF347" s="85" t="s">
        <v>107</v>
      </c>
      <c r="AG347" s="86">
        <v>43502</v>
      </c>
      <c r="AH347" s="85" t="s">
        <v>107</v>
      </c>
      <c r="AI347" s="85" t="s">
        <v>107</v>
      </c>
      <c r="AJ347" s="85" t="s">
        <v>107</v>
      </c>
      <c r="AK347" s="85" t="s">
        <v>107</v>
      </c>
      <c r="AL347" s="85" t="s">
        <v>107</v>
      </c>
      <c r="AM347" s="85" t="s">
        <v>107</v>
      </c>
      <c r="AN347" s="86">
        <v>43376</v>
      </c>
      <c r="AO347" s="86">
        <v>43213</v>
      </c>
      <c r="AP347" s="86">
        <v>43157</v>
      </c>
      <c r="AQ347" s="86">
        <v>42887</v>
      </c>
      <c r="AR347" s="86">
        <v>43128</v>
      </c>
      <c r="AS347" s="86">
        <v>43054</v>
      </c>
      <c r="AT347" s="86">
        <v>43125</v>
      </c>
      <c r="AU347" s="85" t="s">
        <v>107</v>
      </c>
      <c r="AV347" s="86">
        <v>43125</v>
      </c>
      <c r="AW347" s="86">
        <v>43125</v>
      </c>
    </row>
    <row r="348" spans="1:49" x14ac:dyDescent="0.2">
      <c r="A348" s="85" t="s">
        <v>1122</v>
      </c>
      <c r="B348" s="85" t="s">
        <v>1123</v>
      </c>
      <c r="C348" s="85" t="s">
        <v>1120</v>
      </c>
      <c r="D348" s="85" t="s">
        <v>1124</v>
      </c>
      <c r="E348" s="85" t="s">
        <v>222</v>
      </c>
      <c r="F348" s="85" t="s">
        <v>144</v>
      </c>
      <c r="G348" s="85" t="s">
        <v>4</v>
      </c>
      <c r="H348" s="85" t="s">
        <v>11</v>
      </c>
      <c r="I348" s="86">
        <v>43454</v>
      </c>
      <c r="J348" s="86">
        <v>43195</v>
      </c>
      <c r="K348" s="86">
        <v>43199</v>
      </c>
      <c r="L348" s="85" t="s">
        <v>99</v>
      </c>
      <c r="M348" s="86">
        <v>42962</v>
      </c>
      <c r="N348" s="85" t="s">
        <v>107</v>
      </c>
      <c r="O348" s="86">
        <v>43199</v>
      </c>
      <c r="P348" s="86">
        <v>43186</v>
      </c>
      <c r="Q348" s="86">
        <v>43564</v>
      </c>
      <c r="R348" s="85" t="s">
        <v>1652</v>
      </c>
      <c r="S348" s="85" t="s">
        <v>59</v>
      </c>
      <c r="T348" s="85" t="s">
        <v>59</v>
      </c>
      <c r="U348" s="85" t="s">
        <v>59</v>
      </c>
      <c r="V348" s="85" t="s">
        <v>59</v>
      </c>
      <c r="W348" s="85" t="s">
        <v>59</v>
      </c>
      <c r="X348" s="85" t="s">
        <v>114</v>
      </c>
      <c r="Y348" s="85">
        <v>1</v>
      </c>
      <c r="Z348" s="85" t="s">
        <v>114</v>
      </c>
      <c r="AA348" s="85"/>
      <c r="AB348" s="85" t="s">
        <v>114</v>
      </c>
      <c r="AC348" s="85" t="s">
        <v>114</v>
      </c>
      <c r="AD348" s="85" t="s">
        <v>114</v>
      </c>
      <c r="AE348" s="85"/>
      <c r="AF348" s="85"/>
      <c r="AG348" s="86">
        <v>43434</v>
      </c>
      <c r="AH348" s="85" t="s">
        <v>107</v>
      </c>
      <c r="AI348" s="86">
        <v>41713</v>
      </c>
      <c r="AJ348" s="86">
        <v>43173</v>
      </c>
      <c r="AK348" s="86">
        <v>43195</v>
      </c>
      <c r="AL348" s="85" t="s">
        <v>107</v>
      </c>
      <c r="AM348" s="85" t="s">
        <v>107</v>
      </c>
      <c r="AN348" s="86">
        <v>43451</v>
      </c>
      <c r="AO348" s="86">
        <v>43451</v>
      </c>
      <c r="AP348" s="86">
        <v>43451</v>
      </c>
      <c r="AQ348" s="86">
        <v>43451</v>
      </c>
      <c r="AR348" s="86">
        <v>43451</v>
      </c>
      <c r="AS348" s="86">
        <v>43451</v>
      </c>
      <c r="AT348" s="86">
        <v>43451</v>
      </c>
      <c r="AU348" s="86">
        <v>43451</v>
      </c>
      <c r="AV348" s="86">
        <v>43451</v>
      </c>
      <c r="AW348" s="86">
        <v>43451</v>
      </c>
    </row>
    <row r="349" spans="1:49" x14ac:dyDescent="0.2">
      <c r="A349" s="85" t="s">
        <v>1125</v>
      </c>
      <c r="B349" s="85" t="s">
        <v>1126</v>
      </c>
      <c r="C349" s="85" t="s">
        <v>1127</v>
      </c>
      <c r="D349" s="85" t="s">
        <v>157</v>
      </c>
      <c r="E349" s="85"/>
      <c r="F349" s="85" t="s">
        <v>106</v>
      </c>
      <c r="G349" s="85" t="s">
        <v>4</v>
      </c>
      <c r="H349" s="85" t="s">
        <v>9</v>
      </c>
      <c r="I349" s="85" t="s">
        <v>107</v>
      </c>
      <c r="J349" s="86">
        <v>43172</v>
      </c>
      <c r="K349" s="86">
        <v>43160</v>
      </c>
      <c r="L349" s="85" t="s">
        <v>107</v>
      </c>
      <c r="M349" s="85" t="s">
        <v>107</v>
      </c>
      <c r="N349" s="85" t="s">
        <v>107</v>
      </c>
      <c r="O349" s="85" t="s">
        <v>107</v>
      </c>
      <c r="P349" s="85" t="s">
        <v>107</v>
      </c>
      <c r="Q349" s="86">
        <v>42980</v>
      </c>
      <c r="R349" s="85" t="s">
        <v>107</v>
      </c>
      <c r="S349" s="85" t="s">
        <v>107</v>
      </c>
      <c r="T349" s="85" t="s">
        <v>107</v>
      </c>
      <c r="U349" s="85" t="s">
        <v>107</v>
      </c>
      <c r="V349" s="85" t="s">
        <v>107</v>
      </c>
      <c r="W349" s="85" t="s">
        <v>107</v>
      </c>
      <c r="X349" s="85" t="s">
        <v>107</v>
      </c>
      <c r="Y349" s="85" t="s">
        <v>107</v>
      </c>
      <c r="Z349" s="85" t="s">
        <v>107</v>
      </c>
      <c r="AA349" s="85" t="s">
        <v>107</v>
      </c>
      <c r="AB349" s="85" t="s">
        <v>107</v>
      </c>
      <c r="AC349" s="85" t="s">
        <v>107</v>
      </c>
      <c r="AD349" s="85" t="s">
        <v>107</v>
      </c>
      <c r="AE349" s="85" t="s">
        <v>107</v>
      </c>
      <c r="AF349" s="85" t="s">
        <v>107</v>
      </c>
      <c r="AG349" s="86">
        <v>43267</v>
      </c>
      <c r="AH349" s="85" t="s">
        <v>107</v>
      </c>
      <c r="AI349" s="85" t="s">
        <v>107</v>
      </c>
      <c r="AJ349" s="85" t="s">
        <v>107</v>
      </c>
      <c r="AK349" s="85" t="s">
        <v>107</v>
      </c>
      <c r="AL349" s="85" t="s">
        <v>107</v>
      </c>
      <c r="AM349" s="85" t="s">
        <v>107</v>
      </c>
      <c r="AN349" s="85"/>
      <c r="AO349" s="86">
        <v>43207</v>
      </c>
      <c r="AP349" s="86">
        <v>43055</v>
      </c>
      <c r="AQ349" s="86">
        <v>42913</v>
      </c>
      <c r="AR349" s="86">
        <v>43188</v>
      </c>
      <c r="AS349" s="86">
        <v>42969</v>
      </c>
      <c r="AT349" s="86">
        <v>43188</v>
      </c>
      <c r="AU349" s="85" t="s">
        <v>107</v>
      </c>
      <c r="AV349" s="86">
        <v>43188</v>
      </c>
      <c r="AW349" s="86">
        <v>43188</v>
      </c>
    </row>
    <row r="350" spans="1:49" x14ac:dyDescent="0.2">
      <c r="A350" s="85" t="s">
        <v>1812</v>
      </c>
      <c r="B350" s="85" t="s">
        <v>1813</v>
      </c>
      <c r="C350" s="85" t="s">
        <v>1814</v>
      </c>
      <c r="D350" s="85" t="s">
        <v>230</v>
      </c>
      <c r="E350" s="85" t="s">
        <v>823</v>
      </c>
      <c r="F350" s="85" t="s">
        <v>144</v>
      </c>
      <c r="G350" s="85" t="s">
        <v>4</v>
      </c>
      <c r="H350" s="85" t="s">
        <v>5</v>
      </c>
      <c r="I350" s="86">
        <v>43306</v>
      </c>
      <c r="J350" s="86">
        <v>43299</v>
      </c>
      <c r="K350" s="86">
        <v>43301</v>
      </c>
      <c r="L350" s="85" t="s">
        <v>99</v>
      </c>
      <c r="M350" s="86">
        <v>43284</v>
      </c>
      <c r="N350" s="85" t="s">
        <v>107</v>
      </c>
      <c r="O350" s="86">
        <v>43060</v>
      </c>
      <c r="P350" s="86">
        <v>43322</v>
      </c>
      <c r="Q350" s="86">
        <v>43866</v>
      </c>
      <c r="R350" s="85" t="s">
        <v>1652</v>
      </c>
      <c r="S350" s="86">
        <v>43497</v>
      </c>
      <c r="T350" s="85" t="s">
        <v>1652</v>
      </c>
      <c r="U350" s="86">
        <v>43368</v>
      </c>
      <c r="V350" s="86">
        <v>43555</v>
      </c>
      <c r="W350" s="85" t="s">
        <v>1655</v>
      </c>
      <c r="X350" s="85" t="s">
        <v>114</v>
      </c>
      <c r="Y350" s="85">
        <v>1</v>
      </c>
      <c r="Z350" s="85" t="s">
        <v>114</v>
      </c>
      <c r="AA350" s="85"/>
      <c r="AB350" s="85" t="s">
        <v>114</v>
      </c>
      <c r="AC350" s="85" t="s">
        <v>114</v>
      </c>
      <c r="AD350" s="85" t="s">
        <v>114</v>
      </c>
      <c r="AE350" s="85"/>
      <c r="AF350" s="85"/>
      <c r="AG350" s="85" t="s">
        <v>59</v>
      </c>
      <c r="AH350" s="85" t="s">
        <v>107</v>
      </c>
      <c r="AI350" s="85" t="s">
        <v>59</v>
      </c>
      <c r="AJ350" s="85" t="s">
        <v>59</v>
      </c>
      <c r="AK350" s="85" t="s">
        <v>59</v>
      </c>
      <c r="AL350" s="85" t="s">
        <v>107</v>
      </c>
      <c r="AM350" s="85" t="s">
        <v>107</v>
      </c>
      <c r="AN350" s="86">
        <v>43467</v>
      </c>
      <c r="AO350" s="86">
        <v>43467</v>
      </c>
      <c r="AP350" s="86">
        <v>43467</v>
      </c>
      <c r="AQ350" s="86">
        <v>43467</v>
      </c>
      <c r="AR350" s="86">
        <v>43467</v>
      </c>
      <c r="AS350" s="86">
        <v>43467</v>
      </c>
      <c r="AT350" s="86">
        <v>43467</v>
      </c>
      <c r="AU350" s="86">
        <v>43467</v>
      </c>
      <c r="AV350" s="86">
        <v>43467</v>
      </c>
      <c r="AW350" s="86">
        <v>43467</v>
      </c>
    </row>
    <row r="351" spans="1:49" x14ac:dyDescent="0.2">
      <c r="A351" s="85" t="s">
        <v>1128</v>
      </c>
      <c r="B351" s="85" t="s">
        <v>1129</v>
      </c>
      <c r="C351" s="85" t="s">
        <v>1130</v>
      </c>
      <c r="D351" s="85" t="s">
        <v>882</v>
      </c>
      <c r="E351" s="85" t="s">
        <v>291</v>
      </c>
      <c r="F351" s="85" t="s">
        <v>127</v>
      </c>
      <c r="G351" s="85" t="s">
        <v>4</v>
      </c>
      <c r="H351" s="85" t="s">
        <v>7</v>
      </c>
      <c r="I351" s="86">
        <v>43367</v>
      </c>
      <c r="J351" s="86">
        <v>43410</v>
      </c>
      <c r="K351" s="86">
        <v>43410</v>
      </c>
      <c r="L351" s="85" t="s">
        <v>99</v>
      </c>
      <c r="M351" s="86">
        <v>43410</v>
      </c>
      <c r="N351" s="85" t="s">
        <v>107</v>
      </c>
      <c r="O351" s="86">
        <v>43410</v>
      </c>
      <c r="P351" s="86">
        <v>43292</v>
      </c>
      <c r="Q351" s="86">
        <v>43532</v>
      </c>
      <c r="R351" s="85" t="s">
        <v>1652</v>
      </c>
      <c r="S351" s="86">
        <v>43800</v>
      </c>
      <c r="T351" s="85" t="s">
        <v>1652</v>
      </c>
      <c r="U351" s="86">
        <v>43186</v>
      </c>
      <c r="V351" s="86">
        <v>43555</v>
      </c>
      <c r="W351" s="85" t="s">
        <v>1653</v>
      </c>
      <c r="X351" s="85" t="s">
        <v>114</v>
      </c>
      <c r="Y351" s="85">
        <v>1</v>
      </c>
      <c r="Z351" s="85" t="s">
        <v>114</v>
      </c>
      <c r="AA351" s="85"/>
      <c r="AB351" s="85" t="s">
        <v>114</v>
      </c>
      <c r="AC351" s="85" t="s">
        <v>114</v>
      </c>
      <c r="AD351" s="85" t="s">
        <v>114</v>
      </c>
      <c r="AE351" s="85"/>
      <c r="AF351" s="85"/>
      <c r="AG351" s="86">
        <v>43167</v>
      </c>
      <c r="AH351" s="85" t="s">
        <v>107</v>
      </c>
      <c r="AI351" s="85"/>
      <c r="AJ351" s="85"/>
      <c r="AK351" s="86">
        <v>43164</v>
      </c>
      <c r="AL351" s="85" t="s">
        <v>107</v>
      </c>
      <c r="AM351" s="85" t="s">
        <v>107</v>
      </c>
      <c r="AN351" s="86">
        <v>43398</v>
      </c>
      <c r="AO351" s="86">
        <v>43207</v>
      </c>
      <c r="AP351" s="86">
        <v>43171</v>
      </c>
      <c r="AQ351" s="86">
        <v>43118</v>
      </c>
      <c r="AR351" s="86">
        <v>43118</v>
      </c>
      <c r="AS351" s="86">
        <v>43126</v>
      </c>
      <c r="AT351" s="86">
        <v>43118</v>
      </c>
      <c r="AU351" s="86">
        <v>43118</v>
      </c>
      <c r="AV351" s="86">
        <v>43118</v>
      </c>
      <c r="AW351" s="86">
        <v>43118</v>
      </c>
    </row>
    <row r="352" spans="1:49" x14ac:dyDescent="0.2">
      <c r="A352" s="85" t="s">
        <v>1131</v>
      </c>
      <c r="B352" s="85" t="s">
        <v>1132</v>
      </c>
      <c r="C352" s="85" t="s">
        <v>1133</v>
      </c>
      <c r="D352" s="85" t="s">
        <v>652</v>
      </c>
      <c r="E352" s="85" t="s">
        <v>105</v>
      </c>
      <c r="F352" s="85" t="s">
        <v>113</v>
      </c>
      <c r="G352" s="85" t="s">
        <v>4</v>
      </c>
      <c r="H352" s="85" t="s">
        <v>10</v>
      </c>
      <c r="I352" s="86">
        <v>43193</v>
      </c>
      <c r="J352" s="86">
        <v>43454</v>
      </c>
      <c r="K352" s="86">
        <v>43167</v>
      </c>
      <c r="L352" s="85" t="s">
        <v>99</v>
      </c>
      <c r="M352" s="86">
        <v>42417</v>
      </c>
      <c r="N352" s="85" t="s">
        <v>107</v>
      </c>
      <c r="O352" s="86">
        <v>42345</v>
      </c>
      <c r="P352" s="86">
        <v>43325</v>
      </c>
      <c r="Q352" s="86">
        <v>43496</v>
      </c>
      <c r="R352" s="85" t="s">
        <v>1658</v>
      </c>
      <c r="S352" s="86">
        <v>43891</v>
      </c>
      <c r="T352" s="85" t="s">
        <v>1652</v>
      </c>
      <c r="U352" s="86">
        <v>43179</v>
      </c>
      <c r="V352" s="86">
        <v>43555</v>
      </c>
      <c r="W352" s="85" t="s">
        <v>1653</v>
      </c>
      <c r="X352" s="85" t="s">
        <v>114</v>
      </c>
      <c r="Y352" s="85">
        <v>1</v>
      </c>
      <c r="Z352" s="85" t="s">
        <v>114</v>
      </c>
      <c r="AA352" s="85"/>
      <c r="AB352" s="85" t="s">
        <v>114</v>
      </c>
      <c r="AC352" s="85" t="s">
        <v>114</v>
      </c>
      <c r="AD352" s="85" t="s">
        <v>114</v>
      </c>
      <c r="AE352" s="85"/>
      <c r="AF352" s="85"/>
      <c r="AG352" s="85" t="s">
        <v>59</v>
      </c>
      <c r="AH352" s="85" t="s">
        <v>107</v>
      </c>
      <c r="AI352" s="86">
        <v>43376</v>
      </c>
      <c r="AJ352" s="86">
        <v>43376</v>
      </c>
      <c r="AK352" s="86">
        <v>41634</v>
      </c>
      <c r="AL352" s="85" t="s">
        <v>107</v>
      </c>
      <c r="AM352" s="85" t="s">
        <v>107</v>
      </c>
      <c r="AN352" s="85" t="s">
        <v>59</v>
      </c>
      <c r="AO352" s="85" t="s">
        <v>59</v>
      </c>
      <c r="AP352" s="85" t="s">
        <v>59</v>
      </c>
      <c r="AQ352" s="85" t="s">
        <v>59</v>
      </c>
      <c r="AR352" s="85" t="s">
        <v>59</v>
      </c>
      <c r="AS352" s="85" t="s">
        <v>59</v>
      </c>
      <c r="AT352" s="85" t="s">
        <v>59</v>
      </c>
      <c r="AU352" s="85" t="s">
        <v>59</v>
      </c>
      <c r="AV352" s="85" t="s">
        <v>59</v>
      </c>
      <c r="AW352" s="85" t="s">
        <v>59</v>
      </c>
    </row>
    <row r="353" spans="1:49" x14ac:dyDescent="0.2">
      <c r="A353" s="85" t="s">
        <v>1134</v>
      </c>
      <c r="B353" s="85" t="s">
        <v>1135</v>
      </c>
      <c r="C353" s="85" t="s">
        <v>1136</v>
      </c>
      <c r="D353" s="85" t="s">
        <v>142</v>
      </c>
      <c r="E353" s="85" t="s">
        <v>141</v>
      </c>
      <c r="F353" s="85" t="s">
        <v>100</v>
      </c>
      <c r="G353" s="85" t="s">
        <v>4</v>
      </c>
      <c r="H353" s="85" t="s">
        <v>5</v>
      </c>
      <c r="I353" s="86">
        <v>43439</v>
      </c>
      <c r="J353" s="86">
        <v>43167</v>
      </c>
      <c r="K353" s="86">
        <v>43167</v>
      </c>
      <c r="L353" s="85" t="s">
        <v>99</v>
      </c>
      <c r="M353" s="86">
        <v>43254</v>
      </c>
      <c r="N353" s="86">
        <v>43370</v>
      </c>
      <c r="O353" s="86">
        <v>43167</v>
      </c>
      <c r="P353" s="86">
        <v>43305</v>
      </c>
      <c r="Q353" s="86">
        <v>43532</v>
      </c>
      <c r="R353" s="85" t="s">
        <v>1652</v>
      </c>
      <c r="S353" s="86">
        <v>44805</v>
      </c>
      <c r="T353" s="85" t="s">
        <v>1652</v>
      </c>
      <c r="U353" s="85" t="s">
        <v>107</v>
      </c>
      <c r="V353" s="85" t="s">
        <v>107</v>
      </c>
      <c r="W353" s="85" t="s">
        <v>107</v>
      </c>
      <c r="X353" s="85" t="s">
        <v>107</v>
      </c>
      <c r="Y353" s="85" t="s">
        <v>107</v>
      </c>
      <c r="Z353" s="85" t="s">
        <v>107</v>
      </c>
      <c r="AA353" s="85" t="s">
        <v>107</v>
      </c>
      <c r="AB353" s="85" t="s">
        <v>107</v>
      </c>
      <c r="AC353" s="85" t="s">
        <v>107</v>
      </c>
      <c r="AD353" s="85" t="s">
        <v>107</v>
      </c>
      <c r="AE353" s="85" t="s">
        <v>107</v>
      </c>
      <c r="AF353" s="85" t="s">
        <v>107</v>
      </c>
      <c r="AG353" s="86">
        <v>43167</v>
      </c>
      <c r="AH353" s="85" t="s">
        <v>107</v>
      </c>
      <c r="AI353" s="85" t="s">
        <v>107</v>
      </c>
      <c r="AJ353" s="85" t="s">
        <v>107</v>
      </c>
      <c r="AK353" s="86">
        <v>43167</v>
      </c>
      <c r="AL353" s="85" t="s">
        <v>107</v>
      </c>
      <c r="AM353" s="85" t="s">
        <v>107</v>
      </c>
      <c r="AN353" s="86">
        <v>43375</v>
      </c>
      <c r="AO353" s="86">
        <v>43207</v>
      </c>
      <c r="AP353" s="86">
        <v>43178</v>
      </c>
      <c r="AQ353" s="86">
        <v>43178</v>
      </c>
      <c r="AR353" s="86">
        <v>43178</v>
      </c>
      <c r="AS353" s="86">
        <v>43178</v>
      </c>
      <c r="AT353" s="86">
        <v>43178</v>
      </c>
      <c r="AU353" s="86">
        <v>43178</v>
      </c>
      <c r="AV353" s="86">
        <v>43178</v>
      </c>
      <c r="AW353" s="86">
        <v>43178</v>
      </c>
    </row>
    <row r="354" spans="1:49" x14ac:dyDescent="0.2">
      <c r="A354" s="85" t="s">
        <v>1137</v>
      </c>
      <c r="B354" s="85" t="s">
        <v>1138</v>
      </c>
      <c r="C354" s="85" t="s">
        <v>1139</v>
      </c>
      <c r="D354" s="85" t="s">
        <v>1140</v>
      </c>
      <c r="E354" s="85" t="s">
        <v>201</v>
      </c>
      <c r="F354" s="85" t="s">
        <v>122</v>
      </c>
      <c r="G354" s="85" t="s">
        <v>4</v>
      </c>
      <c r="H354" s="85" t="s">
        <v>13</v>
      </c>
      <c r="I354" s="86">
        <v>43486</v>
      </c>
      <c r="J354" s="86">
        <v>43506</v>
      </c>
      <c r="K354" s="86">
        <v>43216</v>
      </c>
      <c r="L354" s="85" t="s">
        <v>99</v>
      </c>
      <c r="M354" s="86">
        <v>42873</v>
      </c>
      <c r="N354" s="85" t="s">
        <v>107</v>
      </c>
      <c r="O354" s="86">
        <v>42872</v>
      </c>
      <c r="P354" s="86">
        <v>43214</v>
      </c>
      <c r="Q354" s="86">
        <v>43580</v>
      </c>
      <c r="R354" s="85" t="s">
        <v>1652</v>
      </c>
      <c r="S354" s="86">
        <v>44228</v>
      </c>
      <c r="T354" s="85" t="s">
        <v>1652</v>
      </c>
      <c r="U354" s="86">
        <v>43363</v>
      </c>
      <c r="V354" s="86">
        <v>43738</v>
      </c>
      <c r="W354" s="85" t="s">
        <v>1653</v>
      </c>
      <c r="X354" s="85" t="s">
        <v>114</v>
      </c>
      <c r="Y354" s="85">
        <v>1</v>
      </c>
      <c r="Z354" s="85" t="s">
        <v>114</v>
      </c>
      <c r="AA354" s="85"/>
      <c r="AB354" s="85" t="s">
        <v>114</v>
      </c>
      <c r="AC354" s="85" t="s">
        <v>114</v>
      </c>
      <c r="AD354" s="85" t="s">
        <v>114</v>
      </c>
      <c r="AE354" s="85"/>
      <c r="AF354" s="85"/>
      <c r="AG354" s="86">
        <v>43215</v>
      </c>
      <c r="AH354" s="85" t="s">
        <v>107</v>
      </c>
      <c r="AI354" s="86">
        <v>42923</v>
      </c>
      <c r="AJ354" s="86">
        <v>43215</v>
      </c>
      <c r="AK354" s="86">
        <v>42872</v>
      </c>
      <c r="AL354" s="85" t="s">
        <v>107</v>
      </c>
      <c r="AM354" s="85" t="s">
        <v>107</v>
      </c>
      <c r="AN354" s="86">
        <v>43507</v>
      </c>
      <c r="AO354" s="86">
        <v>43215</v>
      </c>
      <c r="AP354" s="86">
        <v>43507</v>
      </c>
      <c r="AQ354" s="86">
        <v>42986</v>
      </c>
      <c r="AR354" s="86">
        <v>43507</v>
      </c>
      <c r="AS354" s="86">
        <v>43507</v>
      </c>
      <c r="AT354" s="86">
        <v>43507</v>
      </c>
      <c r="AU354" s="86">
        <v>43507</v>
      </c>
      <c r="AV354" s="86">
        <v>43507</v>
      </c>
      <c r="AW354" s="86">
        <v>43507</v>
      </c>
    </row>
    <row r="355" spans="1:49" x14ac:dyDescent="0.2">
      <c r="A355" s="85" t="s">
        <v>1141</v>
      </c>
      <c r="B355" s="85" t="s">
        <v>1142</v>
      </c>
      <c r="C355" s="85" t="s">
        <v>1143</v>
      </c>
      <c r="D355" s="85" t="s">
        <v>652</v>
      </c>
      <c r="E355" s="85" t="s">
        <v>126</v>
      </c>
      <c r="F355" s="85" t="s">
        <v>106</v>
      </c>
      <c r="G355" s="85" t="s">
        <v>4</v>
      </c>
      <c r="H355" s="85" t="s">
        <v>12</v>
      </c>
      <c r="I355" s="85" t="s">
        <v>107</v>
      </c>
      <c r="J355" s="86">
        <v>43308</v>
      </c>
      <c r="K355" s="86">
        <v>43390</v>
      </c>
      <c r="L355" s="85" t="s">
        <v>107</v>
      </c>
      <c r="M355" s="85" t="s">
        <v>107</v>
      </c>
      <c r="N355" s="85" t="s">
        <v>107</v>
      </c>
      <c r="O355" s="85" t="s">
        <v>107</v>
      </c>
      <c r="P355" s="85" t="s">
        <v>107</v>
      </c>
      <c r="Q355" s="86">
        <v>43738</v>
      </c>
      <c r="R355" s="85" t="s">
        <v>107</v>
      </c>
      <c r="S355" s="85" t="s">
        <v>107</v>
      </c>
      <c r="T355" s="85" t="s">
        <v>107</v>
      </c>
      <c r="U355" s="85" t="s">
        <v>107</v>
      </c>
      <c r="V355" s="85" t="s">
        <v>107</v>
      </c>
      <c r="W355" s="85" t="s">
        <v>107</v>
      </c>
      <c r="X355" s="85" t="s">
        <v>107</v>
      </c>
      <c r="Y355" s="85" t="s">
        <v>107</v>
      </c>
      <c r="Z355" s="85" t="s">
        <v>107</v>
      </c>
      <c r="AA355" s="85" t="s">
        <v>107</v>
      </c>
      <c r="AB355" s="85" t="s">
        <v>107</v>
      </c>
      <c r="AC355" s="85" t="s">
        <v>107</v>
      </c>
      <c r="AD355" s="85" t="s">
        <v>107</v>
      </c>
      <c r="AE355" s="85" t="s">
        <v>107</v>
      </c>
      <c r="AF355" s="85" t="s">
        <v>107</v>
      </c>
      <c r="AG355" s="85" t="s">
        <v>59</v>
      </c>
      <c r="AH355" s="85" t="s">
        <v>107</v>
      </c>
      <c r="AI355" s="85" t="s">
        <v>107</v>
      </c>
      <c r="AJ355" s="85" t="s">
        <v>107</v>
      </c>
      <c r="AK355" s="85" t="s">
        <v>107</v>
      </c>
      <c r="AL355" s="85" t="s">
        <v>107</v>
      </c>
      <c r="AM355" s="85" t="s">
        <v>107</v>
      </c>
      <c r="AN355" s="86">
        <v>43376</v>
      </c>
      <c r="AO355" s="86">
        <v>43305</v>
      </c>
      <c r="AP355" s="86">
        <v>43305</v>
      </c>
      <c r="AQ355" s="86">
        <v>43305</v>
      </c>
      <c r="AR355" s="86">
        <v>43305</v>
      </c>
      <c r="AS355" s="86">
        <v>43305</v>
      </c>
      <c r="AT355" s="86">
        <v>43305</v>
      </c>
      <c r="AU355" s="85" t="s">
        <v>107</v>
      </c>
      <c r="AV355" s="86">
        <v>43305</v>
      </c>
      <c r="AW355" s="86">
        <v>43305</v>
      </c>
    </row>
    <row r="356" spans="1:49" x14ac:dyDescent="0.2">
      <c r="A356" s="85" t="s">
        <v>1610</v>
      </c>
      <c r="B356" s="85" t="s">
        <v>1611</v>
      </c>
      <c r="C356" s="85" t="s">
        <v>1612</v>
      </c>
      <c r="D356" s="85" t="s">
        <v>652</v>
      </c>
      <c r="E356" s="85" t="s">
        <v>141</v>
      </c>
      <c r="F356" s="85" t="s">
        <v>270</v>
      </c>
      <c r="G356" s="85" t="s">
        <v>4</v>
      </c>
      <c r="H356" s="85" t="s">
        <v>5</v>
      </c>
      <c r="I356" s="85" t="s">
        <v>59</v>
      </c>
      <c r="J356" s="85" t="s">
        <v>59</v>
      </c>
      <c r="K356" s="85" t="s">
        <v>59</v>
      </c>
      <c r="L356" s="85" t="s">
        <v>59</v>
      </c>
      <c r="M356" s="85" t="s">
        <v>59</v>
      </c>
      <c r="N356" s="85" t="s">
        <v>107</v>
      </c>
      <c r="O356" s="85" t="s">
        <v>59</v>
      </c>
      <c r="P356" s="85" t="s">
        <v>59</v>
      </c>
      <c r="Q356" s="85" t="s">
        <v>59</v>
      </c>
      <c r="R356" s="85" t="s">
        <v>1652</v>
      </c>
      <c r="S356" s="85" t="s">
        <v>59</v>
      </c>
      <c r="T356" s="85" t="s">
        <v>59</v>
      </c>
      <c r="U356" s="85" t="s">
        <v>59</v>
      </c>
      <c r="V356" s="85" t="s">
        <v>59</v>
      </c>
      <c r="W356" s="85" t="s">
        <v>59</v>
      </c>
      <c r="X356" s="85" t="s">
        <v>59</v>
      </c>
      <c r="Y356" s="85" t="s">
        <v>59</v>
      </c>
      <c r="Z356" s="85" t="s">
        <v>59</v>
      </c>
      <c r="AA356" s="85" t="s">
        <v>59</v>
      </c>
      <c r="AB356" s="85" t="s">
        <v>59</v>
      </c>
      <c r="AC356" s="85" t="s">
        <v>59</v>
      </c>
      <c r="AD356" s="85" t="s">
        <v>59</v>
      </c>
      <c r="AE356" s="85" t="s">
        <v>59</v>
      </c>
      <c r="AF356" s="85" t="s">
        <v>59</v>
      </c>
      <c r="AG356" s="85" t="s">
        <v>59</v>
      </c>
      <c r="AH356" s="85" t="s">
        <v>107</v>
      </c>
      <c r="AI356" s="85"/>
      <c r="AJ356" s="85"/>
      <c r="AK356" s="85"/>
      <c r="AL356" s="85"/>
      <c r="AM356" s="85"/>
      <c r="AN356" s="86">
        <v>43375</v>
      </c>
      <c r="AO356" s="86">
        <v>43311</v>
      </c>
      <c r="AP356" s="86">
        <v>43311</v>
      </c>
      <c r="AQ356" s="86">
        <v>43311</v>
      </c>
      <c r="AR356" s="86">
        <v>43311</v>
      </c>
      <c r="AS356" s="86">
        <v>43311</v>
      </c>
      <c r="AT356" s="86">
        <v>43311</v>
      </c>
      <c r="AU356" s="86">
        <v>43311</v>
      </c>
      <c r="AV356" s="86">
        <v>43311</v>
      </c>
      <c r="AW356" s="86">
        <v>43311</v>
      </c>
    </row>
    <row r="357" spans="1:49" x14ac:dyDescent="0.2">
      <c r="A357" s="85" t="s">
        <v>1144</v>
      </c>
      <c r="B357" s="85" t="s">
        <v>1145</v>
      </c>
      <c r="C357" s="85" t="s">
        <v>1146</v>
      </c>
      <c r="D357" s="85" t="s">
        <v>1147</v>
      </c>
      <c r="E357" s="85" t="s">
        <v>126</v>
      </c>
      <c r="F357" s="85" t="s">
        <v>122</v>
      </c>
      <c r="G357" s="85" t="s">
        <v>4</v>
      </c>
      <c r="H357" s="85" t="s">
        <v>7</v>
      </c>
      <c r="I357" s="86">
        <v>43464</v>
      </c>
      <c r="J357" s="86">
        <v>43167</v>
      </c>
      <c r="K357" s="86">
        <v>43164</v>
      </c>
      <c r="L357" s="85" t="s">
        <v>99</v>
      </c>
      <c r="M357" s="86">
        <v>42769</v>
      </c>
      <c r="N357" s="85" t="s">
        <v>107</v>
      </c>
      <c r="O357" s="86">
        <v>43164</v>
      </c>
      <c r="P357" s="86">
        <v>43213</v>
      </c>
      <c r="Q357" s="86">
        <v>43532</v>
      </c>
      <c r="R357" s="85" t="s">
        <v>1652</v>
      </c>
      <c r="S357" s="86">
        <v>43770</v>
      </c>
      <c r="T357" s="85" t="s">
        <v>1652</v>
      </c>
      <c r="U357" s="86">
        <v>43326</v>
      </c>
      <c r="V357" s="86">
        <v>43524</v>
      </c>
      <c r="W357" s="85" t="s">
        <v>1655</v>
      </c>
      <c r="X357" s="85" t="s">
        <v>114</v>
      </c>
      <c r="Y357" s="85">
        <v>1</v>
      </c>
      <c r="Z357" s="85" t="s">
        <v>114</v>
      </c>
      <c r="AA357" s="85"/>
      <c r="AB357" s="85" t="s">
        <v>114</v>
      </c>
      <c r="AC357" s="85" t="s">
        <v>114</v>
      </c>
      <c r="AD357" s="85" t="s">
        <v>114</v>
      </c>
      <c r="AE357" s="85"/>
      <c r="AF357" s="85"/>
      <c r="AG357" s="86">
        <v>43227</v>
      </c>
      <c r="AH357" s="85" t="s">
        <v>107</v>
      </c>
      <c r="AI357" s="86">
        <v>42874</v>
      </c>
      <c r="AJ357" s="86">
        <v>43411</v>
      </c>
      <c r="AK357" s="86">
        <v>43164</v>
      </c>
      <c r="AL357" s="85" t="s">
        <v>107</v>
      </c>
      <c r="AM357" s="85" t="s">
        <v>107</v>
      </c>
      <c r="AN357" s="86">
        <v>43398</v>
      </c>
      <c r="AO357" s="86">
        <v>43207</v>
      </c>
      <c r="AP357" s="86">
        <v>43170</v>
      </c>
      <c r="AQ357" s="86">
        <v>43118</v>
      </c>
      <c r="AR357" s="86">
        <v>43170</v>
      </c>
      <c r="AS357" s="86">
        <v>43180</v>
      </c>
      <c r="AT357" s="86">
        <v>43170</v>
      </c>
      <c r="AU357" s="86">
        <v>43170</v>
      </c>
      <c r="AV357" s="86">
        <v>43170</v>
      </c>
      <c r="AW357" s="86">
        <v>43170</v>
      </c>
    </row>
    <row r="358" spans="1:49" x14ac:dyDescent="0.2">
      <c r="A358" s="85" t="s">
        <v>1148</v>
      </c>
      <c r="B358" s="85" t="s">
        <v>1149</v>
      </c>
      <c r="C358" s="85" t="s">
        <v>1150</v>
      </c>
      <c r="D358" s="85" t="s">
        <v>882</v>
      </c>
      <c r="E358" s="85" t="s">
        <v>240</v>
      </c>
      <c r="F358" s="85" t="s">
        <v>144</v>
      </c>
      <c r="G358" s="85" t="s">
        <v>4</v>
      </c>
      <c r="H358" s="85" t="s">
        <v>11</v>
      </c>
      <c r="I358" s="86">
        <v>43367</v>
      </c>
      <c r="J358" s="86">
        <v>43502</v>
      </c>
      <c r="K358" s="86">
        <v>43167</v>
      </c>
      <c r="L358" s="85" t="s">
        <v>99</v>
      </c>
      <c r="M358" s="86">
        <v>42878</v>
      </c>
      <c r="N358" s="85" t="s">
        <v>107</v>
      </c>
      <c r="O358" s="86">
        <v>43167</v>
      </c>
      <c r="P358" s="86">
        <v>43271</v>
      </c>
      <c r="Q358" s="86">
        <v>43532</v>
      </c>
      <c r="R358" s="85" t="s">
        <v>1652</v>
      </c>
      <c r="S358" s="86">
        <v>45017</v>
      </c>
      <c r="T358" s="85" t="s">
        <v>1652</v>
      </c>
      <c r="U358" s="86">
        <v>43495</v>
      </c>
      <c r="V358" s="86">
        <v>43677</v>
      </c>
      <c r="W358" s="85" t="s">
        <v>1655</v>
      </c>
      <c r="X358" s="85" t="s">
        <v>114</v>
      </c>
      <c r="Y358" s="85">
        <v>1</v>
      </c>
      <c r="Z358" s="85" t="s">
        <v>114</v>
      </c>
      <c r="AA358" s="85"/>
      <c r="AB358" s="85" t="s">
        <v>114</v>
      </c>
      <c r="AC358" s="85" t="s">
        <v>114</v>
      </c>
      <c r="AD358" s="85" t="s">
        <v>114</v>
      </c>
      <c r="AE358" s="85"/>
      <c r="AF358" s="85"/>
      <c r="AG358" s="86">
        <v>43199</v>
      </c>
      <c r="AH358" s="85" t="s">
        <v>1919</v>
      </c>
      <c r="AI358" s="86">
        <v>43375</v>
      </c>
      <c r="AJ358" s="86">
        <v>43375</v>
      </c>
      <c r="AK358" s="86">
        <v>43167</v>
      </c>
      <c r="AL358" s="85" t="s">
        <v>107</v>
      </c>
      <c r="AM358" s="85" t="s">
        <v>107</v>
      </c>
      <c r="AN358" s="86">
        <v>43473</v>
      </c>
      <c r="AO358" s="86">
        <v>43207</v>
      </c>
      <c r="AP358" s="86">
        <v>43160</v>
      </c>
      <c r="AQ358" s="86">
        <v>41938</v>
      </c>
      <c r="AR358" s="86">
        <v>43160</v>
      </c>
      <c r="AS358" s="86">
        <v>43159</v>
      </c>
      <c r="AT358" s="86">
        <v>43160</v>
      </c>
      <c r="AU358" s="86">
        <v>43160</v>
      </c>
      <c r="AV358" s="86">
        <v>43160</v>
      </c>
      <c r="AW358" s="86">
        <v>43160</v>
      </c>
    </row>
    <row r="359" spans="1:49" x14ac:dyDescent="0.2">
      <c r="A359" s="85" t="s">
        <v>1151</v>
      </c>
      <c r="B359" s="85" t="s">
        <v>1152</v>
      </c>
      <c r="C359" s="85" t="s">
        <v>1153</v>
      </c>
      <c r="D359" s="85" t="s">
        <v>1154</v>
      </c>
      <c r="E359" s="85" t="s">
        <v>222</v>
      </c>
      <c r="F359" s="85" t="s">
        <v>122</v>
      </c>
      <c r="G359" s="85" t="s">
        <v>4</v>
      </c>
      <c r="H359" s="85" t="s">
        <v>7</v>
      </c>
      <c r="I359" s="86">
        <v>43473</v>
      </c>
      <c r="J359" s="86">
        <v>43479</v>
      </c>
      <c r="K359" s="86">
        <v>43254</v>
      </c>
      <c r="L359" s="85" t="s">
        <v>99</v>
      </c>
      <c r="M359" s="86">
        <v>42747</v>
      </c>
      <c r="N359" s="85" t="s">
        <v>107</v>
      </c>
      <c r="O359" s="86">
        <v>42762</v>
      </c>
      <c r="P359" s="86">
        <v>43227</v>
      </c>
      <c r="Q359" s="86">
        <v>43636</v>
      </c>
      <c r="R359" s="85" t="s">
        <v>1652</v>
      </c>
      <c r="S359" s="86">
        <v>43678</v>
      </c>
      <c r="T359" s="85" t="s">
        <v>1652</v>
      </c>
      <c r="U359" s="86">
        <v>43249</v>
      </c>
      <c r="V359" s="86">
        <v>43616</v>
      </c>
      <c r="W359" s="85" t="s">
        <v>1653</v>
      </c>
      <c r="X359" s="85" t="s">
        <v>114</v>
      </c>
      <c r="Y359" s="85">
        <v>1</v>
      </c>
      <c r="Z359" s="85" t="s">
        <v>114</v>
      </c>
      <c r="AA359" s="85"/>
      <c r="AB359" s="85" t="s">
        <v>114</v>
      </c>
      <c r="AC359" s="85" t="s">
        <v>114</v>
      </c>
      <c r="AD359" s="85" t="s">
        <v>114</v>
      </c>
      <c r="AE359" s="85"/>
      <c r="AF359" s="85"/>
      <c r="AG359" s="86">
        <v>43480</v>
      </c>
      <c r="AH359" s="85" t="s">
        <v>2003</v>
      </c>
      <c r="AI359" s="85"/>
      <c r="AJ359" s="85"/>
      <c r="AK359" s="86">
        <v>42768</v>
      </c>
      <c r="AL359" s="85" t="s">
        <v>107</v>
      </c>
      <c r="AM359" s="85" t="s">
        <v>107</v>
      </c>
      <c r="AN359" s="86">
        <v>43480</v>
      </c>
      <c r="AO359" s="86">
        <v>43213</v>
      </c>
      <c r="AP359" s="86">
        <v>43480</v>
      </c>
      <c r="AQ359" s="86">
        <v>42790</v>
      </c>
      <c r="AR359" s="86">
        <v>43480</v>
      </c>
      <c r="AS359" s="86">
        <v>43480</v>
      </c>
      <c r="AT359" s="86">
        <v>43480</v>
      </c>
      <c r="AU359" s="86">
        <v>43480</v>
      </c>
      <c r="AV359" s="86">
        <v>43480</v>
      </c>
      <c r="AW359" s="86">
        <v>43480</v>
      </c>
    </row>
    <row r="360" spans="1:49" x14ac:dyDescent="0.2">
      <c r="A360" s="85" t="s">
        <v>1156</v>
      </c>
      <c r="B360" s="85" t="s">
        <v>1157</v>
      </c>
      <c r="C360" s="85" t="s">
        <v>1155</v>
      </c>
      <c r="D360" s="85" t="s">
        <v>1158</v>
      </c>
      <c r="E360" s="85" t="s">
        <v>105</v>
      </c>
      <c r="F360" s="85" t="s">
        <v>113</v>
      </c>
      <c r="G360" s="85" t="s">
        <v>4</v>
      </c>
      <c r="H360" s="85" t="s">
        <v>18</v>
      </c>
      <c r="I360" s="86">
        <v>43273</v>
      </c>
      <c r="J360" s="86">
        <v>43167</v>
      </c>
      <c r="K360" s="86">
        <v>43167</v>
      </c>
      <c r="L360" s="85" t="s">
        <v>99</v>
      </c>
      <c r="M360" s="86">
        <v>43174</v>
      </c>
      <c r="N360" s="85" t="s">
        <v>107</v>
      </c>
      <c r="O360" s="86">
        <v>43167</v>
      </c>
      <c r="P360" s="86">
        <v>43172</v>
      </c>
      <c r="Q360" s="86">
        <v>43532</v>
      </c>
      <c r="R360" s="85" t="s">
        <v>1652</v>
      </c>
      <c r="S360" s="86">
        <v>43862</v>
      </c>
      <c r="T360" s="85" t="s">
        <v>1652</v>
      </c>
      <c r="U360" s="86">
        <v>43222</v>
      </c>
      <c r="V360" s="86">
        <v>43830</v>
      </c>
      <c r="W360" s="85" t="s">
        <v>1662</v>
      </c>
      <c r="X360" s="85" t="s">
        <v>114</v>
      </c>
      <c r="Y360" s="85">
        <v>1</v>
      </c>
      <c r="Z360" s="85" t="s">
        <v>114</v>
      </c>
      <c r="AA360" s="85"/>
      <c r="AB360" s="85" t="s">
        <v>119</v>
      </c>
      <c r="AC360" s="85" t="s">
        <v>114</v>
      </c>
      <c r="AD360" s="85" t="s">
        <v>119</v>
      </c>
      <c r="AE360" s="85" t="s">
        <v>1667</v>
      </c>
      <c r="AF360" s="85"/>
      <c r="AG360" s="86">
        <v>43167</v>
      </c>
      <c r="AH360" s="85" t="s">
        <v>107</v>
      </c>
      <c r="AI360" s="85"/>
      <c r="AJ360" s="85" t="s">
        <v>1773</v>
      </c>
      <c r="AK360" s="86">
        <v>43167</v>
      </c>
      <c r="AL360" s="85" t="s">
        <v>107</v>
      </c>
      <c r="AM360" s="85" t="s">
        <v>107</v>
      </c>
      <c r="AN360" s="85"/>
      <c r="AO360" s="86">
        <v>43339</v>
      </c>
      <c r="AP360" s="86">
        <v>43339</v>
      </c>
      <c r="AQ360" s="86">
        <v>43339</v>
      </c>
      <c r="AR360" s="86">
        <v>43339</v>
      </c>
      <c r="AS360" s="86">
        <v>43339</v>
      </c>
      <c r="AT360" s="86">
        <v>43339</v>
      </c>
      <c r="AU360" s="86">
        <v>43339</v>
      </c>
      <c r="AV360" s="86">
        <v>43339</v>
      </c>
      <c r="AW360" s="86">
        <v>43339</v>
      </c>
    </row>
    <row r="361" spans="1:49" x14ac:dyDescent="0.2">
      <c r="A361" s="85" t="s">
        <v>2004</v>
      </c>
      <c r="B361" s="85" t="s">
        <v>2005</v>
      </c>
      <c r="C361" s="85" t="s">
        <v>2006</v>
      </c>
      <c r="D361" s="85" t="s">
        <v>2007</v>
      </c>
      <c r="E361" s="85" t="s">
        <v>119</v>
      </c>
      <c r="F361" s="85" t="s">
        <v>122</v>
      </c>
      <c r="G361" s="85" t="s">
        <v>4</v>
      </c>
      <c r="H361" s="85" t="s">
        <v>8</v>
      </c>
      <c r="I361" s="85" t="s">
        <v>59</v>
      </c>
      <c r="J361" s="85" t="s">
        <v>59</v>
      </c>
      <c r="K361" s="85" t="s">
        <v>59</v>
      </c>
      <c r="L361" s="85" t="s">
        <v>59</v>
      </c>
      <c r="M361" s="85" t="s">
        <v>59</v>
      </c>
      <c r="N361" s="85" t="s">
        <v>107</v>
      </c>
      <c r="O361" s="85" t="s">
        <v>59</v>
      </c>
      <c r="P361" s="85" t="s">
        <v>59</v>
      </c>
      <c r="Q361" s="85" t="s">
        <v>59</v>
      </c>
      <c r="R361" s="85" t="s">
        <v>1658</v>
      </c>
      <c r="S361" s="85" t="s">
        <v>59</v>
      </c>
      <c r="T361" s="85" t="s">
        <v>59</v>
      </c>
      <c r="U361" s="85" t="s">
        <v>59</v>
      </c>
      <c r="V361" s="85" t="s">
        <v>59</v>
      </c>
      <c r="W361" s="85" t="s">
        <v>59</v>
      </c>
      <c r="X361" s="85" t="s">
        <v>59</v>
      </c>
      <c r="Y361" s="85" t="s">
        <v>59</v>
      </c>
      <c r="Z361" s="85" t="s">
        <v>59</v>
      </c>
      <c r="AA361" s="85" t="s">
        <v>59</v>
      </c>
      <c r="AB361" s="85" t="s">
        <v>59</v>
      </c>
      <c r="AC361" s="85" t="s">
        <v>59</v>
      </c>
      <c r="AD361" s="85" t="s">
        <v>59</v>
      </c>
      <c r="AE361" s="85" t="s">
        <v>59</v>
      </c>
      <c r="AF361" s="85" t="s">
        <v>59</v>
      </c>
      <c r="AG361" s="85" t="s">
        <v>59</v>
      </c>
      <c r="AH361" s="85" t="s">
        <v>107</v>
      </c>
      <c r="AI361" s="85" t="s">
        <v>59</v>
      </c>
      <c r="AJ361" s="85" t="s">
        <v>59</v>
      </c>
      <c r="AK361" s="85" t="s">
        <v>59</v>
      </c>
      <c r="AL361" s="85" t="s">
        <v>107</v>
      </c>
      <c r="AM361" s="85" t="s">
        <v>107</v>
      </c>
      <c r="AN361" s="86">
        <v>43516</v>
      </c>
      <c r="AO361" s="86">
        <v>43516</v>
      </c>
      <c r="AP361" s="86">
        <v>43516</v>
      </c>
      <c r="AQ361" s="86">
        <v>43516</v>
      </c>
      <c r="AR361" s="86">
        <v>43516</v>
      </c>
      <c r="AS361" s="86">
        <v>43516</v>
      </c>
      <c r="AT361" s="86">
        <v>43516</v>
      </c>
      <c r="AU361" s="86">
        <v>43516</v>
      </c>
      <c r="AV361" s="86">
        <v>43516</v>
      </c>
      <c r="AW361" s="86">
        <v>43516</v>
      </c>
    </row>
    <row r="362" spans="1:49" x14ac:dyDescent="0.2">
      <c r="A362" s="85" t="s">
        <v>1159</v>
      </c>
      <c r="B362" s="85" t="s">
        <v>1160</v>
      </c>
      <c r="C362" s="85" t="s">
        <v>1161</v>
      </c>
      <c r="D362" s="85" t="s">
        <v>379</v>
      </c>
      <c r="E362" s="85" t="s">
        <v>206</v>
      </c>
      <c r="F362" s="85" t="s">
        <v>144</v>
      </c>
      <c r="G362" s="85" t="s">
        <v>4</v>
      </c>
      <c r="H362" s="85" t="s">
        <v>12</v>
      </c>
      <c r="I362" s="86">
        <v>43368</v>
      </c>
      <c r="J362" s="86">
        <v>43160</v>
      </c>
      <c r="K362" s="86">
        <v>43160</v>
      </c>
      <c r="L362" s="85" t="s">
        <v>99</v>
      </c>
      <c r="M362" s="86">
        <v>43160</v>
      </c>
      <c r="N362" s="85" t="s">
        <v>107</v>
      </c>
      <c r="O362" s="86">
        <v>43161</v>
      </c>
      <c r="P362" s="86">
        <v>43368</v>
      </c>
      <c r="Q362" s="86">
        <v>43738</v>
      </c>
      <c r="R362" s="85" t="s">
        <v>1652</v>
      </c>
      <c r="S362" s="86">
        <v>44228</v>
      </c>
      <c r="T362" s="85" t="s">
        <v>1652</v>
      </c>
      <c r="U362" s="86">
        <v>43398</v>
      </c>
      <c r="V362" s="86">
        <v>43585</v>
      </c>
      <c r="W362" s="85" t="s">
        <v>1655</v>
      </c>
      <c r="X362" s="85" t="s">
        <v>114</v>
      </c>
      <c r="Y362" s="85">
        <v>1</v>
      </c>
      <c r="Z362" s="85" t="s">
        <v>114</v>
      </c>
      <c r="AA362" s="85"/>
      <c r="AB362" s="85" t="s">
        <v>114</v>
      </c>
      <c r="AC362" s="85" t="s">
        <v>114</v>
      </c>
      <c r="AD362" s="85" t="s">
        <v>114</v>
      </c>
      <c r="AE362" s="85"/>
      <c r="AF362" s="85"/>
      <c r="AG362" s="86">
        <v>43158</v>
      </c>
      <c r="AH362" s="85" t="s">
        <v>107</v>
      </c>
      <c r="AI362" s="86">
        <v>41640</v>
      </c>
      <c r="AJ362" s="86">
        <v>43396</v>
      </c>
      <c r="AK362" s="86">
        <v>43076</v>
      </c>
      <c r="AL362" s="85" t="s">
        <v>107</v>
      </c>
      <c r="AM362" s="85" t="s">
        <v>107</v>
      </c>
      <c r="AN362" s="86">
        <v>43480</v>
      </c>
      <c r="AO362" s="86">
        <v>43347</v>
      </c>
      <c r="AP362" s="86">
        <v>43480</v>
      </c>
      <c r="AQ362" s="86">
        <v>42219</v>
      </c>
      <c r="AR362" s="86">
        <v>43480</v>
      </c>
      <c r="AS362" s="86">
        <v>43480</v>
      </c>
      <c r="AT362" s="86">
        <v>43480</v>
      </c>
      <c r="AU362" s="86">
        <v>43480</v>
      </c>
      <c r="AV362" s="86">
        <v>43480</v>
      </c>
      <c r="AW362" s="86">
        <v>43480</v>
      </c>
    </row>
    <row r="363" spans="1:49" x14ac:dyDescent="0.2">
      <c r="A363" s="85" t="s">
        <v>1162</v>
      </c>
      <c r="B363" s="85" t="s">
        <v>1163</v>
      </c>
      <c r="C363" s="85" t="s">
        <v>1164</v>
      </c>
      <c r="D363" s="85" t="s">
        <v>244</v>
      </c>
      <c r="E363" s="85" t="s">
        <v>119</v>
      </c>
      <c r="F363" s="85" t="s">
        <v>113</v>
      </c>
      <c r="G363" s="85" t="s">
        <v>4</v>
      </c>
      <c r="H363" s="85" t="s">
        <v>5</v>
      </c>
      <c r="I363" s="86">
        <v>43491</v>
      </c>
      <c r="J363" s="86">
        <v>43175</v>
      </c>
      <c r="K363" s="86">
        <v>43479</v>
      </c>
      <c r="L363" s="85" t="s">
        <v>99</v>
      </c>
      <c r="M363" s="86">
        <v>43187</v>
      </c>
      <c r="N363" s="85" t="s">
        <v>107</v>
      </c>
      <c r="O363" s="86">
        <v>43188</v>
      </c>
      <c r="P363" s="86">
        <v>43186</v>
      </c>
      <c r="Q363" s="86">
        <v>43844</v>
      </c>
      <c r="R363" s="85" t="s">
        <v>1652</v>
      </c>
      <c r="S363" s="86">
        <v>43800</v>
      </c>
      <c r="T363" s="85" t="s">
        <v>1652</v>
      </c>
      <c r="U363" s="86">
        <v>43398</v>
      </c>
      <c r="V363" s="86">
        <v>43585</v>
      </c>
      <c r="W363" s="85" t="s">
        <v>1655</v>
      </c>
      <c r="X363" s="85" t="s">
        <v>114</v>
      </c>
      <c r="Y363" s="85">
        <v>2</v>
      </c>
      <c r="Z363" s="85" t="s">
        <v>114</v>
      </c>
      <c r="AA363" s="85"/>
      <c r="AB363" s="85" t="s">
        <v>114</v>
      </c>
      <c r="AC363" s="85" t="s">
        <v>114</v>
      </c>
      <c r="AD363" s="85" t="s">
        <v>114</v>
      </c>
      <c r="AE363" s="85"/>
      <c r="AF363" s="85"/>
      <c r="AG363" s="86">
        <v>43479</v>
      </c>
      <c r="AH363" s="85" t="s">
        <v>107</v>
      </c>
      <c r="AI363" s="85"/>
      <c r="AJ363" s="86">
        <v>43431</v>
      </c>
      <c r="AK363" s="86">
        <v>42067</v>
      </c>
      <c r="AL363" s="86">
        <v>43052</v>
      </c>
      <c r="AM363" s="86">
        <v>43052</v>
      </c>
      <c r="AN363" s="86">
        <v>43467</v>
      </c>
      <c r="AO363" s="86">
        <v>43467</v>
      </c>
      <c r="AP363" s="86">
        <v>43467</v>
      </c>
      <c r="AQ363" s="86">
        <v>43467</v>
      </c>
      <c r="AR363" s="86">
        <v>43467</v>
      </c>
      <c r="AS363" s="86">
        <v>43467</v>
      </c>
      <c r="AT363" s="86">
        <v>43467</v>
      </c>
      <c r="AU363" s="86">
        <v>43467</v>
      </c>
      <c r="AV363" s="86">
        <v>43467</v>
      </c>
      <c r="AW363" s="86">
        <v>43467</v>
      </c>
    </row>
    <row r="364" spans="1:49" x14ac:dyDescent="0.2">
      <c r="A364" s="85" t="s">
        <v>1165</v>
      </c>
      <c r="B364" s="85" t="s">
        <v>1166</v>
      </c>
      <c r="C364" s="85" t="s">
        <v>1167</v>
      </c>
      <c r="D364" s="85" t="s">
        <v>290</v>
      </c>
      <c r="E364" s="85" t="s">
        <v>121</v>
      </c>
      <c r="F364" s="85" t="s">
        <v>106</v>
      </c>
      <c r="G364" s="85" t="s">
        <v>4</v>
      </c>
      <c r="H364" s="85" t="s">
        <v>8</v>
      </c>
      <c r="I364" s="85" t="s">
        <v>107</v>
      </c>
      <c r="J364" s="85" t="s">
        <v>59</v>
      </c>
      <c r="K364" s="85" t="s">
        <v>59</v>
      </c>
      <c r="L364" s="85" t="s">
        <v>107</v>
      </c>
      <c r="M364" s="85" t="s">
        <v>107</v>
      </c>
      <c r="N364" s="85" t="s">
        <v>107</v>
      </c>
      <c r="O364" s="85" t="s">
        <v>107</v>
      </c>
      <c r="P364" s="85" t="s">
        <v>107</v>
      </c>
      <c r="Q364" s="86">
        <v>43847</v>
      </c>
      <c r="R364" s="85" t="s">
        <v>107</v>
      </c>
      <c r="S364" s="85" t="s">
        <v>107</v>
      </c>
      <c r="T364" s="85" t="s">
        <v>107</v>
      </c>
      <c r="U364" s="85" t="s">
        <v>107</v>
      </c>
      <c r="V364" s="85" t="s">
        <v>107</v>
      </c>
      <c r="W364" s="85" t="s">
        <v>107</v>
      </c>
      <c r="X364" s="85" t="s">
        <v>107</v>
      </c>
      <c r="Y364" s="85" t="s">
        <v>107</v>
      </c>
      <c r="Z364" s="85" t="s">
        <v>107</v>
      </c>
      <c r="AA364" s="85" t="s">
        <v>107</v>
      </c>
      <c r="AB364" s="85" t="s">
        <v>107</v>
      </c>
      <c r="AC364" s="85" t="s">
        <v>107</v>
      </c>
      <c r="AD364" s="85" t="s">
        <v>107</v>
      </c>
      <c r="AE364" s="85" t="s">
        <v>107</v>
      </c>
      <c r="AF364" s="85" t="s">
        <v>107</v>
      </c>
      <c r="AG364" s="86">
        <v>43467</v>
      </c>
      <c r="AH364" s="85" t="s">
        <v>107</v>
      </c>
      <c r="AI364" s="85" t="s">
        <v>107</v>
      </c>
      <c r="AJ364" s="85" t="s">
        <v>107</v>
      </c>
      <c r="AK364" s="85" t="s">
        <v>107</v>
      </c>
      <c r="AL364" s="85" t="s">
        <v>107</v>
      </c>
      <c r="AM364" s="85" t="s">
        <v>107</v>
      </c>
      <c r="AN364" s="86">
        <v>43502</v>
      </c>
      <c r="AO364" s="86">
        <v>43502</v>
      </c>
      <c r="AP364" s="86">
        <v>43502</v>
      </c>
      <c r="AQ364" s="86">
        <v>42887</v>
      </c>
      <c r="AR364" s="86">
        <v>43502</v>
      </c>
      <c r="AS364" s="86">
        <v>43502</v>
      </c>
      <c r="AT364" s="86">
        <v>43502</v>
      </c>
      <c r="AU364" s="85" t="s">
        <v>107</v>
      </c>
      <c r="AV364" s="86">
        <v>43502</v>
      </c>
      <c r="AW364" s="86">
        <v>43502</v>
      </c>
    </row>
    <row r="365" spans="1:49" x14ac:dyDescent="0.2">
      <c r="A365" s="85" t="s">
        <v>1168</v>
      </c>
      <c r="B365" s="85" t="s">
        <v>1169</v>
      </c>
      <c r="C365" s="85" t="s">
        <v>1170</v>
      </c>
      <c r="D365" s="85" t="s">
        <v>196</v>
      </c>
      <c r="E365" s="85" t="s">
        <v>119</v>
      </c>
      <c r="F365" s="85" t="s">
        <v>122</v>
      </c>
      <c r="G365" s="85" t="s">
        <v>4</v>
      </c>
      <c r="H365" s="85" t="s">
        <v>5</v>
      </c>
      <c r="I365" s="86">
        <v>43476</v>
      </c>
      <c r="J365" s="86">
        <v>43167</v>
      </c>
      <c r="K365" s="86">
        <v>43167</v>
      </c>
      <c r="L365" s="85" t="s">
        <v>99</v>
      </c>
      <c r="M365" s="86">
        <v>42681</v>
      </c>
      <c r="N365" s="85" t="s">
        <v>107</v>
      </c>
      <c r="O365" s="86">
        <v>43167</v>
      </c>
      <c r="P365" s="86">
        <v>43271</v>
      </c>
      <c r="Q365" s="86">
        <v>43532</v>
      </c>
      <c r="R365" s="85" t="s">
        <v>1652</v>
      </c>
      <c r="S365" s="86">
        <v>43556</v>
      </c>
      <c r="T365" s="85" t="s">
        <v>1652</v>
      </c>
      <c r="U365" s="86">
        <v>43234</v>
      </c>
      <c r="V365" s="86">
        <v>43616</v>
      </c>
      <c r="W365" s="85" t="s">
        <v>1653</v>
      </c>
      <c r="X365" s="85" t="s">
        <v>114</v>
      </c>
      <c r="Y365" s="85">
        <v>2</v>
      </c>
      <c r="Z365" s="85" t="s">
        <v>114</v>
      </c>
      <c r="AA365" s="85"/>
      <c r="AB365" s="85" t="s">
        <v>114</v>
      </c>
      <c r="AC365" s="85" t="s">
        <v>114</v>
      </c>
      <c r="AD365" s="85" t="s">
        <v>114</v>
      </c>
      <c r="AE365" s="85"/>
      <c r="AF365" s="85"/>
      <c r="AG365" s="86">
        <v>43167</v>
      </c>
      <c r="AH365" s="85" t="s">
        <v>2008</v>
      </c>
      <c r="AI365" s="85"/>
      <c r="AJ365" s="85"/>
      <c r="AK365" s="86">
        <v>43167</v>
      </c>
      <c r="AL365" s="85" t="s">
        <v>107</v>
      </c>
      <c r="AM365" s="85" t="s">
        <v>107</v>
      </c>
      <c r="AN365" s="86">
        <v>43467</v>
      </c>
      <c r="AO365" s="86">
        <v>43467</v>
      </c>
      <c r="AP365" s="86">
        <v>43467</v>
      </c>
      <c r="AQ365" s="86">
        <v>43467</v>
      </c>
      <c r="AR365" s="86">
        <v>43467</v>
      </c>
      <c r="AS365" s="86">
        <v>43467</v>
      </c>
      <c r="AT365" s="86">
        <v>43467</v>
      </c>
      <c r="AU365" s="86">
        <v>43467</v>
      </c>
      <c r="AV365" s="86">
        <v>43467</v>
      </c>
      <c r="AW365" s="86">
        <v>43467</v>
      </c>
    </row>
    <row r="366" spans="1:49" x14ac:dyDescent="0.2">
      <c r="A366" s="85" t="s">
        <v>1171</v>
      </c>
      <c r="B366" s="85" t="s">
        <v>1172</v>
      </c>
      <c r="C366" s="85" t="s">
        <v>1173</v>
      </c>
      <c r="D366" s="85" t="s">
        <v>532</v>
      </c>
      <c r="E366" s="85" t="s">
        <v>1174</v>
      </c>
      <c r="F366" s="85" t="s">
        <v>122</v>
      </c>
      <c r="G366" s="85" t="s">
        <v>4</v>
      </c>
      <c r="H366" s="85" t="s">
        <v>7</v>
      </c>
      <c r="I366" s="86">
        <v>43464</v>
      </c>
      <c r="J366" s="86">
        <v>43167</v>
      </c>
      <c r="K366" s="86">
        <v>43164</v>
      </c>
      <c r="L366" s="85" t="s">
        <v>99</v>
      </c>
      <c r="M366" s="86">
        <v>42933</v>
      </c>
      <c r="N366" s="85" t="s">
        <v>107</v>
      </c>
      <c r="O366" s="86">
        <v>43164</v>
      </c>
      <c r="P366" s="86">
        <v>43213</v>
      </c>
      <c r="Q366" s="86">
        <v>43532</v>
      </c>
      <c r="R366" s="85" t="s">
        <v>1652</v>
      </c>
      <c r="S366" s="86">
        <v>43709</v>
      </c>
      <c r="T366" s="85" t="s">
        <v>1652</v>
      </c>
      <c r="U366" s="86">
        <v>43464</v>
      </c>
      <c r="V366" s="86">
        <v>43646</v>
      </c>
      <c r="W366" s="85" t="s">
        <v>1655</v>
      </c>
      <c r="X366" s="85" t="s">
        <v>114</v>
      </c>
      <c r="Y366" s="85">
        <v>1</v>
      </c>
      <c r="Z366" s="85" t="s">
        <v>119</v>
      </c>
      <c r="AA366" s="85"/>
      <c r="AB366" s="85" t="s">
        <v>114</v>
      </c>
      <c r="AC366" s="85" t="s">
        <v>114</v>
      </c>
      <c r="AD366" s="85" t="s">
        <v>119</v>
      </c>
      <c r="AE366" s="85" t="s">
        <v>1661</v>
      </c>
      <c r="AF366" s="85"/>
      <c r="AG366" s="86">
        <v>43417</v>
      </c>
      <c r="AH366" s="85" t="s">
        <v>107</v>
      </c>
      <c r="AI366" s="86">
        <v>43029</v>
      </c>
      <c r="AJ366" s="86">
        <v>43411</v>
      </c>
      <c r="AK366" s="86">
        <v>43164</v>
      </c>
      <c r="AL366" s="85" t="s">
        <v>107</v>
      </c>
      <c r="AM366" s="85" t="s">
        <v>107</v>
      </c>
      <c r="AN366" s="86">
        <v>43398</v>
      </c>
      <c r="AO366" s="86">
        <v>43220</v>
      </c>
      <c r="AP366" s="86">
        <v>43315</v>
      </c>
      <c r="AQ366" s="86">
        <v>43315</v>
      </c>
      <c r="AR366" s="86">
        <v>43315</v>
      </c>
      <c r="AS366" s="86">
        <v>43315</v>
      </c>
      <c r="AT366" s="86">
        <v>43315</v>
      </c>
      <c r="AU366" s="86">
        <v>43315</v>
      </c>
      <c r="AV366" s="86">
        <v>43315</v>
      </c>
      <c r="AW366" s="86">
        <v>43315</v>
      </c>
    </row>
    <row r="367" spans="1:49" x14ac:dyDescent="0.2">
      <c r="A367" s="85" t="s">
        <v>1633</v>
      </c>
      <c r="B367" s="85" t="s">
        <v>1634</v>
      </c>
      <c r="C367" s="85" t="s">
        <v>1635</v>
      </c>
      <c r="D367" s="85" t="s">
        <v>599</v>
      </c>
      <c r="E367" s="85"/>
      <c r="F367" s="85" t="s">
        <v>106</v>
      </c>
      <c r="G367" s="85" t="s">
        <v>4</v>
      </c>
      <c r="H367" s="85" t="s">
        <v>8</v>
      </c>
      <c r="I367" s="85" t="s">
        <v>107</v>
      </c>
      <c r="J367" s="86">
        <v>43370</v>
      </c>
      <c r="K367" s="86">
        <v>43371</v>
      </c>
      <c r="L367" s="85" t="s">
        <v>107</v>
      </c>
      <c r="M367" s="85" t="s">
        <v>107</v>
      </c>
      <c r="N367" s="85" t="s">
        <v>107</v>
      </c>
      <c r="O367" s="85" t="s">
        <v>107</v>
      </c>
      <c r="P367" s="85" t="s">
        <v>107</v>
      </c>
      <c r="Q367" s="86">
        <v>43736</v>
      </c>
      <c r="R367" s="85" t="s">
        <v>107</v>
      </c>
      <c r="S367" s="85" t="s">
        <v>107</v>
      </c>
      <c r="T367" s="85" t="s">
        <v>107</v>
      </c>
      <c r="U367" s="85" t="s">
        <v>107</v>
      </c>
      <c r="V367" s="85" t="s">
        <v>107</v>
      </c>
      <c r="W367" s="85" t="s">
        <v>107</v>
      </c>
      <c r="X367" s="85" t="s">
        <v>107</v>
      </c>
      <c r="Y367" s="85" t="s">
        <v>107</v>
      </c>
      <c r="Z367" s="85" t="s">
        <v>107</v>
      </c>
      <c r="AA367" s="85" t="s">
        <v>107</v>
      </c>
      <c r="AB367" s="85" t="s">
        <v>107</v>
      </c>
      <c r="AC367" s="85" t="s">
        <v>107</v>
      </c>
      <c r="AD367" s="85" t="s">
        <v>107</v>
      </c>
      <c r="AE367" s="85" t="s">
        <v>107</v>
      </c>
      <c r="AF367" s="85" t="s">
        <v>107</v>
      </c>
      <c r="AG367" s="85" t="s">
        <v>59</v>
      </c>
      <c r="AH367" s="85" t="s">
        <v>107</v>
      </c>
      <c r="AI367" s="85" t="s">
        <v>107</v>
      </c>
      <c r="AJ367" s="85" t="s">
        <v>107</v>
      </c>
      <c r="AK367" s="85" t="s">
        <v>107</v>
      </c>
      <c r="AL367" s="85" t="s">
        <v>107</v>
      </c>
      <c r="AM367" s="85" t="s">
        <v>107</v>
      </c>
      <c r="AN367" s="86">
        <v>43479</v>
      </c>
      <c r="AO367" s="86">
        <v>43367</v>
      </c>
      <c r="AP367" s="86">
        <v>43367</v>
      </c>
      <c r="AQ367" s="86">
        <v>43367</v>
      </c>
      <c r="AR367" s="86">
        <v>43367</v>
      </c>
      <c r="AS367" s="86">
        <v>43367</v>
      </c>
      <c r="AT367" s="86">
        <v>43367</v>
      </c>
      <c r="AU367" s="85" t="s">
        <v>107</v>
      </c>
      <c r="AV367" s="86">
        <v>43367</v>
      </c>
      <c r="AW367" s="86">
        <v>43367</v>
      </c>
    </row>
    <row r="368" spans="1:49" x14ac:dyDescent="0.2">
      <c r="A368" s="85" t="s">
        <v>1895</v>
      </c>
      <c r="B368" s="85" t="s">
        <v>1896</v>
      </c>
      <c r="C368" s="85" t="s">
        <v>1897</v>
      </c>
      <c r="D368" s="85" t="s">
        <v>1898</v>
      </c>
      <c r="E368" s="85" t="s">
        <v>126</v>
      </c>
      <c r="F368" s="85" t="s">
        <v>122</v>
      </c>
      <c r="G368" s="85" t="s">
        <v>4</v>
      </c>
      <c r="H368" s="85" t="s">
        <v>8</v>
      </c>
      <c r="I368" s="85" t="s">
        <v>59</v>
      </c>
      <c r="J368" s="85" t="s">
        <v>59</v>
      </c>
      <c r="K368" s="85" t="s">
        <v>59</v>
      </c>
      <c r="L368" s="85" t="s">
        <v>59</v>
      </c>
      <c r="M368" s="85" t="s">
        <v>59</v>
      </c>
      <c r="N368" s="85" t="s">
        <v>107</v>
      </c>
      <c r="O368" s="85" t="s">
        <v>59</v>
      </c>
      <c r="P368" s="85" t="s">
        <v>59</v>
      </c>
      <c r="Q368" s="85" t="s">
        <v>59</v>
      </c>
      <c r="R368" s="85" t="s">
        <v>1658</v>
      </c>
      <c r="S368" s="85" t="s">
        <v>59</v>
      </c>
      <c r="T368" s="85" t="s">
        <v>59</v>
      </c>
      <c r="U368" s="85" t="s">
        <v>59</v>
      </c>
      <c r="V368" s="85" t="s">
        <v>59</v>
      </c>
      <c r="W368" s="85" t="s">
        <v>59</v>
      </c>
      <c r="X368" s="85" t="s">
        <v>59</v>
      </c>
      <c r="Y368" s="85" t="s">
        <v>59</v>
      </c>
      <c r="Z368" s="85" t="s">
        <v>59</v>
      </c>
      <c r="AA368" s="85" t="s">
        <v>59</v>
      </c>
      <c r="AB368" s="85" t="s">
        <v>59</v>
      </c>
      <c r="AC368" s="85" t="s">
        <v>59</v>
      </c>
      <c r="AD368" s="85" t="s">
        <v>59</v>
      </c>
      <c r="AE368" s="85" t="s">
        <v>59</v>
      </c>
      <c r="AF368" s="85" t="s">
        <v>59</v>
      </c>
      <c r="AG368" s="85" t="s">
        <v>59</v>
      </c>
      <c r="AH368" s="85" t="s">
        <v>107</v>
      </c>
      <c r="AI368" s="85" t="s">
        <v>59</v>
      </c>
      <c r="AJ368" s="85" t="s">
        <v>59</v>
      </c>
      <c r="AK368" s="85" t="s">
        <v>59</v>
      </c>
      <c r="AL368" s="85" t="s">
        <v>107</v>
      </c>
      <c r="AM368" s="85" t="s">
        <v>107</v>
      </c>
      <c r="AN368" s="85" t="s">
        <v>59</v>
      </c>
      <c r="AO368" s="85" t="s">
        <v>59</v>
      </c>
      <c r="AP368" s="85" t="s">
        <v>59</v>
      </c>
      <c r="AQ368" s="85" t="s">
        <v>59</v>
      </c>
      <c r="AR368" s="85" t="s">
        <v>59</v>
      </c>
      <c r="AS368" s="85" t="s">
        <v>59</v>
      </c>
      <c r="AT368" s="85" t="s">
        <v>59</v>
      </c>
      <c r="AU368" s="85" t="s">
        <v>59</v>
      </c>
      <c r="AV368" s="85" t="s">
        <v>59</v>
      </c>
      <c r="AW368" s="85" t="s">
        <v>59</v>
      </c>
    </row>
    <row r="369" spans="1:49" x14ac:dyDescent="0.2">
      <c r="A369" s="85" t="s">
        <v>1175</v>
      </c>
      <c r="B369" s="85" t="s">
        <v>1176</v>
      </c>
      <c r="C369" s="85" t="s">
        <v>1177</v>
      </c>
      <c r="D369" s="85" t="s">
        <v>1178</v>
      </c>
      <c r="E369" s="85" t="s">
        <v>141</v>
      </c>
      <c r="F369" s="85" t="s">
        <v>113</v>
      </c>
      <c r="G369" s="85" t="s">
        <v>4</v>
      </c>
      <c r="H369" s="85" t="s">
        <v>7</v>
      </c>
      <c r="I369" s="86">
        <v>43313</v>
      </c>
      <c r="J369" s="86">
        <v>43378</v>
      </c>
      <c r="K369" s="86">
        <v>43254</v>
      </c>
      <c r="L369" s="85" t="s">
        <v>99</v>
      </c>
      <c r="M369" s="86">
        <v>43075</v>
      </c>
      <c r="N369" s="85" t="s">
        <v>107</v>
      </c>
      <c r="O369" s="86">
        <v>43271</v>
      </c>
      <c r="P369" s="86">
        <v>43276</v>
      </c>
      <c r="Q369" s="86">
        <v>43636</v>
      </c>
      <c r="R369" s="85" t="s">
        <v>1652</v>
      </c>
      <c r="S369" s="86">
        <v>44682</v>
      </c>
      <c r="T369" s="85" t="s">
        <v>1652</v>
      </c>
      <c r="U369" s="86">
        <v>43326</v>
      </c>
      <c r="V369" s="86">
        <v>43708</v>
      </c>
      <c r="W369" s="85" t="s">
        <v>1653</v>
      </c>
      <c r="X369" s="85" t="s">
        <v>114</v>
      </c>
      <c r="Y369" s="85">
        <v>1</v>
      </c>
      <c r="Z369" s="85" t="s">
        <v>114</v>
      </c>
      <c r="AA369" s="85"/>
      <c r="AB369" s="85" t="s">
        <v>114</v>
      </c>
      <c r="AC369" s="85" t="s">
        <v>114</v>
      </c>
      <c r="AD369" s="85" t="s">
        <v>114</v>
      </c>
      <c r="AE369" s="85"/>
      <c r="AF369" s="85"/>
      <c r="AG369" s="86">
        <v>43271</v>
      </c>
      <c r="AH369" s="85" t="s">
        <v>107</v>
      </c>
      <c r="AI369" s="86">
        <v>43136</v>
      </c>
      <c r="AJ369" s="86">
        <v>43136</v>
      </c>
      <c r="AK369" s="86">
        <v>43074</v>
      </c>
      <c r="AL369" s="85" t="s">
        <v>107</v>
      </c>
      <c r="AM369" s="85" t="s">
        <v>107</v>
      </c>
      <c r="AN369" s="86">
        <v>43398</v>
      </c>
      <c r="AO369" s="86">
        <v>43207</v>
      </c>
      <c r="AP369" s="86">
        <v>43083</v>
      </c>
      <c r="AQ369" s="86">
        <v>43074</v>
      </c>
      <c r="AR369" s="86">
        <v>43074</v>
      </c>
      <c r="AS369" s="86">
        <v>43210</v>
      </c>
      <c r="AT369" s="86">
        <v>43074</v>
      </c>
      <c r="AU369" s="86">
        <v>43074</v>
      </c>
      <c r="AV369" s="86">
        <v>43074</v>
      </c>
      <c r="AW369" s="86">
        <v>43074</v>
      </c>
    </row>
    <row r="370" spans="1:49" x14ac:dyDescent="0.2">
      <c r="A370" s="85" t="s">
        <v>1179</v>
      </c>
      <c r="B370" s="85" t="s">
        <v>1180</v>
      </c>
      <c r="C370" s="85" t="s">
        <v>1181</v>
      </c>
      <c r="D370" s="85" t="s">
        <v>756</v>
      </c>
      <c r="E370" s="85" t="s">
        <v>222</v>
      </c>
      <c r="F370" s="85" t="s">
        <v>106</v>
      </c>
      <c r="G370" s="85" t="s">
        <v>4</v>
      </c>
      <c r="H370" s="85" t="s">
        <v>8</v>
      </c>
      <c r="I370" s="85" t="s">
        <v>107</v>
      </c>
      <c r="J370" s="86">
        <v>43134</v>
      </c>
      <c r="K370" s="86">
        <v>43482</v>
      </c>
      <c r="L370" s="85" t="s">
        <v>107</v>
      </c>
      <c r="M370" s="85" t="s">
        <v>107</v>
      </c>
      <c r="N370" s="85" t="s">
        <v>107</v>
      </c>
      <c r="O370" s="85" t="s">
        <v>107</v>
      </c>
      <c r="P370" s="85" t="s">
        <v>107</v>
      </c>
      <c r="Q370" s="85" t="s">
        <v>59</v>
      </c>
      <c r="R370" s="85" t="s">
        <v>107</v>
      </c>
      <c r="S370" s="85" t="s">
        <v>107</v>
      </c>
      <c r="T370" s="85" t="s">
        <v>107</v>
      </c>
      <c r="U370" s="85" t="s">
        <v>107</v>
      </c>
      <c r="V370" s="85" t="s">
        <v>107</v>
      </c>
      <c r="W370" s="85" t="s">
        <v>107</v>
      </c>
      <c r="X370" s="85" t="s">
        <v>107</v>
      </c>
      <c r="Y370" s="85" t="s">
        <v>107</v>
      </c>
      <c r="Z370" s="85" t="s">
        <v>107</v>
      </c>
      <c r="AA370" s="85" t="s">
        <v>107</v>
      </c>
      <c r="AB370" s="85" t="s">
        <v>107</v>
      </c>
      <c r="AC370" s="85" t="s">
        <v>107</v>
      </c>
      <c r="AD370" s="85" t="s">
        <v>107</v>
      </c>
      <c r="AE370" s="85" t="s">
        <v>107</v>
      </c>
      <c r="AF370" s="85" t="s">
        <v>107</v>
      </c>
      <c r="AG370" s="86">
        <v>43167</v>
      </c>
      <c r="AH370" s="85" t="s">
        <v>2009</v>
      </c>
      <c r="AI370" s="85" t="s">
        <v>107</v>
      </c>
      <c r="AJ370" s="85" t="s">
        <v>107</v>
      </c>
      <c r="AK370" s="85" t="s">
        <v>107</v>
      </c>
      <c r="AL370" s="85" t="s">
        <v>107</v>
      </c>
      <c r="AM370" s="85" t="s">
        <v>107</v>
      </c>
      <c r="AN370" s="86">
        <v>43405</v>
      </c>
      <c r="AO370" s="86">
        <v>43209</v>
      </c>
      <c r="AP370" s="86">
        <v>43054</v>
      </c>
      <c r="AQ370" s="86">
        <v>42704</v>
      </c>
      <c r="AR370" s="86">
        <v>43172</v>
      </c>
      <c r="AS370" s="86">
        <v>42989</v>
      </c>
      <c r="AT370" s="86">
        <v>43172</v>
      </c>
      <c r="AU370" s="85" t="s">
        <v>107</v>
      </c>
      <c r="AV370" s="86">
        <v>43172</v>
      </c>
      <c r="AW370" s="86">
        <v>43172</v>
      </c>
    </row>
    <row r="371" spans="1:49" x14ac:dyDescent="0.2">
      <c r="A371" s="85" t="s">
        <v>1786</v>
      </c>
      <c r="B371" s="85" t="s">
        <v>1787</v>
      </c>
      <c r="C371" s="85" t="s">
        <v>1788</v>
      </c>
      <c r="D371" s="85" t="s">
        <v>1789</v>
      </c>
      <c r="E371" s="85" t="s">
        <v>206</v>
      </c>
      <c r="F371" s="85" t="s">
        <v>106</v>
      </c>
      <c r="G371" s="85" t="s">
        <v>4</v>
      </c>
      <c r="H371" s="85" t="s">
        <v>7</v>
      </c>
      <c r="I371" s="85" t="s">
        <v>107</v>
      </c>
      <c r="J371" s="85" t="s">
        <v>59</v>
      </c>
      <c r="K371" s="85" t="s">
        <v>59</v>
      </c>
      <c r="L371" s="85" t="s">
        <v>107</v>
      </c>
      <c r="M371" s="85" t="s">
        <v>107</v>
      </c>
      <c r="N371" s="85" t="s">
        <v>107</v>
      </c>
      <c r="O371" s="85" t="s">
        <v>107</v>
      </c>
      <c r="P371" s="85" t="s">
        <v>107</v>
      </c>
      <c r="Q371" s="85" t="s">
        <v>59</v>
      </c>
      <c r="R371" s="85" t="s">
        <v>107</v>
      </c>
      <c r="S371" s="85" t="s">
        <v>107</v>
      </c>
      <c r="T371" s="85" t="s">
        <v>107</v>
      </c>
      <c r="U371" s="85" t="s">
        <v>107</v>
      </c>
      <c r="V371" s="85" t="s">
        <v>107</v>
      </c>
      <c r="W371" s="85" t="s">
        <v>107</v>
      </c>
      <c r="X371" s="85" t="s">
        <v>107</v>
      </c>
      <c r="Y371" s="85" t="s">
        <v>107</v>
      </c>
      <c r="Z371" s="85" t="s">
        <v>107</v>
      </c>
      <c r="AA371" s="85" t="s">
        <v>107</v>
      </c>
      <c r="AB371" s="85" t="s">
        <v>107</v>
      </c>
      <c r="AC371" s="85" t="s">
        <v>107</v>
      </c>
      <c r="AD371" s="85" t="s">
        <v>107</v>
      </c>
      <c r="AE371" s="85" t="s">
        <v>107</v>
      </c>
      <c r="AF371" s="85" t="s">
        <v>107</v>
      </c>
      <c r="AG371" s="85" t="s">
        <v>59</v>
      </c>
      <c r="AH371" s="85" t="s">
        <v>107</v>
      </c>
      <c r="AI371" s="85" t="s">
        <v>107</v>
      </c>
      <c r="AJ371" s="85" t="s">
        <v>107</v>
      </c>
      <c r="AK371" s="85" t="s">
        <v>107</v>
      </c>
      <c r="AL371" s="85" t="s">
        <v>107</v>
      </c>
      <c r="AM371" s="85" t="s">
        <v>107</v>
      </c>
      <c r="AN371" s="86">
        <v>43452</v>
      </c>
      <c r="AO371" s="86">
        <v>43452</v>
      </c>
      <c r="AP371" s="86">
        <v>43452</v>
      </c>
      <c r="AQ371" s="86">
        <v>43452</v>
      </c>
      <c r="AR371" s="86">
        <v>43452</v>
      </c>
      <c r="AS371" s="86">
        <v>43452</v>
      </c>
      <c r="AT371" s="86">
        <v>43452</v>
      </c>
      <c r="AU371" s="86" t="s">
        <v>107</v>
      </c>
      <c r="AV371" s="86">
        <v>43452</v>
      </c>
      <c r="AW371" s="86">
        <v>43452</v>
      </c>
    </row>
    <row r="372" spans="1:49" x14ac:dyDescent="0.2">
      <c r="A372" s="85" t="s">
        <v>1815</v>
      </c>
      <c r="B372" s="85" t="s">
        <v>1816</v>
      </c>
      <c r="C372" s="85" t="s">
        <v>1817</v>
      </c>
      <c r="D372" s="85" t="s">
        <v>1818</v>
      </c>
      <c r="E372" s="85" t="s">
        <v>149</v>
      </c>
      <c r="F372" s="85" t="s">
        <v>122</v>
      </c>
      <c r="G372" s="85" t="s">
        <v>4</v>
      </c>
      <c r="H372" s="85" t="s">
        <v>8</v>
      </c>
      <c r="I372" s="86">
        <v>43465</v>
      </c>
      <c r="J372" s="86">
        <v>43272</v>
      </c>
      <c r="K372" s="86">
        <v>43510</v>
      </c>
      <c r="L372" s="85" t="s">
        <v>99</v>
      </c>
      <c r="M372" s="85"/>
      <c r="N372" s="85" t="s">
        <v>107</v>
      </c>
      <c r="O372" s="86">
        <v>43510</v>
      </c>
      <c r="P372" s="85"/>
      <c r="Q372" s="86">
        <v>43869</v>
      </c>
      <c r="R372" s="85" t="s">
        <v>1652</v>
      </c>
      <c r="S372" s="85" t="s">
        <v>59</v>
      </c>
      <c r="T372" s="85" t="s">
        <v>59</v>
      </c>
      <c r="U372" s="86">
        <v>43371</v>
      </c>
      <c r="V372" s="86">
        <v>43555</v>
      </c>
      <c r="W372" s="85" t="s">
        <v>1655</v>
      </c>
      <c r="X372" s="85" t="s">
        <v>114</v>
      </c>
      <c r="Y372" s="85">
        <v>4</v>
      </c>
      <c r="Z372" s="85" t="s">
        <v>114</v>
      </c>
      <c r="AA372" s="85"/>
      <c r="AB372" s="85" t="s">
        <v>211</v>
      </c>
      <c r="AC372" s="85" t="s">
        <v>114</v>
      </c>
      <c r="AD372" s="85" t="s">
        <v>119</v>
      </c>
      <c r="AE372" s="85" t="s">
        <v>1824</v>
      </c>
      <c r="AF372" s="85"/>
      <c r="AG372" s="85" t="s">
        <v>59</v>
      </c>
      <c r="AH372" s="85" t="s">
        <v>107</v>
      </c>
      <c r="AI372" s="85" t="s">
        <v>59</v>
      </c>
      <c r="AJ372" s="85" t="s">
        <v>59</v>
      </c>
      <c r="AK372" s="85" t="s">
        <v>59</v>
      </c>
      <c r="AL372" s="85" t="s">
        <v>107</v>
      </c>
      <c r="AM372" s="85" t="s">
        <v>107</v>
      </c>
      <c r="AN372" s="86">
        <v>43467</v>
      </c>
      <c r="AO372" s="86">
        <v>43467</v>
      </c>
      <c r="AP372" s="86">
        <v>43467</v>
      </c>
      <c r="AQ372" s="86">
        <v>43467</v>
      </c>
      <c r="AR372" s="86">
        <v>43467</v>
      </c>
      <c r="AS372" s="86">
        <v>43467</v>
      </c>
      <c r="AT372" s="86">
        <v>43467</v>
      </c>
      <c r="AU372" s="86">
        <v>43467</v>
      </c>
      <c r="AV372" s="86">
        <v>43467</v>
      </c>
      <c r="AW372" s="86">
        <v>43467</v>
      </c>
    </row>
    <row r="373" spans="1:49" x14ac:dyDescent="0.2">
      <c r="A373" s="85" t="s">
        <v>1566</v>
      </c>
      <c r="B373" s="85" t="s">
        <v>1567</v>
      </c>
      <c r="C373" s="85" t="s">
        <v>1568</v>
      </c>
      <c r="D373" s="85" t="s">
        <v>478</v>
      </c>
      <c r="E373" s="85" t="s">
        <v>222</v>
      </c>
      <c r="F373" s="85" t="s">
        <v>106</v>
      </c>
      <c r="G373" s="85" t="s">
        <v>4</v>
      </c>
      <c r="H373" s="85" t="s">
        <v>7</v>
      </c>
      <c r="I373" s="85" t="s">
        <v>107</v>
      </c>
      <c r="J373" s="86">
        <v>43341</v>
      </c>
      <c r="K373" s="86">
        <v>43341</v>
      </c>
      <c r="L373" s="85" t="s">
        <v>107</v>
      </c>
      <c r="M373" s="85" t="s">
        <v>107</v>
      </c>
      <c r="N373" s="85" t="s">
        <v>107</v>
      </c>
      <c r="O373" s="85" t="s">
        <v>107</v>
      </c>
      <c r="P373" s="85" t="s">
        <v>107</v>
      </c>
      <c r="Q373" s="86">
        <v>43706</v>
      </c>
      <c r="R373" s="85" t="s">
        <v>107</v>
      </c>
      <c r="S373" s="85" t="s">
        <v>107</v>
      </c>
      <c r="T373" s="85" t="s">
        <v>107</v>
      </c>
      <c r="U373" s="85" t="s">
        <v>107</v>
      </c>
      <c r="V373" s="85" t="s">
        <v>107</v>
      </c>
      <c r="W373" s="85" t="s">
        <v>107</v>
      </c>
      <c r="X373" s="85" t="s">
        <v>107</v>
      </c>
      <c r="Y373" s="85" t="s">
        <v>107</v>
      </c>
      <c r="Z373" s="85" t="s">
        <v>107</v>
      </c>
      <c r="AA373" s="85" t="s">
        <v>107</v>
      </c>
      <c r="AB373" s="85" t="s">
        <v>107</v>
      </c>
      <c r="AC373" s="85" t="s">
        <v>107</v>
      </c>
      <c r="AD373" s="85" t="s">
        <v>107</v>
      </c>
      <c r="AE373" s="85" t="s">
        <v>107</v>
      </c>
      <c r="AF373" s="85" t="s">
        <v>107</v>
      </c>
      <c r="AG373" s="86">
        <v>43341</v>
      </c>
      <c r="AH373" s="85" t="s">
        <v>107</v>
      </c>
      <c r="AI373" s="85" t="s">
        <v>107</v>
      </c>
      <c r="AJ373" s="85" t="s">
        <v>107</v>
      </c>
      <c r="AK373" s="85" t="s">
        <v>107</v>
      </c>
      <c r="AL373" s="85" t="s">
        <v>107</v>
      </c>
      <c r="AM373" s="85" t="s">
        <v>107</v>
      </c>
      <c r="AN373" s="86">
        <v>43398</v>
      </c>
      <c r="AO373" s="86">
        <v>43340</v>
      </c>
      <c r="AP373" s="86">
        <v>43340</v>
      </c>
      <c r="AQ373" s="86">
        <v>43340</v>
      </c>
      <c r="AR373" s="86">
        <v>43340</v>
      </c>
      <c r="AS373" s="86">
        <v>43340</v>
      </c>
      <c r="AT373" s="86">
        <v>43340</v>
      </c>
      <c r="AU373" s="85" t="s">
        <v>107</v>
      </c>
      <c r="AV373" s="86">
        <v>43340</v>
      </c>
      <c r="AW373" s="86">
        <v>43340</v>
      </c>
    </row>
    <row r="374" spans="1:49" x14ac:dyDescent="0.2">
      <c r="A374" s="85" t="s">
        <v>1569</v>
      </c>
      <c r="B374" s="85" t="s">
        <v>1570</v>
      </c>
      <c r="C374" s="85" t="s">
        <v>1571</v>
      </c>
      <c r="D374" s="85" t="s">
        <v>1572</v>
      </c>
      <c r="E374" s="85" t="s">
        <v>121</v>
      </c>
      <c r="F374" s="85" t="s">
        <v>113</v>
      </c>
      <c r="G374" s="85" t="s">
        <v>4</v>
      </c>
      <c r="H374" s="85" t="s">
        <v>5</v>
      </c>
      <c r="I374" s="86">
        <v>43451</v>
      </c>
      <c r="J374" s="86">
        <v>43438</v>
      </c>
      <c r="K374" s="86">
        <v>43155</v>
      </c>
      <c r="L374" s="85" t="s">
        <v>99</v>
      </c>
      <c r="M374" s="86">
        <v>42776</v>
      </c>
      <c r="N374" s="85" t="s">
        <v>107</v>
      </c>
      <c r="O374" s="86">
        <v>42749</v>
      </c>
      <c r="P374" s="86">
        <v>43333</v>
      </c>
      <c r="Q374" s="86">
        <v>43847</v>
      </c>
      <c r="R374" s="85" t="s">
        <v>1652</v>
      </c>
      <c r="S374" s="86">
        <v>43525</v>
      </c>
      <c r="T374" s="85" t="s">
        <v>1652</v>
      </c>
      <c r="U374" s="86">
        <v>43434</v>
      </c>
      <c r="V374" s="86">
        <v>43616</v>
      </c>
      <c r="W374" s="85" t="s">
        <v>1657</v>
      </c>
      <c r="X374" s="85" t="s">
        <v>119</v>
      </c>
      <c r="Y374" s="85">
        <v>1</v>
      </c>
      <c r="Z374" s="85" t="s">
        <v>114</v>
      </c>
      <c r="AA374" s="85"/>
      <c r="AB374" s="85" t="s">
        <v>114</v>
      </c>
      <c r="AC374" s="85" t="s">
        <v>114</v>
      </c>
      <c r="AD374" s="85" t="s">
        <v>119</v>
      </c>
      <c r="AE374" s="85" t="s">
        <v>1664</v>
      </c>
      <c r="AF374" s="85"/>
      <c r="AG374" s="86">
        <v>43341</v>
      </c>
      <c r="AH374" s="85" t="s">
        <v>2010</v>
      </c>
      <c r="AI374" s="85"/>
      <c r="AJ374" s="85"/>
      <c r="AK374" s="86">
        <v>42029</v>
      </c>
      <c r="AL374" s="85"/>
      <c r="AM374" s="85"/>
      <c r="AN374" s="85"/>
      <c r="AO374" s="86">
        <v>43314</v>
      </c>
      <c r="AP374" s="86">
        <v>43314</v>
      </c>
      <c r="AQ374" s="86">
        <v>43314</v>
      </c>
      <c r="AR374" s="86">
        <v>43314</v>
      </c>
      <c r="AS374" s="86">
        <v>43314</v>
      </c>
      <c r="AT374" s="86">
        <v>43314</v>
      </c>
      <c r="AU374" s="86">
        <v>43314</v>
      </c>
      <c r="AV374" s="86">
        <v>43314</v>
      </c>
      <c r="AW374" s="86">
        <v>43314</v>
      </c>
    </row>
    <row r="375" spans="1:49" x14ac:dyDescent="0.2">
      <c r="A375" s="85" t="s">
        <v>2011</v>
      </c>
      <c r="B375" s="85" t="s">
        <v>2012</v>
      </c>
      <c r="C375" s="85" t="s">
        <v>2013</v>
      </c>
      <c r="D375" s="85" t="s">
        <v>2014</v>
      </c>
      <c r="E375" s="85" t="s">
        <v>141</v>
      </c>
      <c r="F375" s="85" t="s">
        <v>106</v>
      </c>
      <c r="G375" s="85" t="s">
        <v>4</v>
      </c>
      <c r="H375" s="85" t="s">
        <v>8</v>
      </c>
      <c r="I375" s="85" t="s">
        <v>107</v>
      </c>
      <c r="J375" s="86">
        <v>43502</v>
      </c>
      <c r="K375" s="85"/>
      <c r="L375" s="85" t="s">
        <v>107</v>
      </c>
      <c r="M375" s="85" t="s">
        <v>107</v>
      </c>
      <c r="N375" s="85" t="s">
        <v>107</v>
      </c>
      <c r="O375" s="85" t="s">
        <v>107</v>
      </c>
      <c r="P375" s="85" t="s">
        <v>107</v>
      </c>
      <c r="Q375" s="85" t="s">
        <v>59</v>
      </c>
      <c r="R375" s="85" t="s">
        <v>107</v>
      </c>
      <c r="S375" s="85" t="s">
        <v>107</v>
      </c>
      <c r="T375" s="85" t="s">
        <v>107</v>
      </c>
      <c r="U375" s="85" t="s">
        <v>107</v>
      </c>
      <c r="V375" s="85" t="s">
        <v>107</v>
      </c>
      <c r="W375" s="85" t="s">
        <v>107</v>
      </c>
      <c r="X375" s="85" t="s">
        <v>107</v>
      </c>
      <c r="Y375" s="85" t="s">
        <v>107</v>
      </c>
      <c r="Z375" s="85" t="s">
        <v>107</v>
      </c>
      <c r="AA375" s="85" t="s">
        <v>107</v>
      </c>
      <c r="AB375" s="85" t="s">
        <v>107</v>
      </c>
      <c r="AC375" s="85" t="s">
        <v>107</v>
      </c>
      <c r="AD375" s="85" t="s">
        <v>107</v>
      </c>
      <c r="AE375" s="85" t="s">
        <v>107</v>
      </c>
      <c r="AF375" s="85" t="s">
        <v>107</v>
      </c>
      <c r="AG375" s="86">
        <v>43503</v>
      </c>
      <c r="AH375" s="85" t="s">
        <v>107</v>
      </c>
      <c r="AI375" s="85" t="s">
        <v>107</v>
      </c>
      <c r="AJ375" s="85" t="s">
        <v>107</v>
      </c>
      <c r="AK375" s="85" t="s">
        <v>107</v>
      </c>
      <c r="AL375" s="85" t="s">
        <v>107</v>
      </c>
      <c r="AM375" s="85" t="s">
        <v>107</v>
      </c>
      <c r="AN375" s="86">
        <v>43500</v>
      </c>
      <c r="AO375" s="86">
        <v>43500</v>
      </c>
      <c r="AP375" s="86">
        <v>43500</v>
      </c>
      <c r="AQ375" s="86">
        <v>43500</v>
      </c>
      <c r="AR375" s="86">
        <v>43500</v>
      </c>
      <c r="AS375" s="86">
        <v>43500</v>
      </c>
      <c r="AT375" s="86">
        <v>43500</v>
      </c>
      <c r="AU375" s="85" t="s">
        <v>107</v>
      </c>
      <c r="AV375" s="86">
        <v>43500</v>
      </c>
      <c r="AW375" s="86">
        <v>43500</v>
      </c>
    </row>
    <row r="376" spans="1:49" x14ac:dyDescent="0.2">
      <c r="A376" s="85" t="s">
        <v>1182</v>
      </c>
      <c r="B376" s="85" t="s">
        <v>1183</v>
      </c>
      <c r="C376" s="85" t="s">
        <v>1184</v>
      </c>
      <c r="D376" s="85" t="s">
        <v>1185</v>
      </c>
      <c r="E376" s="85" t="s">
        <v>158</v>
      </c>
      <c r="F376" s="85" t="s">
        <v>144</v>
      </c>
      <c r="G376" s="85" t="s">
        <v>4</v>
      </c>
      <c r="H376" s="85" t="s">
        <v>8</v>
      </c>
      <c r="I376" s="86">
        <v>43410</v>
      </c>
      <c r="J376" s="86">
        <v>43339</v>
      </c>
      <c r="K376" s="86">
        <v>43003</v>
      </c>
      <c r="L376" s="85" t="s">
        <v>99</v>
      </c>
      <c r="M376" s="86">
        <v>43339</v>
      </c>
      <c r="N376" s="85" t="s">
        <v>107</v>
      </c>
      <c r="O376" s="86">
        <v>42761</v>
      </c>
      <c r="P376" s="86">
        <v>43269</v>
      </c>
      <c r="Q376" s="86">
        <v>43697</v>
      </c>
      <c r="R376" s="85" t="s">
        <v>1652</v>
      </c>
      <c r="S376" s="86">
        <v>44713</v>
      </c>
      <c r="T376" s="85" t="s">
        <v>1652</v>
      </c>
      <c r="U376" s="86">
        <v>42954</v>
      </c>
      <c r="V376" s="86">
        <v>43616</v>
      </c>
      <c r="W376" s="85" t="s">
        <v>1662</v>
      </c>
      <c r="X376" s="85" t="s">
        <v>114</v>
      </c>
      <c r="Y376" s="85">
        <v>1</v>
      </c>
      <c r="Z376" s="85" t="s">
        <v>114</v>
      </c>
      <c r="AA376" s="85"/>
      <c r="AB376" s="85" t="s">
        <v>114</v>
      </c>
      <c r="AC376" s="85" t="s">
        <v>114</v>
      </c>
      <c r="AD376" s="85" t="s">
        <v>114</v>
      </c>
      <c r="AE376" s="85"/>
      <c r="AF376" s="85"/>
      <c r="AG376" s="86">
        <v>43480</v>
      </c>
      <c r="AH376" s="85" t="s">
        <v>107</v>
      </c>
      <c r="AI376" s="86">
        <v>42430</v>
      </c>
      <c r="AJ376" s="86">
        <v>43377</v>
      </c>
      <c r="AK376" s="86">
        <v>42967</v>
      </c>
      <c r="AL376" s="85" t="s">
        <v>107</v>
      </c>
      <c r="AM376" s="85" t="s">
        <v>107</v>
      </c>
      <c r="AN376" s="86">
        <v>43502</v>
      </c>
      <c r="AO376" s="86">
        <v>43480</v>
      </c>
      <c r="AP376" s="86">
        <v>43502</v>
      </c>
      <c r="AQ376" s="86">
        <v>42465</v>
      </c>
      <c r="AR376" s="86">
        <v>43502</v>
      </c>
      <c r="AS376" s="86">
        <v>43502</v>
      </c>
      <c r="AT376" s="86">
        <v>43502</v>
      </c>
      <c r="AU376" s="86">
        <v>43502</v>
      </c>
      <c r="AV376" s="86">
        <v>43502</v>
      </c>
      <c r="AW376" s="86">
        <v>43502</v>
      </c>
    </row>
    <row r="377" spans="1:49" x14ac:dyDescent="0.2">
      <c r="A377" s="85" t="s">
        <v>1186</v>
      </c>
      <c r="B377" s="85" t="s">
        <v>1187</v>
      </c>
      <c r="C377" s="85" t="s">
        <v>1188</v>
      </c>
      <c r="D377" s="85" t="s">
        <v>226</v>
      </c>
      <c r="E377" s="85" t="s">
        <v>126</v>
      </c>
      <c r="F377" s="85" t="s">
        <v>100</v>
      </c>
      <c r="G377" s="85" t="s">
        <v>4</v>
      </c>
      <c r="H377" s="85" t="s">
        <v>13</v>
      </c>
      <c r="I377" s="86">
        <v>43339</v>
      </c>
      <c r="J377" s="86">
        <v>43385</v>
      </c>
      <c r="K377" s="86">
        <v>43385</v>
      </c>
      <c r="L377" s="85" t="s">
        <v>99</v>
      </c>
      <c r="M377" s="86">
        <v>42791</v>
      </c>
      <c r="N377" s="86">
        <v>42790</v>
      </c>
      <c r="O377" s="86">
        <v>42474</v>
      </c>
      <c r="P377" s="86">
        <v>43243</v>
      </c>
      <c r="Q377" s="86">
        <v>43397</v>
      </c>
      <c r="R377" s="85" t="s">
        <v>1652</v>
      </c>
      <c r="S377" s="86">
        <v>43709</v>
      </c>
      <c r="T377" s="85" t="s">
        <v>1652</v>
      </c>
      <c r="U377" s="85" t="s">
        <v>107</v>
      </c>
      <c r="V377" s="85" t="s">
        <v>107</v>
      </c>
      <c r="W377" s="85" t="s">
        <v>107</v>
      </c>
      <c r="X377" s="85" t="s">
        <v>107</v>
      </c>
      <c r="Y377" s="85" t="s">
        <v>107</v>
      </c>
      <c r="Z377" s="85" t="s">
        <v>107</v>
      </c>
      <c r="AA377" s="85" t="s">
        <v>107</v>
      </c>
      <c r="AB377" s="85" t="s">
        <v>107</v>
      </c>
      <c r="AC377" s="85" t="s">
        <v>107</v>
      </c>
      <c r="AD377" s="85" t="s">
        <v>107</v>
      </c>
      <c r="AE377" s="85" t="s">
        <v>107</v>
      </c>
      <c r="AF377" s="85" t="s">
        <v>107</v>
      </c>
      <c r="AG377" s="86">
        <v>43203</v>
      </c>
      <c r="AH377" s="85" t="s">
        <v>107</v>
      </c>
      <c r="AI377" s="85" t="s">
        <v>107</v>
      </c>
      <c r="AJ377" s="85" t="s">
        <v>107</v>
      </c>
      <c r="AK377" s="86">
        <v>41918</v>
      </c>
      <c r="AL377" s="85" t="s">
        <v>107</v>
      </c>
      <c r="AM377" s="85" t="s">
        <v>107</v>
      </c>
      <c r="AN377" s="86">
        <v>43507</v>
      </c>
      <c r="AO377" s="86">
        <v>43217</v>
      </c>
      <c r="AP377" s="86">
        <v>43507</v>
      </c>
      <c r="AQ377" s="86">
        <v>42795</v>
      </c>
      <c r="AR377" s="86">
        <v>43507</v>
      </c>
      <c r="AS377" s="86">
        <v>43507</v>
      </c>
      <c r="AT377" s="86">
        <v>43507</v>
      </c>
      <c r="AU377" s="86">
        <v>43507</v>
      </c>
      <c r="AV377" s="86">
        <v>43507</v>
      </c>
      <c r="AW377" s="86">
        <v>43507</v>
      </c>
    </row>
    <row r="378" spans="1:49" x14ac:dyDescent="0.2">
      <c r="A378" s="85" t="s">
        <v>2015</v>
      </c>
      <c r="B378" s="85" t="s">
        <v>2016</v>
      </c>
      <c r="C378" s="85" t="s">
        <v>2017</v>
      </c>
      <c r="D378" s="85" t="s">
        <v>350</v>
      </c>
      <c r="E378" s="85" t="s">
        <v>121</v>
      </c>
      <c r="F378" s="85" t="s">
        <v>106</v>
      </c>
      <c r="G378" s="85" t="s">
        <v>4</v>
      </c>
      <c r="H378" s="85" t="s">
        <v>12</v>
      </c>
      <c r="I378" s="85" t="s">
        <v>107</v>
      </c>
      <c r="J378" s="86">
        <v>43502</v>
      </c>
      <c r="K378" s="86">
        <v>43222</v>
      </c>
      <c r="L378" s="85" t="s">
        <v>107</v>
      </c>
      <c r="M378" s="85" t="s">
        <v>107</v>
      </c>
      <c r="N378" s="85" t="s">
        <v>107</v>
      </c>
      <c r="O378" s="85" t="s">
        <v>107</v>
      </c>
      <c r="P378" s="85" t="s">
        <v>107</v>
      </c>
      <c r="Q378" s="85" t="s">
        <v>59</v>
      </c>
      <c r="R378" s="85" t="s">
        <v>107</v>
      </c>
      <c r="S378" s="85" t="s">
        <v>107</v>
      </c>
      <c r="T378" s="85" t="s">
        <v>107</v>
      </c>
      <c r="U378" s="85" t="s">
        <v>107</v>
      </c>
      <c r="V378" s="85" t="s">
        <v>107</v>
      </c>
      <c r="W378" s="85" t="s">
        <v>107</v>
      </c>
      <c r="X378" s="85" t="s">
        <v>107</v>
      </c>
      <c r="Y378" s="85" t="s">
        <v>107</v>
      </c>
      <c r="Z378" s="85" t="s">
        <v>107</v>
      </c>
      <c r="AA378" s="85" t="s">
        <v>107</v>
      </c>
      <c r="AB378" s="85" t="s">
        <v>107</v>
      </c>
      <c r="AC378" s="85" t="s">
        <v>107</v>
      </c>
      <c r="AD378" s="85" t="s">
        <v>107</v>
      </c>
      <c r="AE378" s="85" t="s">
        <v>107</v>
      </c>
      <c r="AF378" s="85" t="s">
        <v>107</v>
      </c>
      <c r="AG378" s="86">
        <v>43503</v>
      </c>
      <c r="AH378" s="85" t="s">
        <v>107</v>
      </c>
      <c r="AI378" s="85" t="s">
        <v>107</v>
      </c>
      <c r="AJ378" s="85" t="s">
        <v>107</v>
      </c>
      <c r="AK378" s="85" t="s">
        <v>107</v>
      </c>
      <c r="AL378" s="85" t="s">
        <v>107</v>
      </c>
      <c r="AM378" s="85" t="s">
        <v>107</v>
      </c>
      <c r="AN378" s="85" t="s">
        <v>59</v>
      </c>
      <c r="AO378" s="85" t="s">
        <v>59</v>
      </c>
      <c r="AP378" s="85" t="s">
        <v>59</v>
      </c>
      <c r="AQ378" s="85" t="s">
        <v>59</v>
      </c>
      <c r="AR378" s="85" t="s">
        <v>59</v>
      </c>
      <c r="AS378" s="85" t="s">
        <v>59</v>
      </c>
      <c r="AT378" s="85" t="s">
        <v>59</v>
      </c>
      <c r="AU378" s="85" t="s">
        <v>107</v>
      </c>
      <c r="AV378" s="85" t="s">
        <v>59</v>
      </c>
      <c r="AW378" s="85" t="s">
        <v>59</v>
      </c>
    </row>
    <row r="379" spans="1:49" x14ac:dyDescent="0.2">
      <c r="A379" s="85" t="s">
        <v>1189</v>
      </c>
      <c r="B379" s="85" t="s">
        <v>1190</v>
      </c>
      <c r="C379" s="85" t="s">
        <v>1191</v>
      </c>
      <c r="D379" s="85" t="s">
        <v>1192</v>
      </c>
      <c r="E379" s="85" t="s">
        <v>158</v>
      </c>
      <c r="F379" s="85" t="s">
        <v>144</v>
      </c>
      <c r="G379" s="85" t="s">
        <v>4</v>
      </c>
      <c r="H379" s="85" t="s">
        <v>6</v>
      </c>
      <c r="I379" s="86">
        <v>43425</v>
      </c>
      <c r="J379" s="86">
        <v>43440</v>
      </c>
      <c r="K379" s="86">
        <v>43152</v>
      </c>
      <c r="L379" s="85" t="s">
        <v>99</v>
      </c>
      <c r="M379" s="86">
        <v>42431</v>
      </c>
      <c r="N379" s="85" t="s">
        <v>107</v>
      </c>
      <c r="O379" s="86">
        <v>42431</v>
      </c>
      <c r="P379" s="86">
        <v>43305</v>
      </c>
      <c r="Q379" s="86">
        <v>43837</v>
      </c>
      <c r="R379" s="85" t="s">
        <v>1652</v>
      </c>
      <c r="S379" s="86">
        <v>43586</v>
      </c>
      <c r="T379" s="85" t="s">
        <v>1652</v>
      </c>
      <c r="U379" s="86">
        <v>43479</v>
      </c>
      <c r="V379" s="86">
        <v>43677</v>
      </c>
      <c r="W379" s="85" t="s">
        <v>1657</v>
      </c>
      <c r="X379" s="85" t="s">
        <v>114</v>
      </c>
      <c r="Y379" s="85">
        <v>1</v>
      </c>
      <c r="Z379" s="85" t="s">
        <v>114</v>
      </c>
      <c r="AA379" s="85"/>
      <c r="AB379" s="85" t="s">
        <v>114</v>
      </c>
      <c r="AC379" s="85" t="s">
        <v>114</v>
      </c>
      <c r="AD379" s="85" t="s">
        <v>114</v>
      </c>
      <c r="AE379" s="85"/>
      <c r="AF379" s="85"/>
      <c r="AG379" s="86">
        <v>43507</v>
      </c>
      <c r="AH379" s="85" t="s">
        <v>107</v>
      </c>
      <c r="AI379" s="86">
        <v>43178</v>
      </c>
      <c r="AJ379" s="86">
        <v>43178</v>
      </c>
      <c r="AK379" s="86">
        <v>42060</v>
      </c>
      <c r="AL379" s="85" t="s">
        <v>107</v>
      </c>
      <c r="AM379" s="85" t="s">
        <v>107</v>
      </c>
      <c r="AN379" s="86">
        <v>43425</v>
      </c>
      <c r="AO379" s="86">
        <v>43425</v>
      </c>
      <c r="AP379" s="86">
        <v>43425</v>
      </c>
      <c r="AQ379" s="86">
        <v>41643</v>
      </c>
      <c r="AR379" s="86">
        <v>43425</v>
      </c>
      <c r="AS379" s="86">
        <v>43425</v>
      </c>
      <c r="AT379" s="86">
        <v>43425</v>
      </c>
      <c r="AU379" s="86">
        <v>43425</v>
      </c>
      <c r="AV379" s="86">
        <v>43425</v>
      </c>
      <c r="AW379" s="86">
        <v>43425</v>
      </c>
    </row>
    <row r="380" spans="1:49" x14ac:dyDescent="0.2">
      <c r="A380" s="85" t="s">
        <v>1193</v>
      </c>
      <c r="B380" s="85" t="s">
        <v>1194</v>
      </c>
      <c r="C380" s="85" t="s">
        <v>1195</v>
      </c>
      <c r="D380" s="85" t="s">
        <v>990</v>
      </c>
      <c r="E380" s="85" t="s">
        <v>141</v>
      </c>
      <c r="F380" s="85" t="s">
        <v>122</v>
      </c>
      <c r="G380" s="85" t="s">
        <v>4</v>
      </c>
      <c r="H380" s="85" t="s">
        <v>5</v>
      </c>
      <c r="I380" s="86">
        <v>43493</v>
      </c>
      <c r="J380" s="86">
        <v>43193</v>
      </c>
      <c r="K380" s="86">
        <v>43370</v>
      </c>
      <c r="L380" s="85" t="s">
        <v>99</v>
      </c>
      <c r="M380" s="86">
        <v>42527</v>
      </c>
      <c r="N380" s="85" t="s">
        <v>107</v>
      </c>
      <c r="O380" s="86">
        <v>42523</v>
      </c>
      <c r="P380" s="86">
        <v>43305</v>
      </c>
      <c r="Q380" s="86">
        <v>43847</v>
      </c>
      <c r="R380" s="85" t="s">
        <v>1652</v>
      </c>
      <c r="S380" s="86">
        <v>45017</v>
      </c>
      <c r="T380" s="85" t="s">
        <v>1652</v>
      </c>
      <c r="U380" s="86">
        <v>43432</v>
      </c>
      <c r="V380" s="86">
        <v>43799</v>
      </c>
      <c r="W380" s="85" t="s">
        <v>1653</v>
      </c>
      <c r="X380" s="85" t="s">
        <v>114</v>
      </c>
      <c r="Y380" s="85">
        <v>1</v>
      </c>
      <c r="Z380" s="85" t="s">
        <v>114</v>
      </c>
      <c r="AA380" s="85"/>
      <c r="AB380" s="85" t="s">
        <v>114</v>
      </c>
      <c r="AC380" s="85" t="s">
        <v>114</v>
      </c>
      <c r="AD380" s="85" t="s">
        <v>114</v>
      </c>
      <c r="AE380" s="85"/>
      <c r="AF380" s="85"/>
      <c r="AG380" s="86">
        <v>43493</v>
      </c>
      <c r="AH380" s="85" t="s">
        <v>107</v>
      </c>
      <c r="AI380" s="85"/>
      <c r="AJ380" s="86">
        <v>43431</v>
      </c>
      <c r="AK380" s="86">
        <v>42534</v>
      </c>
      <c r="AL380" s="85" t="s">
        <v>107</v>
      </c>
      <c r="AM380" s="85" t="s">
        <v>107</v>
      </c>
      <c r="AN380" s="86">
        <v>43375</v>
      </c>
      <c r="AO380" s="86">
        <v>43300</v>
      </c>
      <c r="AP380" s="86">
        <v>43300</v>
      </c>
      <c r="AQ380" s="86">
        <v>43300</v>
      </c>
      <c r="AR380" s="86">
        <v>43300</v>
      </c>
      <c r="AS380" s="86">
        <v>43300</v>
      </c>
      <c r="AT380" s="86">
        <v>43300</v>
      </c>
      <c r="AU380" s="86">
        <v>43300</v>
      </c>
      <c r="AV380" s="86">
        <v>43300</v>
      </c>
      <c r="AW380" s="86">
        <v>43300</v>
      </c>
    </row>
    <row r="381" spans="1:49" x14ac:dyDescent="0.2">
      <c r="A381" s="85" t="s">
        <v>1196</v>
      </c>
      <c r="B381" s="85" t="s">
        <v>1197</v>
      </c>
      <c r="C381" s="85" t="s">
        <v>1198</v>
      </c>
      <c r="D381" s="85" t="s">
        <v>188</v>
      </c>
      <c r="E381" s="85" t="s">
        <v>114</v>
      </c>
      <c r="F381" s="85" t="s">
        <v>106</v>
      </c>
      <c r="G381" s="85" t="s">
        <v>4</v>
      </c>
      <c r="H381" s="85" t="s">
        <v>5</v>
      </c>
      <c r="I381" s="85" t="s">
        <v>107</v>
      </c>
      <c r="J381" s="86">
        <v>43259</v>
      </c>
      <c r="K381" s="86">
        <v>43259</v>
      </c>
      <c r="L381" s="85" t="s">
        <v>107</v>
      </c>
      <c r="M381" s="85" t="s">
        <v>107</v>
      </c>
      <c r="N381" s="85" t="s">
        <v>107</v>
      </c>
      <c r="O381" s="85" t="s">
        <v>107</v>
      </c>
      <c r="P381" s="85" t="s">
        <v>107</v>
      </c>
      <c r="Q381" s="85" t="s">
        <v>59</v>
      </c>
      <c r="R381" s="85" t="s">
        <v>107</v>
      </c>
      <c r="S381" s="85" t="s">
        <v>107</v>
      </c>
      <c r="T381" s="85" t="s">
        <v>107</v>
      </c>
      <c r="U381" s="85" t="s">
        <v>107</v>
      </c>
      <c r="V381" s="85" t="s">
        <v>107</v>
      </c>
      <c r="W381" s="85" t="s">
        <v>107</v>
      </c>
      <c r="X381" s="85" t="s">
        <v>107</v>
      </c>
      <c r="Y381" s="85" t="s">
        <v>107</v>
      </c>
      <c r="Z381" s="85" t="s">
        <v>107</v>
      </c>
      <c r="AA381" s="85" t="s">
        <v>107</v>
      </c>
      <c r="AB381" s="85" t="s">
        <v>107</v>
      </c>
      <c r="AC381" s="85" t="s">
        <v>107</v>
      </c>
      <c r="AD381" s="85" t="s">
        <v>107</v>
      </c>
      <c r="AE381" s="85" t="s">
        <v>107</v>
      </c>
      <c r="AF381" s="85" t="s">
        <v>107</v>
      </c>
      <c r="AG381" s="85" t="s">
        <v>59</v>
      </c>
      <c r="AH381" s="85" t="s">
        <v>107</v>
      </c>
      <c r="AI381" s="85" t="s">
        <v>107</v>
      </c>
      <c r="AJ381" s="85" t="s">
        <v>107</v>
      </c>
      <c r="AK381" s="85" t="s">
        <v>107</v>
      </c>
      <c r="AL381" s="85" t="s">
        <v>107</v>
      </c>
      <c r="AM381" s="85" t="s">
        <v>107</v>
      </c>
      <c r="AN381" s="86">
        <v>43375</v>
      </c>
      <c r="AO381" s="86">
        <v>43256</v>
      </c>
      <c r="AP381" s="86">
        <v>43256</v>
      </c>
      <c r="AQ381" s="86">
        <v>43256</v>
      </c>
      <c r="AR381" s="86">
        <v>43256</v>
      </c>
      <c r="AS381" s="86">
        <v>43256</v>
      </c>
      <c r="AT381" s="86">
        <v>43256</v>
      </c>
      <c r="AU381" s="85" t="s">
        <v>107</v>
      </c>
      <c r="AV381" s="86">
        <v>43256</v>
      </c>
      <c r="AW381" s="86">
        <v>43256</v>
      </c>
    </row>
    <row r="382" spans="1:49" x14ac:dyDescent="0.2">
      <c r="A382" s="85" t="s">
        <v>1199</v>
      </c>
      <c r="B382" s="85" t="s">
        <v>1200</v>
      </c>
      <c r="C382" s="85" t="s">
        <v>1201</v>
      </c>
      <c r="D382" s="85" t="s">
        <v>350</v>
      </c>
      <c r="E382" s="85" t="s">
        <v>158</v>
      </c>
      <c r="F382" s="85" t="s">
        <v>144</v>
      </c>
      <c r="G382" s="85" t="s">
        <v>4</v>
      </c>
      <c r="H382" s="85" t="s">
        <v>10</v>
      </c>
      <c r="I382" s="86">
        <v>43408</v>
      </c>
      <c r="J382" s="86">
        <v>43507</v>
      </c>
      <c r="K382" s="86">
        <v>43028</v>
      </c>
      <c r="L382" s="85" t="s">
        <v>99</v>
      </c>
      <c r="M382" s="86">
        <v>43028</v>
      </c>
      <c r="N382" s="85" t="s">
        <v>107</v>
      </c>
      <c r="O382" s="86">
        <v>42678</v>
      </c>
      <c r="P382" s="86">
        <v>43243</v>
      </c>
      <c r="Q382" s="86">
        <v>43393</v>
      </c>
      <c r="R382" s="85" t="s">
        <v>1652</v>
      </c>
      <c r="S382" s="86">
        <v>43556</v>
      </c>
      <c r="T382" s="85" t="s">
        <v>1652</v>
      </c>
      <c r="U382" s="86">
        <v>43454</v>
      </c>
      <c r="V382" s="86">
        <v>43830</v>
      </c>
      <c r="W382" s="85" t="s">
        <v>1653</v>
      </c>
      <c r="X382" s="85" t="s">
        <v>114</v>
      </c>
      <c r="Y382" s="85">
        <v>1</v>
      </c>
      <c r="Z382" s="85" t="s">
        <v>114</v>
      </c>
      <c r="AA382" s="85" t="s">
        <v>1663</v>
      </c>
      <c r="AB382" s="85" t="s">
        <v>114</v>
      </c>
      <c r="AC382" s="85" t="s">
        <v>114</v>
      </c>
      <c r="AD382" s="85" t="s">
        <v>114</v>
      </c>
      <c r="AE382" s="85"/>
      <c r="AF382" s="85"/>
      <c r="AG382" s="86">
        <v>43225</v>
      </c>
      <c r="AH382" s="85" t="s">
        <v>107</v>
      </c>
      <c r="AI382" s="86">
        <v>42025</v>
      </c>
      <c r="AJ382" s="86">
        <v>43178</v>
      </c>
      <c r="AK382" s="86">
        <v>43028</v>
      </c>
      <c r="AL382" s="85" t="s">
        <v>107</v>
      </c>
      <c r="AM382" s="85" t="s">
        <v>107</v>
      </c>
      <c r="AN382" s="86">
        <v>43403</v>
      </c>
      <c r="AO382" s="86">
        <v>43207</v>
      </c>
      <c r="AP382" s="86">
        <v>43048</v>
      </c>
      <c r="AQ382" s="86">
        <v>42303</v>
      </c>
      <c r="AR382" s="86">
        <v>43482</v>
      </c>
      <c r="AS382" s="86">
        <v>43397</v>
      </c>
      <c r="AT382" s="86">
        <v>42818</v>
      </c>
      <c r="AU382" s="86">
        <v>43484</v>
      </c>
      <c r="AV382" s="86">
        <v>43484</v>
      </c>
      <c r="AW382" s="86">
        <v>43484</v>
      </c>
    </row>
    <row r="383" spans="1:49" x14ac:dyDescent="0.2">
      <c r="A383" s="85" t="s">
        <v>1573</v>
      </c>
      <c r="B383" s="85" t="s">
        <v>1574</v>
      </c>
      <c r="C383" s="85" t="s">
        <v>1575</v>
      </c>
      <c r="D383" s="85" t="s">
        <v>1576</v>
      </c>
      <c r="E383" s="85" t="s">
        <v>141</v>
      </c>
      <c r="F383" s="85" t="s">
        <v>106</v>
      </c>
      <c r="G383" s="85" t="s">
        <v>4</v>
      </c>
      <c r="H383" s="85" t="s">
        <v>7</v>
      </c>
      <c r="I383" s="85" t="s">
        <v>107</v>
      </c>
      <c r="J383" s="85" t="s">
        <v>59</v>
      </c>
      <c r="K383" s="85" t="s">
        <v>59</v>
      </c>
      <c r="L383" s="85" t="s">
        <v>107</v>
      </c>
      <c r="M383" s="85" t="s">
        <v>107</v>
      </c>
      <c r="N383" s="85" t="s">
        <v>107</v>
      </c>
      <c r="O383" s="85" t="s">
        <v>107</v>
      </c>
      <c r="P383" s="85" t="s">
        <v>107</v>
      </c>
      <c r="Q383" s="86">
        <v>43706</v>
      </c>
      <c r="R383" s="85" t="s">
        <v>107</v>
      </c>
      <c r="S383" s="85" t="s">
        <v>107</v>
      </c>
      <c r="T383" s="85" t="s">
        <v>107</v>
      </c>
      <c r="U383" s="85" t="s">
        <v>107</v>
      </c>
      <c r="V383" s="85" t="s">
        <v>107</v>
      </c>
      <c r="W383" s="85" t="s">
        <v>107</v>
      </c>
      <c r="X383" s="85" t="s">
        <v>107</v>
      </c>
      <c r="Y383" s="85" t="s">
        <v>107</v>
      </c>
      <c r="Z383" s="85" t="s">
        <v>107</v>
      </c>
      <c r="AA383" s="85" t="s">
        <v>107</v>
      </c>
      <c r="AB383" s="85" t="s">
        <v>107</v>
      </c>
      <c r="AC383" s="85" t="s">
        <v>107</v>
      </c>
      <c r="AD383" s="85" t="s">
        <v>107</v>
      </c>
      <c r="AE383" s="85" t="s">
        <v>107</v>
      </c>
      <c r="AF383" s="85" t="s">
        <v>107</v>
      </c>
      <c r="AG383" s="86">
        <v>43342</v>
      </c>
      <c r="AH383" s="85" t="s">
        <v>107</v>
      </c>
      <c r="AI383" s="85" t="s">
        <v>107</v>
      </c>
      <c r="AJ383" s="85" t="s">
        <v>107</v>
      </c>
      <c r="AK383" s="85" t="s">
        <v>107</v>
      </c>
      <c r="AL383" s="85" t="s">
        <v>107</v>
      </c>
      <c r="AM383" s="85" t="s">
        <v>107</v>
      </c>
      <c r="AN383" s="86">
        <v>43398</v>
      </c>
      <c r="AO383" s="86">
        <v>43340</v>
      </c>
      <c r="AP383" s="86">
        <v>43340</v>
      </c>
      <c r="AQ383" s="86">
        <v>43340</v>
      </c>
      <c r="AR383" s="86">
        <v>43340</v>
      </c>
      <c r="AS383" s="86">
        <v>43340</v>
      </c>
      <c r="AT383" s="86">
        <v>43340</v>
      </c>
      <c r="AU383" s="85" t="s">
        <v>107</v>
      </c>
      <c r="AV383" s="86">
        <v>43340</v>
      </c>
      <c r="AW383" s="86">
        <v>43340</v>
      </c>
    </row>
    <row r="384" spans="1:49" x14ac:dyDescent="0.2">
      <c r="A384" s="85" t="s">
        <v>1202</v>
      </c>
      <c r="B384" s="85" t="s">
        <v>1203</v>
      </c>
      <c r="C384" s="85" t="s">
        <v>1204</v>
      </c>
      <c r="D384" s="85" t="s">
        <v>1205</v>
      </c>
      <c r="E384" s="85" t="s">
        <v>206</v>
      </c>
      <c r="F384" s="85" t="s">
        <v>122</v>
      </c>
      <c r="G384" s="85" t="s">
        <v>4</v>
      </c>
      <c r="H384" s="85" t="s">
        <v>7</v>
      </c>
      <c r="I384" s="86">
        <v>43408</v>
      </c>
      <c r="J384" s="86">
        <v>43501</v>
      </c>
      <c r="K384" s="86">
        <v>43123</v>
      </c>
      <c r="L384" s="85" t="s">
        <v>99</v>
      </c>
      <c r="M384" s="86">
        <v>43132</v>
      </c>
      <c r="N384" s="85" t="s">
        <v>107</v>
      </c>
      <c r="O384" s="86">
        <v>43315</v>
      </c>
      <c r="P384" s="86">
        <v>43276</v>
      </c>
      <c r="Q384" s="86">
        <v>43738</v>
      </c>
      <c r="R384" s="85" t="s">
        <v>1652</v>
      </c>
      <c r="S384" s="86">
        <v>43922</v>
      </c>
      <c r="T384" s="85" t="s">
        <v>1652</v>
      </c>
      <c r="U384" s="86">
        <v>43363</v>
      </c>
      <c r="V384" s="86">
        <v>43555</v>
      </c>
      <c r="W384" s="85" t="s">
        <v>1657</v>
      </c>
      <c r="X384" s="85" t="s">
        <v>114</v>
      </c>
      <c r="Y384" s="85">
        <v>1</v>
      </c>
      <c r="Z384" s="85" t="s">
        <v>211</v>
      </c>
      <c r="AA384" s="85"/>
      <c r="AB384" s="85" t="s">
        <v>114</v>
      </c>
      <c r="AC384" s="85" t="s">
        <v>114</v>
      </c>
      <c r="AD384" s="85" t="s">
        <v>211</v>
      </c>
      <c r="AE384" s="85" t="s">
        <v>1661</v>
      </c>
      <c r="AF384" s="86">
        <v>43593</v>
      </c>
      <c r="AG384" s="86">
        <v>43417</v>
      </c>
      <c r="AH384" s="85" t="s">
        <v>107</v>
      </c>
      <c r="AI384" s="86">
        <v>43136</v>
      </c>
      <c r="AJ384" s="86">
        <v>43136</v>
      </c>
      <c r="AK384" s="86">
        <v>43123</v>
      </c>
      <c r="AL384" s="85" t="s">
        <v>107</v>
      </c>
      <c r="AM384" s="85" t="s">
        <v>107</v>
      </c>
      <c r="AN384" s="86">
        <v>43398</v>
      </c>
      <c r="AO384" s="86">
        <v>43207</v>
      </c>
      <c r="AP384" s="86">
        <v>43111</v>
      </c>
      <c r="AQ384" s="86">
        <v>43119</v>
      </c>
      <c r="AR384" s="86">
        <v>43119</v>
      </c>
      <c r="AS384" s="86">
        <v>43119</v>
      </c>
      <c r="AT384" s="86">
        <v>43119</v>
      </c>
      <c r="AU384" s="86">
        <v>43119</v>
      </c>
      <c r="AV384" s="86">
        <v>43119</v>
      </c>
      <c r="AW384" s="86">
        <v>43119</v>
      </c>
    </row>
    <row r="385" spans="1:49" x14ac:dyDescent="0.2">
      <c r="A385" s="85" t="s">
        <v>1206</v>
      </c>
      <c r="B385" s="85" t="s">
        <v>1207</v>
      </c>
      <c r="C385" s="85" t="s">
        <v>1208</v>
      </c>
      <c r="D385" s="85" t="s">
        <v>226</v>
      </c>
      <c r="E385" s="85" t="s">
        <v>112</v>
      </c>
      <c r="F385" s="85" t="s">
        <v>106</v>
      </c>
      <c r="G385" s="85" t="s">
        <v>4</v>
      </c>
      <c r="H385" s="85" t="s">
        <v>7</v>
      </c>
      <c r="I385" s="85" t="s">
        <v>107</v>
      </c>
      <c r="J385" s="86">
        <v>43167</v>
      </c>
      <c r="K385" s="86">
        <v>43164</v>
      </c>
      <c r="L385" s="85" t="s">
        <v>107</v>
      </c>
      <c r="M385" s="85" t="s">
        <v>107</v>
      </c>
      <c r="N385" s="85" t="s">
        <v>107</v>
      </c>
      <c r="O385" s="85" t="s">
        <v>107</v>
      </c>
      <c r="P385" s="85" t="s">
        <v>107</v>
      </c>
      <c r="Q385" s="86">
        <v>43532</v>
      </c>
      <c r="R385" s="85" t="s">
        <v>107</v>
      </c>
      <c r="S385" s="85" t="s">
        <v>107</v>
      </c>
      <c r="T385" s="85" t="s">
        <v>107</v>
      </c>
      <c r="U385" s="85" t="s">
        <v>107</v>
      </c>
      <c r="V385" s="85" t="s">
        <v>107</v>
      </c>
      <c r="W385" s="85" t="s">
        <v>107</v>
      </c>
      <c r="X385" s="85" t="s">
        <v>107</v>
      </c>
      <c r="Y385" s="85" t="s">
        <v>107</v>
      </c>
      <c r="Z385" s="85" t="s">
        <v>107</v>
      </c>
      <c r="AA385" s="85" t="s">
        <v>107</v>
      </c>
      <c r="AB385" s="85" t="s">
        <v>107</v>
      </c>
      <c r="AC385" s="85" t="s">
        <v>107</v>
      </c>
      <c r="AD385" s="85" t="s">
        <v>107</v>
      </c>
      <c r="AE385" s="85" t="s">
        <v>107</v>
      </c>
      <c r="AF385" s="85" t="s">
        <v>107</v>
      </c>
      <c r="AG385" s="86">
        <v>43276</v>
      </c>
      <c r="AH385" s="85" t="s">
        <v>107</v>
      </c>
      <c r="AI385" s="85" t="s">
        <v>107</v>
      </c>
      <c r="AJ385" s="85" t="s">
        <v>107</v>
      </c>
      <c r="AK385" s="85" t="s">
        <v>107</v>
      </c>
      <c r="AL385" s="85" t="s">
        <v>107</v>
      </c>
      <c r="AM385" s="85" t="s">
        <v>107</v>
      </c>
      <c r="AN385" s="86">
        <v>43398</v>
      </c>
      <c r="AO385" s="86">
        <v>43207</v>
      </c>
      <c r="AP385" s="86">
        <v>43315</v>
      </c>
      <c r="AQ385" s="86">
        <v>43315</v>
      </c>
      <c r="AR385" s="86">
        <v>43315</v>
      </c>
      <c r="AS385" s="86">
        <v>43315</v>
      </c>
      <c r="AT385" s="86">
        <v>43315</v>
      </c>
      <c r="AU385" s="85" t="s">
        <v>107</v>
      </c>
      <c r="AV385" s="86">
        <v>43315</v>
      </c>
      <c r="AW385" s="86">
        <v>43315</v>
      </c>
    </row>
    <row r="386" spans="1:49" x14ac:dyDescent="0.2">
      <c r="A386" s="85" t="s">
        <v>1209</v>
      </c>
      <c r="B386" s="85" t="s">
        <v>1210</v>
      </c>
      <c r="C386" s="85" t="s">
        <v>1211</v>
      </c>
      <c r="D386" s="85" t="s">
        <v>195</v>
      </c>
      <c r="E386" s="85" t="s">
        <v>222</v>
      </c>
      <c r="F386" s="85" t="s">
        <v>144</v>
      </c>
      <c r="G386" s="85" t="s">
        <v>4</v>
      </c>
      <c r="H386" s="85" t="s">
        <v>15</v>
      </c>
      <c r="I386" s="86">
        <v>43451</v>
      </c>
      <c r="J386" s="86">
        <v>43424</v>
      </c>
      <c r="K386" s="86">
        <v>43313</v>
      </c>
      <c r="L386" s="85" t="s">
        <v>99</v>
      </c>
      <c r="M386" s="86">
        <v>43045</v>
      </c>
      <c r="N386" s="85" t="s">
        <v>107</v>
      </c>
      <c r="O386" s="86">
        <v>43313</v>
      </c>
      <c r="P386" s="86">
        <v>43276</v>
      </c>
      <c r="Q386" s="86">
        <v>43670</v>
      </c>
      <c r="R386" s="85" t="s">
        <v>1652</v>
      </c>
      <c r="S386" s="86">
        <v>43922</v>
      </c>
      <c r="T386" s="85" t="s">
        <v>1652</v>
      </c>
      <c r="U386" s="86">
        <v>43307</v>
      </c>
      <c r="V386" s="86">
        <v>43677</v>
      </c>
      <c r="W386" s="85" t="s">
        <v>1653</v>
      </c>
      <c r="X386" s="85" t="s">
        <v>114</v>
      </c>
      <c r="Y386" s="85">
        <v>2</v>
      </c>
      <c r="Z386" s="85" t="s">
        <v>114</v>
      </c>
      <c r="AA386" s="85"/>
      <c r="AB386" s="85" t="s">
        <v>114</v>
      </c>
      <c r="AC386" s="85" t="s">
        <v>114</v>
      </c>
      <c r="AD386" s="85" t="s">
        <v>114</v>
      </c>
      <c r="AE386" s="85"/>
      <c r="AF386" s="85"/>
      <c r="AG386" s="86">
        <v>43313</v>
      </c>
      <c r="AH386" s="85" t="s">
        <v>107</v>
      </c>
      <c r="AI386" s="86">
        <v>43284</v>
      </c>
      <c r="AJ386" s="86">
        <v>43284</v>
      </c>
      <c r="AK386" s="86">
        <v>42259</v>
      </c>
      <c r="AL386" s="85" t="s">
        <v>107</v>
      </c>
      <c r="AM386" s="85" t="s">
        <v>107</v>
      </c>
      <c r="AN386" s="86">
        <v>43375</v>
      </c>
      <c r="AO386" s="86">
        <v>43229</v>
      </c>
      <c r="AP386" s="86">
        <v>43229</v>
      </c>
      <c r="AQ386" s="86">
        <v>43229</v>
      </c>
      <c r="AR386" s="86">
        <v>43229</v>
      </c>
      <c r="AS386" s="86">
        <v>43229</v>
      </c>
      <c r="AT386" s="86">
        <v>43229</v>
      </c>
      <c r="AU386" s="86">
        <v>43229</v>
      </c>
      <c r="AV386" s="86">
        <v>43229</v>
      </c>
      <c r="AW386" s="86">
        <v>43229</v>
      </c>
    </row>
    <row r="387" spans="1:49" x14ac:dyDescent="0.2">
      <c r="A387" s="85" t="s">
        <v>1212</v>
      </c>
      <c r="B387" s="85" t="s">
        <v>1213</v>
      </c>
      <c r="C387" s="85" t="s">
        <v>1214</v>
      </c>
      <c r="D387" s="85" t="s">
        <v>1215</v>
      </c>
      <c r="E387" s="85"/>
      <c r="F387" s="85" t="s">
        <v>106</v>
      </c>
      <c r="G387" s="85" t="s">
        <v>4</v>
      </c>
      <c r="H387" s="85" t="s">
        <v>7</v>
      </c>
      <c r="I387" s="85" t="s">
        <v>107</v>
      </c>
      <c r="J387" s="86">
        <v>43308</v>
      </c>
      <c r="K387" s="85"/>
      <c r="L387" s="85" t="s">
        <v>107</v>
      </c>
      <c r="M387" s="85" t="s">
        <v>107</v>
      </c>
      <c r="N387" s="85" t="s">
        <v>107</v>
      </c>
      <c r="O387" s="85" t="s">
        <v>107</v>
      </c>
      <c r="P387" s="85" t="s">
        <v>107</v>
      </c>
      <c r="Q387" s="85" t="s">
        <v>59</v>
      </c>
      <c r="R387" s="85" t="s">
        <v>107</v>
      </c>
      <c r="S387" s="85" t="s">
        <v>107</v>
      </c>
      <c r="T387" s="85" t="s">
        <v>107</v>
      </c>
      <c r="U387" s="85" t="s">
        <v>107</v>
      </c>
      <c r="V387" s="85" t="s">
        <v>107</v>
      </c>
      <c r="W387" s="85" t="s">
        <v>107</v>
      </c>
      <c r="X387" s="85" t="s">
        <v>107</v>
      </c>
      <c r="Y387" s="85" t="s">
        <v>107</v>
      </c>
      <c r="Z387" s="85" t="s">
        <v>107</v>
      </c>
      <c r="AA387" s="85" t="s">
        <v>107</v>
      </c>
      <c r="AB387" s="85" t="s">
        <v>107</v>
      </c>
      <c r="AC387" s="85" t="s">
        <v>107</v>
      </c>
      <c r="AD387" s="85" t="s">
        <v>107</v>
      </c>
      <c r="AE387" s="85" t="s">
        <v>107</v>
      </c>
      <c r="AF387" s="85" t="s">
        <v>107</v>
      </c>
      <c r="AG387" s="85" t="s">
        <v>59</v>
      </c>
      <c r="AH387" s="85" t="s">
        <v>2018</v>
      </c>
      <c r="AI387" s="85" t="s">
        <v>107</v>
      </c>
      <c r="AJ387" s="85" t="s">
        <v>107</v>
      </c>
      <c r="AK387" s="85" t="s">
        <v>107</v>
      </c>
      <c r="AL387" s="85" t="s">
        <v>107</v>
      </c>
      <c r="AM387" s="85" t="s">
        <v>107</v>
      </c>
      <c r="AN387" s="85"/>
      <c r="AO387" s="86">
        <v>43305</v>
      </c>
      <c r="AP387" s="86">
        <v>43305</v>
      </c>
      <c r="AQ387" s="86">
        <v>43305</v>
      </c>
      <c r="AR387" s="86">
        <v>43305</v>
      </c>
      <c r="AS387" s="86">
        <v>43305</v>
      </c>
      <c r="AT387" s="86">
        <v>43305</v>
      </c>
      <c r="AU387" s="85" t="s">
        <v>107</v>
      </c>
      <c r="AV387" s="86">
        <v>43305</v>
      </c>
      <c r="AW387" s="86">
        <v>43305</v>
      </c>
    </row>
    <row r="388" spans="1:49" x14ac:dyDescent="0.2">
      <c r="A388" s="85" t="s">
        <v>1216</v>
      </c>
      <c r="B388" s="85" t="s">
        <v>1217</v>
      </c>
      <c r="C388" s="85" t="s">
        <v>1218</v>
      </c>
      <c r="D388" s="85" t="s">
        <v>1219</v>
      </c>
      <c r="E388" s="85" t="s">
        <v>121</v>
      </c>
      <c r="F388" s="85" t="s">
        <v>122</v>
      </c>
      <c r="G388" s="85" t="s">
        <v>4</v>
      </c>
      <c r="H388" s="85" t="s">
        <v>12</v>
      </c>
      <c r="I388" s="86">
        <v>43368</v>
      </c>
      <c r="J388" s="86">
        <v>43326</v>
      </c>
      <c r="K388" s="86">
        <v>43326</v>
      </c>
      <c r="L388" s="85" t="s">
        <v>99</v>
      </c>
      <c r="M388" s="86">
        <v>42817</v>
      </c>
      <c r="N388" s="85" t="s">
        <v>107</v>
      </c>
      <c r="O388" s="86">
        <v>43326</v>
      </c>
      <c r="P388" s="86">
        <v>43227</v>
      </c>
      <c r="Q388" s="86">
        <v>43490</v>
      </c>
      <c r="R388" s="85" t="s">
        <v>1652</v>
      </c>
      <c r="S388" s="86">
        <v>44105</v>
      </c>
      <c r="T388" s="85" t="s">
        <v>1652</v>
      </c>
      <c r="U388" s="86">
        <v>43272</v>
      </c>
      <c r="V388" s="86">
        <v>43646</v>
      </c>
      <c r="W388" s="85" t="s">
        <v>1653</v>
      </c>
      <c r="X388" s="85" t="s">
        <v>114</v>
      </c>
      <c r="Y388" s="85">
        <v>1</v>
      </c>
      <c r="Z388" s="85" t="s">
        <v>114</v>
      </c>
      <c r="AA388" s="85"/>
      <c r="AB388" s="85" t="s">
        <v>114</v>
      </c>
      <c r="AC388" s="85" t="s">
        <v>114</v>
      </c>
      <c r="AD388" s="85" t="s">
        <v>114</v>
      </c>
      <c r="AE388" s="85"/>
      <c r="AF388" s="85"/>
      <c r="AG388" s="86">
        <v>43371</v>
      </c>
      <c r="AH388" s="85" t="s">
        <v>107</v>
      </c>
      <c r="AI388" s="86">
        <v>42702</v>
      </c>
      <c r="AJ388" s="86">
        <v>43219</v>
      </c>
      <c r="AK388" s="86">
        <v>43199</v>
      </c>
      <c r="AL388" s="85" t="s">
        <v>107</v>
      </c>
      <c r="AM388" s="85" t="s">
        <v>107</v>
      </c>
      <c r="AN388" s="85"/>
      <c r="AO388" s="86">
        <v>43259</v>
      </c>
      <c r="AP388" s="86">
        <v>43157</v>
      </c>
      <c r="AQ388" s="86">
        <v>42850</v>
      </c>
      <c r="AR388" s="86">
        <v>43294</v>
      </c>
      <c r="AS388" s="86">
        <v>43294</v>
      </c>
      <c r="AT388" s="86">
        <v>43294</v>
      </c>
      <c r="AU388" s="86">
        <v>43294</v>
      </c>
      <c r="AV388" s="86">
        <v>43294</v>
      </c>
      <c r="AW388" s="86">
        <v>43294</v>
      </c>
    </row>
    <row r="389" spans="1:49" x14ac:dyDescent="0.2">
      <c r="A389" s="85" t="s">
        <v>1577</v>
      </c>
      <c r="B389" s="85" t="s">
        <v>1578</v>
      </c>
      <c r="C389" s="85" t="s">
        <v>1579</v>
      </c>
      <c r="D389" s="85" t="s">
        <v>196</v>
      </c>
      <c r="E389" s="85" t="s">
        <v>149</v>
      </c>
      <c r="F389" s="85" t="s">
        <v>106</v>
      </c>
      <c r="G389" s="85" t="s">
        <v>4</v>
      </c>
      <c r="H389" s="85" t="s">
        <v>7</v>
      </c>
      <c r="I389" s="85" t="s">
        <v>107</v>
      </c>
      <c r="J389" s="86">
        <v>43341</v>
      </c>
      <c r="K389" s="86">
        <v>43341</v>
      </c>
      <c r="L389" s="85" t="s">
        <v>107</v>
      </c>
      <c r="M389" s="85" t="s">
        <v>107</v>
      </c>
      <c r="N389" s="85" t="s">
        <v>107</v>
      </c>
      <c r="O389" s="85" t="s">
        <v>107</v>
      </c>
      <c r="P389" s="85" t="s">
        <v>107</v>
      </c>
      <c r="Q389" s="86">
        <v>43706</v>
      </c>
      <c r="R389" s="85" t="s">
        <v>107</v>
      </c>
      <c r="S389" s="85" t="s">
        <v>107</v>
      </c>
      <c r="T389" s="85" t="s">
        <v>107</v>
      </c>
      <c r="U389" s="85" t="s">
        <v>107</v>
      </c>
      <c r="V389" s="85" t="s">
        <v>107</v>
      </c>
      <c r="W389" s="85" t="s">
        <v>107</v>
      </c>
      <c r="X389" s="85" t="s">
        <v>107</v>
      </c>
      <c r="Y389" s="85" t="s">
        <v>107</v>
      </c>
      <c r="Z389" s="85" t="s">
        <v>107</v>
      </c>
      <c r="AA389" s="85" t="s">
        <v>107</v>
      </c>
      <c r="AB389" s="85" t="s">
        <v>107</v>
      </c>
      <c r="AC389" s="85" t="s">
        <v>107</v>
      </c>
      <c r="AD389" s="85" t="s">
        <v>107</v>
      </c>
      <c r="AE389" s="85" t="s">
        <v>107</v>
      </c>
      <c r="AF389" s="85" t="s">
        <v>107</v>
      </c>
      <c r="AG389" s="86">
        <v>43342</v>
      </c>
      <c r="AH389" s="85" t="s">
        <v>107</v>
      </c>
      <c r="AI389" s="85" t="s">
        <v>107</v>
      </c>
      <c r="AJ389" s="85" t="s">
        <v>107</v>
      </c>
      <c r="AK389" s="85" t="s">
        <v>107</v>
      </c>
      <c r="AL389" s="85" t="s">
        <v>107</v>
      </c>
      <c r="AM389" s="85" t="s">
        <v>107</v>
      </c>
      <c r="AN389" s="86">
        <v>43398</v>
      </c>
      <c r="AO389" s="86">
        <v>43340</v>
      </c>
      <c r="AP389" s="86">
        <v>43340</v>
      </c>
      <c r="AQ389" s="86">
        <v>43340</v>
      </c>
      <c r="AR389" s="86">
        <v>43340</v>
      </c>
      <c r="AS389" s="86">
        <v>43340</v>
      </c>
      <c r="AT389" s="86">
        <v>43340</v>
      </c>
      <c r="AU389" s="85" t="s">
        <v>107</v>
      </c>
      <c r="AV389" s="86">
        <v>43340</v>
      </c>
      <c r="AW389" s="86">
        <v>43340</v>
      </c>
    </row>
    <row r="390" spans="1:49" x14ac:dyDescent="0.2">
      <c r="A390" s="85" t="s">
        <v>1220</v>
      </c>
      <c r="B390" s="85" t="s">
        <v>1221</v>
      </c>
      <c r="C390" s="85" t="s">
        <v>1222</v>
      </c>
      <c r="D390" s="85" t="s">
        <v>1121</v>
      </c>
      <c r="E390" s="85" t="s">
        <v>141</v>
      </c>
      <c r="F390" s="85" t="s">
        <v>106</v>
      </c>
      <c r="G390" s="85" t="s">
        <v>4</v>
      </c>
      <c r="H390" s="85" t="s">
        <v>7</v>
      </c>
      <c r="I390" s="85" t="s">
        <v>107</v>
      </c>
      <c r="J390" s="86">
        <v>43167</v>
      </c>
      <c r="K390" s="86">
        <v>43164</v>
      </c>
      <c r="L390" s="85" t="s">
        <v>107</v>
      </c>
      <c r="M390" s="85" t="s">
        <v>107</v>
      </c>
      <c r="N390" s="85" t="s">
        <v>107</v>
      </c>
      <c r="O390" s="85" t="s">
        <v>107</v>
      </c>
      <c r="P390" s="85" t="s">
        <v>107</v>
      </c>
      <c r="Q390" s="86">
        <v>43532</v>
      </c>
      <c r="R390" s="85" t="s">
        <v>107</v>
      </c>
      <c r="S390" s="85" t="s">
        <v>107</v>
      </c>
      <c r="T390" s="85" t="s">
        <v>107</v>
      </c>
      <c r="U390" s="85" t="s">
        <v>107</v>
      </c>
      <c r="V390" s="85" t="s">
        <v>107</v>
      </c>
      <c r="W390" s="85" t="s">
        <v>107</v>
      </c>
      <c r="X390" s="85" t="s">
        <v>107</v>
      </c>
      <c r="Y390" s="85" t="s">
        <v>107</v>
      </c>
      <c r="Z390" s="85" t="s">
        <v>107</v>
      </c>
      <c r="AA390" s="85" t="s">
        <v>107</v>
      </c>
      <c r="AB390" s="85" t="s">
        <v>107</v>
      </c>
      <c r="AC390" s="85" t="s">
        <v>107</v>
      </c>
      <c r="AD390" s="85" t="s">
        <v>107</v>
      </c>
      <c r="AE390" s="85" t="s">
        <v>107</v>
      </c>
      <c r="AF390" s="85" t="s">
        <v>107</v>
      </c>
      <c r="AG390" s="86">
        <v>43167</v>
      </c>
      <c r="AH390" s="85" t="s">
        <v>107</v>
      </c>
      <c r="AI390" s="85" t="s">
        <v>107</v>
      </c>
      <c r="AJ390" s="85" t="s">
        <v>107</v>
      </c>
      <c r="AK390" s="85" t="s">
        <v>107</v>
      </c>
      <c r="AL390" s="85" t="s">
        <v>107</v>
      </c>
      <c r="AM390" s="85" t="s">
        <v>107</v>
      </c>
      <c r="AN390" s="86">
        <v>43398</v>
      </c>
      <c r="AO390" s="86">
        <v>43207</v>
      </c>
      <c r="AP390" s="86">
        <v>43171</v>
      </c>
      <c r="AQ390" s="86">
        <v>43118</v>
      </c>
      <c r="AR390" s="86">
        <v>43171</v>
      </c>
      <c r="AS390" s="86">
        <v>43171</v>
      </c>
      <c r="AT390" s="86">
        <v>43171</v>
      </c>
      <c r="AU390" s="85" t="s">
        <v>107</v>
      </c>
      <c r="AV390" s="86">
        <v>43171</v>
      </c>
      <c r="AW390" s="86">
        <v>43171</v>
      </c>
    </row>
    <row r="391" spans="1:49" x14ac:dyDescent="0.2">
      <c r="A391" s="85" t="s">
        <v>1223</v>
      </c>
      <c r="B391" s="85" t="s">
        <v>1224</v>
      </c>
      <c r="C391" s="85" t="s">
        <v>1225</v>
      </c>
      <c r="D391" s="85" t="s">
        <v>1226</v>
      </c>
      <c r="E391" s="85" t="s">
        <v>126</v>
      </c>
      <c r="F391" s="85" t="s">
        <v>122</v>
      </c>
      <c r="G391" s="85" t="s">
        <v>4</v>
      </c>
      <c r="H391" s="85" t="s">
        <v>8</v>
      </c>
      <c r="I391" s="86">
        <v>43455</v>
      </c>
      <c r="J391" s="86">
        <v>43507</v>
      </c>
      <c r="K391" s="86">
        <v>43167</v>
      </c>
      <c r="L391" s="85" t="s">
        <v>99</v>
      </c>
      <c r="M391" s="86">
        <v>42528</v>
      </c>
      <c r="N391" s="85" t="s">
        <v>107</v>
      </c>
      <c r="O391" s="86">
        <v>43167</v>
      </c>
      <c r="P391" s="86">
        <v>43172</v>
      </c>
      <c r="Q391" s="86">
        <v>43490</v>
      </c>
      <c r="R391" s="85" t="s">
        <v>1652</v>
      </c>
      <c r="S391" s="86">
        <v>43497</v>
      </c>
      <c r="T391" s="85" t="s">
        <v>1652</v>
      </c>
      <c r="U391" s="86">
        <v>43300</v>
      </c>
      <c r="V391" s="86">
        <v>43677</v>
      </c>
      <c r="W391" s="85" t="s">
        <v>1653</v>
      </c>
      <c r="X391" s="85" t="s">
        <v>114</v>
      </c>
      <c r="Y391" s="85">
        <v>1</v>
      </c>
      <c r="Z391" s="85" t="s">
        <v>114</v>
      </c>
      <c r="AA391" s="85"/>
      <c r="AB391" s="85" t="s">
        <v>114</v>
      </c>
      <c r="AC391" s="85" t="s">
        <v>114</v>
      </c>
      <c r="AD391" s="85" t="s">
        <v>114</v>
      </c>
      <c r="AE391" s="85"/>
      <c r="AF391" s="85"/>
      <c r="AG391" s="86">
        <v>43167</v>
      </c>
      <c r="AH391" s="85" t="s">
        <v>107</v>
      </c>
      <c r="AI391" s="86">
        <v>42483</v>
      </c>
      <c r="AJ391" s="86">
        <v>43177</v>
      </c>
      <c r="AK391" s="86">
        <v>43167</v>
      </c>
      <c r="AL391" s="86">
        <v>43117</v>
      </c>
      <c r="AM391" s="86">
        <v>43117</v>
      </c>
      <c r="AN391" s="86">
        <v>43405</v>
      </c>
      <c r="AO391" s="86">
        <v>43209</v>
      </c>
      <c r="AP391" s="86">
        <v>43125</v>
      </c>
      <c r="AQ391" s="86">
        <v>42537</v>
      </c>
      <c r="AR391" s="86">
        <v>43125</v>
      </c>
      <c r="AS391" s="86">
        <v>43125</v>
      </c>
      <c r="AT391" s="86">
        <v>43129</v>
      </c>
      <c r="AU391" s="86">
        <v>43125</v>
      </c>
      <c r="AV391" s="86">
        <v>43125</v>
      </c>
      <c r="AW391" s="86">
        <v>43125</v>
      </c>
    </row>
    <row r="392" spans="1:49" x14ac:dyDescent="0.2">
      <c r="A392" s="85" t="s">
        <v>1227</v>
      </c>
      <c r="B392" s="85" t="s">
        <v>1228</v>
      </c>
      <c r="C392" s="85" t="s">
        <v>1225</v>
      </c>
      <c r="D392" s="85" t="s">
        <v>1140</v>
      </c>
      <c r="E392" s="85" t="s">
        <v>222</v>
      </c>
      <c r="F392" s="85" t="s">
        <v>270</v>
      </c>
      <c r="G392" s="85" t="s">
        <v>4</v>
      </c>
      <c r="H392" s="85" t="s">
        <v>14</v>
      </c>
      <c r="I392" s="85" t="s">
        <v>59</v>
      </c>
      <c r="J392" s="86">
        <v>43312</v>
      </c>
      <c r="K392" s="86">
        <v>43312</v>
      </c>
      <c r="L392" s="85" t="s">
        <v>99</v>
      </c>
      <c r="M392" s="86">
        <v>42887</v>
      </c>
      <c r="N392" s="85" t="s">
        <v>107</v>
      </c>
      <c r="O392" s="86">
        <v>43315</v>
      </c>
      <c r="P392" s="86">
        <v>43269</v>
      </c>
      <c r="Q392" s="86">
        <v>43638</v>
      </c>
      <c r="R392" s="85" t="s">
        <v>1652</v>
      </c>
      <c r="S392" s="86">
        <v>43497</v>
      </c>
      <c r="T392" s="85" t="s">
        <v>1652</v>
      </c>
      <c r="U392" s="85" t="s">
        <v>59</v>
      </c>
      <c r="V392" s="85" t="s">
        <v>59</v>
      </c>
      <c r="W392" s="85" t="s">
        <v>59</v>
      </c>
      <c r="X392" s="85" t="s">
        <v>59</v>
      </c>
      <c r="Y392" s="85" t="s">
        <v>59</v>
      </c>
      <c r="Z392" s="85" t="s">
        <v>59</v>
      </c>
      <c r="AA392" s="85" t="s">
        <v>59</v>
      </c>
      <c r="AB392" s="85" t="s">
        <v>59</v>
      </c>
      <c r="AC392" s="85" t="s">
        <v>59</v>
      </c>
      <c r="AD392" s="85" t="s">
        <v>59</v>
      </c>
      <c r="AE392" s="85" t="s">
        <v>59</v>
      </c>
      <c r="AF392" s="85" t="s">
        <v>59</v>
      </c>
      <c r="AG392" s="86">
        <v>43354</v>
      </c>
      <c r="AH392" s="85" t="s">
        <v>107</v>
      </c>
      <c r="AI392" s="86">
        <v>42461</v>
      </c>
      <c r="AJ392" s="86">
        <v>43177</v>
      </c>
      <c r="AK392" s="85"/>
      <c r="AL392" s="85"/>
      <c r="AM392" s="85"/>
      <c r="AN392" s="86">
        <v>43398</v>
      </c>
      <c r="AO392" s="86">
        <v>43207</v>
      </c>
      <c r="AP392" s="86">
        <v>43171</v>
      </c>
      <c r="AQ392" s="86">
        <v>43118</v>
      </c>
      <c r="AR392" s="86">
        <v>43171</v>
      </c>
      <c r="AS392" s="86">
        <v>43171</v>
      </c>
      <c r="AT392" s="86">
        <v>43171</v>
      </c>
      <c r="AU392" s="86">
        <v>43294</v>
      </c>
      <c r="AV392" s="86">
        <v>43171</v>
      </c>
      <c r="AW392" s="86">
        <v>43171</v>
      </c>
    </row>
    <row r="393" spans="1:49" x14ac:dyDescent="0.2">
      <c r="A393" s="85" t="s">
        <v>1229</v>
      </c>
      <c r="B393" s="85" t="s">
        <v>1230</v>
      </c>
      <c r="C393" s="85" t="s">
        <v>1231</v>
      </c>
      <c r="D393" s="85" t="s">
        <v>1232</v>
      </c>
      <c r="E393" s="85" t="s">
        <v>158</v>
      </c>
      <c r="F393" s="85" t="s">
        <v>122</v>
      </c>
      <c r="G393" s="85" t="s">
        <v>4</v>
      </c>
      <c r="H393" s="85" t="s">
        <v>8</v>
      </c>
      <c r="I393" s="86">
        <v>43456</v>
      </c>
      <c r="J393" s="86">
        <v>43161</v>
      </c>
      <c r="K393" s="86">
        <v>43510</v>
      </c>
      <c r="L393" s="85" t="s">
        <v>99</v>
      </c>
      <c r="M393" s="86">
        <v>42822</v>
      </c>
      <c r="N393" s="85" t="s">
        <v>107</v>
      </c>
      <c r="O393" s="86">
        <v>42815</v>
      </c>
      <c r="P393" s="86">
        <v>43172</v>
      </c>
      <c r="Q393" s="86">
        <v>43872</v>
      </c>
      <c r="R393" s="85" t="s">
        <v>1652</v>
      </c>
      <c r="S393" s="86">
        <v>43586</v>
      </c>
      <c r="T393" s="85" t="s">
        <v>1652</v>
      </c>
      <c r="U393" s="86">
        <v>42968</v>
      </c>
      <c r="V393" s="86">
        <v>43677</v>
      </c>
      <c r="W393" s="85" t="s">
        <v>1662</v>
      </c>
      <c r="X393" s="85" t="s">
        <v>114</v>
      </c>
      <c r="Y393" s="85">
        <v>2</v>
      </c>
      <c r="Z393" s="85" t="s">
        <v>114</v>
      </c>
      <c r="AA393" s="85"/>
      <c r="AB393" s="85" t="s">
        <v>114</v>
      </c>
      <c r="AC393" s="85" t="s">
        <v>114</v>
      </c>
      <c r="AD393" s="85" t="s">
        <v>114</v>
      </c>
      <c r="AE393" s="85"/>
      <c r="AF393" s="85"/>
      <c r="AG393" s="86">
        <v>43507</v>
      </c>
      <c r="AH393" s="85" t="s">
        <v>107</v>
      </c>
      <c r="AI393" s="86">
        <v>42810</v>
      </c>
      <c r="AJ393" s="86">
        <v>43377</v>
      </c>
      <c r="AK393" s="86">
        <v>42822</v>
      </c>
      <c r="AL393" s="85" t="s">
        <v>107</v>
      </c>
      <c r="AM393" s="85" t="s">
        <v>107</v>
      </c>
      <c r="AN393" s="86">
        <v>43502</v>
      </c>
      <c r="AO393" s="86">
        <v>43339</v>
      </c>
      <c r="AP393" s="86">
        <v>43502</v>
      </c>
      <c r="AQ393" s="86">
        <v>43158</v>
      </c>
      <c r="AR393" s="86">
        <v>43502</v>
      </c>
      <c r="AS393" s="86">
        <v>43502</v>
      </c>
      <c r="AT393" s="86">
        <v>43502</v>
      </c>
      <c r="AU393" s="86">
        <v>43502</v>
      </c>
      <c r="AV393" s="86">
        <v>43502</v>
      </c>
      <c r="AW393" s="86">
        <v>43502</v>
      </c>
    </row>
    <row r="394" spans="1:49" x14ac:dyDescent="0.2">
      <c r="A394" s="85" t="s">
        <v>1233</v>
      </c>
      <c r="B394" s="85" t="s">
        <v>1234</v>
      </c>
      <c r="C394" s="85" t="s">
        <v>1231</v>
      </c>
      <c r="D394" s="85" t="s">
        <v>1235</v>
      </c>
      <c r="E394" s="85"/>
      <c r="F394" s="85" t="s">
        <v>106</v>
      </c>
      <c r="G394" s="85" t="s">
        <v>4</v>
      </c>
      <c r="H394" s="85" t="s">
        <v>1670</v>
      </c>
      <c r="I394" s="85" t="s">
        <v>107</v>
      </c>
      <c r="J394" s="86">
        <v>43299</v>
      </c>
      <c r="K394" s="86">
        <v>43299</v>
      </c>
      <c r="L394" s="85" t="s">
        <v>107</v>
      </c>
      <c r="M394" s="85" t="s">
        <v>107</v>
      </c>
      <c r="N394" s="85" t="s">
        <v>107</v>
      </c>
      <c r="O394" s="85" t="s">
        <v>107</v>
      </c>
      <c r="P394" s="85" t="s">
        <v>107</v>
      </c>
      <c r="Q394" s="86">
        <v>43664</v>
      </c>
      <c r="R394" s="85" t="s">
        <v>107</v>
      </c>
      <c r="S394" s="85" t="s">
        <v>107</v>
      </c>
      <c r="T394" s="85" t="s">
        <v>107</v>
      </c>
      <c r="U394" s="85" t="s">
        <v>107</v>
      </c>
      <c r="V394" s="85" t="s">
        <v>107</v>
      </c>
      <c r="W394" s="85" t="s">
        <v>107</v>
      </c>
      <c r="X394" s="85" t="s">
        <v>107</v>
      </c>
      <c r="Y394" s="85" t="s">
        <v>107</v>
      </c>
      <c r="Z394" s="85" t="s">
        <v>107</v>
      </c>
      <c r="AA394" s="85" t="s">
        <v>107</v>
      </c>
      <c r="AB394" s="85" t="s">
        <v>107</v>
      </c>
      <c r="AC394" s="85" t="s">
        <v>107</v>
      </c>
      <c r="AD394" s="85" t="s">
        <v>107</v>
      </c>
      <c r="AE394" s="85" t="s">
        <v>107</v>
      </c>
      <c r="AF394" s="85" t="s">
        <v>107</v>
      </c>
      <c r="AG394" s="86">
        <v>43313</v>
      </c>
      <c r="AH394" s="85" t="s">
        <v>2019</v>
      </c>
      <c r="AI394" s="85" t="s">
        <v>107</v>
      </c>
      <c r="AJ394" s="85" t="s">
        <v>107</v>
      </c>
      <c r="AK394" s="85" t="s">
        <v>107</v>
      </c>
      <c r="AL394" s="85" t="s">
        <v>107</v>
      </c>
      <c r="AM394" s="85" t="s">
        <v>107</v>
      </c>
      <c r="AN394" s="85" t="s">
        <v>59</v>
      </c>
      <c r="AO394" s="85" t="s">
        <v>59</v>
      </c>
      <c r="AP394" s="85" t="s">
        <v>59</v>
      </c>
      <c r="AQ394" s="85" t="s">
        <v>59</v>
      </c>
      <c r="AR394" s="85" t="s">
        <v>59</v>
      </c>
      <c r="AS394" s="85" t="s">
        <v>59</v>
      </c>
      <c r="AT394" s="85" t="s">
        <v>59</v>
      </c>
      <c r="AU394" s="85" t="s">
        <v>107</v>
      </c>
      <c r="AV394" s="85" t="s">
        <v>59</v>
      </c>
      <c r="AW394" s="85" t="s">
        <v>59</v>
      </c>
    </row>
    <row r="395" spans="1:49" x14ac:dyDescent="0.2">
      <c r="A395" s="85" t="s">
        <v>1819</v>
      </c>
      <c r="B395" s="85" t="s">
        <v>1820</v>
      </c>
      <c r="C395" s="85" t="s">
        <v>1736</v>
      </c>
      <c r="D395" s="85" t="s">
        <v>1821</v>
      </c>
      <c r="E395" s="85" t="s">
        <v>201</v>
      </c>
      <c r="F395" s="85" t="s">
        <v>144</v>
      </c>
      <c r="G395" s="85" t="s">
        <v>4</v>
      </c>
      <c r="H395" s="85" t="s">
        <v>8</v>
      </c>
      <c r="I395" s="85" t="s">
        <v>59</v>
      </c>
      <c r="J395" s="86">
        <v>43192</v>
      </c>
      <c r="K395" s="86">
        <v>43510</v>
      </c>
      <c r="L395" s="85" t="s">
        <v>99</v>
      </c>
      <c r="M395" s="86">
        <v>41976</v>
      </c>
      <c r="N395" s="85" t="s">
        <v>107</v>
      </c>
      <c r="O395" s="86">
        <v>43510</v>
      </c>
      <c r="P395" s="86">
        <v>43272</v>
      </c>
      <c r="Q395" s="86">
        <v>43869</v>
      </c>
      <c r="R395" s="85" t="s">
        <v>1652</v>
      </c>
      <c r="S395" s="86">
        <v>43556</v>
      </c>
      <c r="T395" s="85" t="s">
        <v>1652</v>
      </c>
      <c r="U395" s="85" t="s">
        <v>59</v>
      </c>
      <c r="V395" s="85" t="s">
        <v>59</v>
      </c>
      <c r="W395" s="85" t="s">
        <v>59</v>
      </c>
      <c r="X395" s="85" t="s">
        <v>114</v>
      </c>
      <c r="Y395" s="85">
        <v>1</v>
      </c>
      <c r="Z395" s="85" t="s">
        <v>114</v>
      </c>
      <c r="AA395" s="85"/>
      <c r="AB395" s="85" t="s">
        <v>114</v>
      </c>
      <c r="AC395" s="85" t="s">
        <v>114</v>
      </c>
      <c r="AD395" s="85" t="s">
        <v>114</v>
      </c>
      <c r="AE395" s="85"/>
      <c r="AF395" s="85"/>
      <c r="AG395" s="85" t="s">
        <v>59</v>
      </c>
      <c r="AH395" s="85" t="s">
        <v>107</v>
      </c>
      <c r="AI395" s="85" t="s">
        <v>59</v>
      </c>
      <c r="AJ395" s="85" t="s">
        <v>59</v>
      </c>
      <c r="AK395" s="85" t="s">
        <v>59</v>
      </c>
      <c r="AL395" s="85" t="s">
        <v>107</v>
      </c>
      <c r="AM395" s="85" t="s">
        <v>107</v>
      </c>
      <c r="AN395" s="86">
        <v>43467</v>
      </c>
      <c r="AO395" s="86">
        <v>43467</v>
      </c>
      <c r="AP395" s="86">
        <v>43467</v>
      </c>
      <c r="AQ395" s="86">
        <v>43467</v>
      </c>
      <c r="AR395" s="86">
        <v>43467</v>
      </c>
      <c r="AS395" s="86">
        <v>43467</v>
      </c>
      <c r="AT395" s="86">
        <v>43467</v>
      </c>
      <c r="AU395" s="86">
        <v>43467</v>
      </c>
      <c r="AV395" s="86">
        <v>43467</v>
      </c>
      <c r="AW395" s="86">
        <v>43467</v>
      </c>
    </row>
    <row r="396" spans="1:49" x14ac:dyDescent="0.2">
      <c r="A396" s="85" t="s">
        <v>1734</v>
      </c>
      <c r="B396" s="85" t="s">
        <v>1735</v>
      </c>
      <c r="C396" s="85" t="s">
        <v>1736</v>
      </c>
      <c r="D396" s="85" t="s">
        <v>1021</v>
      </c>
      <c r="E396" s="85" t="s">
        <v>105</v>
      </c>
      <c r="F396" s="85" t="s">
        <v>106</v>
      </c>
      <c r="G396" s="85" t="s">
        <v>4</v>
      </c>
      <c r="H396" s="85" t="s">
        <v>8</v>
      </c>
      <c r="I396" s="85" t="s">
        <v>107</v>
      </c>
      <c r="J396" s="85" t="s">
        <v>59</v>
      </c>
      <c r="K396" s="85" t="s">
        <v>59</v>
      </c>
      <c r="L396" s="85" t="s">
        <v>107</v>
      </c>
      <c r="M396" s="85" t="s">
        <v>107</v>
      </c>
      <c r="N396" s="85" t="s">
        <v>107</v>
      </c>
      <c r="O396" s="85" t="s">
        <v>107</v>
      </c>
      <c r="P396" s="85" t="s">
        <v>107</v>
      </c>
      <c r="Q396" s="86">
        <v>43847</v>
      </c>
      <c r="R396" s="85" t="s">
        <v>107</v>
      </c>
      <c r="S396" s="85" t="s">
        <v>107</v>
      </c>
      <c r="T396" s="85" t="s">
        <v>107</v>
      </c>
      <c r="U396" s="85" t="s">
        <v>107</v>
      </c>
      <c r="V396" s="85" t="s">
        <v>107</v>
      </c>
      <c r="W396" s="85" t="s">
        <v>107</v>
      </c>
      <c r="X396" s="85" t="s">
        <v>107</v>
      </c>
      <c r="Y396" s="85" t="s">
        <v>107</v>
      </c>
      <c r="Z396" s="85" t="s">
        <v>107</v>
      </c>
      <c r="AA396" s="85" t="s">
        <v>107</v>
      </c>
      <c r="AB396" s="85" t="s">
        <v>107</v>
      </c>
      <c r="AC396" s="85" t="s">
        <v>107</v>
      </c>
      <c r="AD396" s="85" t="s">
        <v>107</v>
      </c>
      <c r="AE396" s="85" t="s">
        <v>107</v>
      </c>
      <c r="AF396" s="85" t="s">
        <v>107</v>
      </c>
      <c r="AG396" s="86">
        <v>43488</v>
      </c>
      <c r="AH396" s="85" t="s">
        <v>2020</v>
      </c>
      <c r="AI396" s="85" t="s">
        <v>107</v>
      </c>
      <c r="AJ396" s="85" t="s">
        <v>107</v>
      </c>
      <c r="AK396" s="85" t="s">
        <v>107</v>
      </c>
      <c r="AL396" s="85" t="s">
        <v>107</v>
      </c>
      <c r="AM396" s="85" t="s">
        <v>107</v>
      </c>
      <c r="AN396" s="86">
        <v>43385</v>
      </c>
      <c r="AO396" s="86">
        <v>43385</v>
      </c>
      <c r="AP396" s="86">
        <v>43385</v>
      </c>
      <c r="AQ396" s="86">
        <v>43385</v>
      </c>
      <c r="AR396" s="86">
        <v>43385</v>
      </c>
      <c r="AS396" s="86">
        <v>43385</v>
      </c>
      <c r="AT396" s="86">
        <v>43385</v>
      </c>
      <c r="AU396" s="85" t="s">
        <v>107</v>
      </c>
      <c r="AV396" s="86">
        <v>43385</v>
      </c>
      <c r="AW396" s="86">
        <v>43385</v>
      </c>
    </row>
    <row r="397" spans="1:49" x14ac:dyDescent="0.2">
      <c r="A397" s="85" t="s">
        <v>1899</v>
      </c>
      <c r="B397" s="85" t="s">
        <v>1900</v>
      </c>
      <c r="C397" s="85" t="s">
        <v>1901</v>
      </c>
      <c r="D397" s="85" t="s">
        <v>167</v>
      </c>
      <c r="E397" s="85" t="s">
        <v>114</v>
      </c>
      <c r="F397" s="85" t="s">
        <v>106</v>
      </c>
      <c r="G397" s="85" t="s">
        <v>4</v>
      </c>
      <c r="H397" s="85" t="s">
        <v>7</v>
      </c>
      <c r="I397" s="85" t="s">
        <v>107</v>
      </c>
      <c r="J397" s="85" t="s">
        <v>59</v>
      </c>
      <c r="K397" s="85" t="s">
        <v>59</v>
      </c>
      <c r="L397" s="85" t="s">
        <v>107</v>
      </c>
      <c r="M397" s="85" t="s">
        <v>107</v>
      </c>
      <c r="N397" s="85" t="s">
        <v>107</v>
      </c>
      <c r="O397" s="85" t="s">
        <v>107</v>
      </c>
      <c r="P397" s="85" t="s">
        <v>107</v>
      </c>
      <c r="Q397" s="85" t="s">
        <v>59</v>
      </c>
      <c r="R397" s="85" t="s">
        <v>107</v>
      </c>
      <c r="S397" s="85" t="s">
        <v>107</v>
      </c>
      <c r="T397" s="85" t="s">
        <v>107</v>
      </c>
      <c r="U397" s="85" t="s">
        <v>107</v>
      </c>
      <c r="V397" s="85" t="s">
        <v>107</v>
      </c>
      <c r="W397" s="85" t="s">
        <v>107</v>
      </c>
      <c r="X397" s="85" t="s">
        <v>107</v>
      </c>
      <c r="Y397" s="85" t="s">
        <v>107</v>
      </c>
      <c r="Z397" s="85" t="s">
        <v>107</v>
      </c>
      <c r="AA397" s="85" t="s">
        <v>107</v>
      </c>
      <c r="AB397" s="85" t="s">
        <v>107</v>
      </c>
      <c r="AC397" s="85" t="s">
        <v>107</v>
      </c>
      <c r="AD397" s="85" t="s">
        <v>107</v>
      </c>
      <c r="AE397" s="85" t="s">
        <v>107</v>
      </c>
      <c r="AF397" s="85" t="s">
        <v>107</v>
      </c>
      <c r="AG397" s="86">
        <v>43476</v>
      </c>
      <c r="AH397" s="85" t="s">
        <v>107</v>
      </c>
      <c r="AI397" s="85" t="s">
        <v>107</v>
      </c>
      <c r="AJ397" s="85" t="s">
        <v>107</v>
      </c>
      <c r="AK397" s="85" t="s">
        <v>107</v>
      </c>
      <c r="AL397" s="85" t="s">
        <v>107</v>
      </c>
      <c r="AM397" s="85" t="s">
        <v>107</v>
      </c>
      <c r="AN397" s="86">
        <v>43472</v>
      </c>
      <c r="AO397" s="86">
        <v>43472</v>
      </c>
      <c r="AP397" s="86">
        <v>43472</v>
      </c>
      <c r="AQ397" s="86">
        <v>43472</v>
      </c>
      <c r="AR397" s="86">
        <v>43472</v>
      </c>
      <c r="AS397" s="86">
        <v>43472</v>
      </c>
      <c r="AT397" s="86">
        <v>43472</v>
      </c>
      <c r="AU397" s="85" t="s">
        <v>107</v>
      </c>
      <c r="AV397" s="86">
        <v>43472</v>
      </c>
      <c r="AW397" s="86">
        <v>43472</v>
      </c>
    </row>
    <row r="398" spans="1:49" x14ac:dyDescent="0.2">
      <c r="A398" s="85" t="s">
        <v>1236</v>
      </c>
      <c r="B398" s="85" t="s">
        <v>1237</v>
      </c>
      <c r="C398" s="85" t="s">
        <v>1238</v>
      </c>
      <c r="D398" s="85" t="s">
        <v>1239</v>
      </c>
      <c r="E398" s="85"/>
      <c r="F398" s="85" t="s">
        <v>144</v>
      </c>
      <c r="G398" s="85" t="s">
        <v>4</v>
      </c>
      <c r="H398" s="85" t="s">
        <v>8</v>
      </c>
      <c r="I398" s="86">
        <v>43344</v>
      </c>
      <c r="J398" s="86">
        <v>43499</v>
      </c>
      <c r="K398" s="86">
        <v>43137</v>
      </c>
      <c r="L398" s="85" t="s">
        <v>99</v>
      </c>
      <c r="M398" s="86">
        <v>42975</v>
      </c>
      <c r="N398" s="85" t="s">
        <v>107</v>
      </c>
      <c r="O398" s="86">
        <v>43137</v>
      </c>
      <c r="P398" s="86">
        <v>43269</v>
      </c>
      <c r="Q398" s="86">
        <v>43502</v>
      </c>
      <c r="R398" s="85" t="s">
        <v>1652</v>
      </c>
      <c r="S398" s="86">
        <v>43556</v>
      </c>
      <c r="T398" s="85" t="s">
        <v>1652</v>
      </c>
      <c r="U398" s="86">
        <v>43480</v>
      </c>
      <c r="V398" s="86">
        <v>43677</v>
      </c>
      <c r="W398" s="85" t="s">
        <v>1657</v>
      </c>
      <c r="X398" s="85" t="s">
        <v>114</v>
      </c>
      <c r="Y398" s="85">
        <v>1</v>
      </c>
      <c r="Z398" s="85" t="s">
        <v>114</v>
      </c>
      <c r="AA398" s="85" t="s">
        <v>1663</v>
      </c>
      <c r="AB398" s="85" t="s">
        <v>114</v>
      </c>
      <c r="AC398" s="85" t="s">
        <v>114</v>
      </c>
      <c r="AD398" s="85" t="s">
        <v>114</v>
      </c>
      <c r="AE398" s="85"/>
      <c r="AF398" s="85"/>
      <c r="AG398" s="86">
        <v>43515</v>
      </c>
      <c r="AH398" s="85" t="s">
        <v>107</v>
      </c>
      <c r="AI398" s="86">
        <v>41834</v>
      </c>
      <c r="AJ398" s="86">
        <v>43377</v>
      </c>
      <c r="AK398" s="86">
        <v>43137</v>
      </c>
      <c r="AL398" s="86">
        <v>43012</v>
      </c>
      <c r="AM398" s="86">
        <v>43012</v>
      </c>
      <c r="AN398" s="86">
        <v>43479</v>
      </c>
      <c r="AO398" s="86">
        <v>43209</v>
      </c>
      <c r="AP398" s="86">
        <v>43046</v>
      </c>
      <c r="AQ398" s="86">
        <v>41935</v>
      </c>
      <c r="AR398" s="86">
        <v>43297</v>
      </c>
      <c r="AS398" s="86">
        <v>43297</v>
      </c>
      <c r="AT398" s="86">
        <v>42923</v>
      </c>
      <c r="AU398" s="86">
        <v>43297</v>
      </c>
      <c r="AV398" s="86">
        <v>43297</v>
      </c>
      <c r="AW398" s="86">
        <v>43297</v>
      </c>
    </row>
    <row r="399" spans="1:49" x14ac:dyDescent="0.2">
      <c r="A399" s="85" t="s">
        <v>1737</v>
      </c>
      <c r="B399" s="85" t="s">
        <v>1738</v>
      </c>
      <c r="C399" s="85" t="s">
        <v>1739</v>
      </c>
      <c r="D399" s="85" t="s">
        <v>875</v>
      </c>
      <c r="E399" s="85" t="s">
        <v>149</v>
      </c>
      <c r="F399" s="85" t="s">
        <v>106</v>
      </c>
      <c r="G399" s="85" t="s">
        <v>4</v>
      </c>
      <c r="H399" s="85" t="s">
        <v>5</v>
      </c>
      <c r="I399" s="85" t="s">
        <v>107</v>
      </c>
      <c r="J399" s="85" t="s">
        <v>59</v>
      </c>
      <c r="K399" s="85" t="s">
        <v>59</v>
      </c>
      <c r="L399" s="85" t="s">
        <v>107</v>
      </c>
      <c r="M399" s="85" t="s">
        <v>107</v>
      </c>
      <c r="N399" s="85" t="s">
        <v>107</v>
      </c>
      <c r="O399" s="85" t="s">
        <v>107</v>
      </c>
      <c r="P399" s="85" t="s">
        <v>107</v>
      </c>
      <c r="Q399" s="85" t="s">
        <v>59</v>
      </c>
      <c r="R399" s="85" t="s">
        <v>107</v>
      </c>
      <c r="S399" s="85" t="s">
        <v>107</v>
      </c>
      <c r="T399" s="85" t="s">
        <v>107</v>
      </c>
      <c r="U399" s="85" t="s">
        <v>107</v>
      </c>
      <c r="V399" s="85" t="s">
        <v>107</v>
      </c>
      <c r="W399" s="85" t="s">
        <v>107</v>
      </c>
      <c r="X399" s="85" t="s">
        <v>107</v>
      </c>
      <c r="Y399" s="85" t="s">
        <v>107</v>
      </c>
      <c r="Z399" s="85" t="s">
        <v>107</v>
      </c>
      <c r="AA399" s="85" t="s">
        <v>107</v>
      </c>
      <c r="AB399" s="85" t="s">
        <v>107</v>
      </c>
      <c r="AC399" s="85" t="s">
        <v>107</v>
      </c>
      <c r="AD399" s="85" t="s">
        <v>107</v>
      </c>
      <c r="AE399" s="85" t="s">
        <v>107</v>
      </c>
      <c r="AF399" s="85" t="s">
        <v>107</v>
      </c>
      <c r="AG399" s="85" t="s">
        <v>59</v>
      </c>
      <c r="AH399" s="85" t="s">
        <v>2021</v>
      </c>
      <c r="AI399" s="85" t="s">
        <v>107</v>
      </c>
      <c r="AJ399" s="85" t="s">
        <v>107</v>
      </c>
      <c r="AK399" s="85" t="s">
        <v>107</v>
      </c>
      <c r="AL399" s="85" t="s">
        <v>107</v>
      </c>
      <c r="AM399" s="85" t="s">
        <v>107</v>
      </c>
      <c r="AN399" s="86">
        <v>43385</v>
      </c>
      <c r="AO399" s="86">
        <v>43385</v>
      </c>
      <c r="AP399" s="86">
        <v>43385</v>
      </c>
      <c r="AQ399" s="86">
        <v>43385</v>
      </c>
      <c r="AR399" s="86">
        <v>43385</v>
      </c>
      <c r="AS399" s="86">
        <v>43385</v>
      </c>
      <c r="AT399" s="86">
        <v>43385</v>
      </c>
      <c r="AU399" s="85" t="s">
        <v>107</v>
      </c>
      <c r="AV399" s="86">
        <v>43385</v>
      </c>
      <c r="AW399" s="86">
        <v>43385</v>
      </c>
    </row>
    <row r="400" spans="1:49" x14ac:dyDescent="0.2">
      <c r="A400" s="85" t="s">
        <v>1240</v>
      </c>
      <c r="B400" s="85" t="s">
        <v>1241</v>
      </c>
      <c r="C400" s="85" t="s">
        <v>1242</v>
      </c>
      <c r="D400" s="85" t="s">
        <v>627</v>
      </c>
      <c r="E400" s="85" t="s">
        <v>278</v>
      </c>
      <c r="F400" s="85" t="s">
        <v>100</v>
      </c>
      <c r="G400" s="85" t="s">
        <v>4</v>
      </c>
      <c r="H400" s="85" t="s">
        <v>5</v>
      </c>
      <c r="I400" s="86">
        <v>43370</v>
      </c>
      <c r="J400" s="86">
        <v>43167</v>
      </c>
      <c r="K400" s="86">
        <v>43167</v>
      </c>
      <c r="L400" s="85" t="s">
        <v>99</v>
      </c>
      <c r="M400" s="86">
        <v>43314</v>
      </c>
      <c r="N400" s="86">
        <v>43314</v>
      </c>
      <c r="O400" s="86">
        <v>43167</v>
      </c>
      <c r="P400" s="86">
        <v>43305</v>
      </c>
      <c r="Q400" s="86">
        <v>43532</v>
      </c>
      <c r="R400" s="85" t="s">
        <v>1652</v>
      </c>
      <c r="S400" s="86">
        <v>44256</v>
      </c>
      <c r="T400" s="85" t="s">
        <v>1652</v>
      </c>
      <c r="U400" s="85" t="s">
        <v>107</v>
      </c>
      <c r="V400" s="85" t="s">
        <v>107</v>
      </c>
      <c r="W400" s="85" t="s">
        <v>107</v>
      </c>
      <c r="X400" s="85" t="s">
        <v>107</v>
      </c>
      <c r="Y400" s="85" t="s">
        <v>107</v>
      </c>
      <c r="Z400" s="85" t="s">
        <v>107</v>
      </c>
      <c r="AA400" s="85" t="s">
        <v>107</v>
      </c>
      <c r="AB400" s="85" t="s">
        <v>107</v>
      </c>
      <c r="AC400" s="85" t="s">
        <v>107</v>
      </c>
      <c r="AD400" s="85" t="s">
        <v>107</v>
      </c>
      <c r="AE400" s="85" t="s">
        <v>107</v>
      </c>
      <c r="AF400" s="85" t="s">
        <v>107</v>
      </c>
      <c r="AG400" s="86">
        <v>43515</v>
      </c>
      <c r="AH400" s="85" t="s">
        <v>107</v>
      </c>
      <c r="AI400" s="85" t="s">
        <v>107</v>
      </c>
      <c r="AJ400" s="85" t="s">
        <v>107</v>
      </c>
      <c r="AK400" s="86">
        <v>43167</v>
      </c>
      <c r="AL400" s="85" t="s">
        <v>107</v>
      </c>
      <c r="AM400" s="85" t="s">
        <v>107</v>
      </c>
      <c r="AN400" s="86">
        <v>43375</v>
      </c>
      <c r="AO400" s="86">
        <v>43207</v>
      </c>
      <c r="AP400" s="86">
        <v>43186</v>
      </c>
      <c r="AQ400" s="86">
        <v>43186</v>
      </c>
      <c r="AR400" s="86">
        <v>43186</v>
      </c>
      <c r="AS400" s="86">
        <v>43186</v>
      </c>
      <c r="AT400" s="86">
        <v>43186</v>
      </c>
      <c r="AU400" s="86">
        <v>43186</v>
      </c>
      <c r="AV400" s="86">
        <v>43186</v>
      </c>
      <c r="AW400" s="86">
        <v>43186</v>
      </c>
    </row>
    <row r="401" spans="1:49" x14ac:dyDescent="0.2">
      <c r="A401" s="85" t="s">
        <v>1613</v>
      </c>
      <c r="B401" s="85" t="s">
        <v>1614</v>
      </c>
      <c r="C401" s="85" t="s">
        <v>1615</v>
      </c>
      <c r="D401" s="85" t="s">
        <v>623</v>
      </c>
      <c r="E401" s="85" t="s">
        <v>141</v>
      </c>
      <c r="F401" s="85" t="s">
        <v>122</v>
      </c>
      <c r="G401" s="85" t="s">
        <v>4</v>
      </c>
      <c r="H401" s="85" t="s">
        <v>8</v>
      </c>
      <c r="I401" s="86">
        <v>43465</v>
      </c>
      <c r="J401" s="86">
        <v>43208</v>
      </c>
      <c r="K401" s="86">
        <v>43208</v>
      </c>
      <c r="L401" s="85" t="s">
        <v>99</v>
      </c>
      <c r="M401" s="86">
        <v>43465</v>
      </c>
      <c r="N401" s="85" t="s">
        <v>107</v>
      </c>
      <c r="O401" s="86">
        <v>43363</v>
      </c>
      <c r="P401" s="86">
        <v>43333</v>
      </c>
      <c r="Q401" s="86">
        <v>43834</v>
      </c>
      <c r="R401" s="85" t="s">
        <v>1652</v>
      </c>
      <c r="S401" s="86">
        <v>43862</v>
      </c>
      <c r="T401" s="85" t="s">
        <v>1652</v>
      </c>
      <c r="U401" s="86">
        <v>43479</v>
      </c>
      <c r="V401" s="86">
        <v>43677</v>
      </c>
      <c r="W401" s="85" t="s">
        <v>1655</v>
      </c>
      <c r="X401" s="85" t="s">
        <v>114</v>
      </c>
      <c r="Y401" s="85">
        <v>1</v>
      </c>
      <c r="Z401" s="85" t="s">
        <v>114</v>
      </c>
      <c r="AA401" s="85"/>
      <c r="AB401" s="85" t="s">
        <v>114</v>
      </c>
      <c r="AC401" s="85" t="s">
        <v>114</v>
      </c>
      <c r="AD401" s="85" t="s">
        <v>114</v>
      </c>
      <c r="AE401" s="85"/>
      <c r="AF401" s="85"/>
      <c r="AG401" s="86">
        <v>43469</v>
      </c>
      <c r="AH401" s="85" t="s">
        <v>107</v>
      </c>
      <c r="AI401" s="85"/>
      <c r="AJ401" s="85"/>
      <c r="AK401" s="85"/>
      <c r="AL401" s="85" t="s">
        <v>107</v>
      </c>
      <c r="AM401" s="85" t="s">
        <v>107</v>
      </c>
      <c r="AN401" s="86">
        <v>43479</v>
      </c>
      <c r="AO401" s="86">
        <v>43325</v>
      </c>
      <c r="AP401" s="86">
        <v>43325</v>
      </c>
      <c r="AQ401" s="86">
        <v>43325</v>
      </c>
      <c r="AR401" s="86">
        <v>43325</v>
      </c>
      <c r="AS401" s="86">
        <v>43325</v>
      </c>
      <c r="AT401" s="86">
        <v>43325</v>
      </c>
      <c r="AU401" s="86">
        <v>43325</v>
      </c>
      <c r="AV401" s="86">
        <v>43325</v>
      </c>
      <c r="AW401" s="86">
        <v>43325</v>
      </c>
    </row>
    <row r="402" spans="1:49" x14ac:dyDescent="0.2">
      <c r="A402" s="85" t="s">
        <v>1902</v>
      </c>
      <c r="B402" s="85" t="s">
        <v>1903</v>
      </c>
      <c r="C402" s="85" t="s">
        <v>1904</v>
      </c>
      <c r="D402" s="85" t="s">
        <v>1905</v>
      </c>
      <c r="E402" s="85" t="s">
        <v>121</v>
      </c>
      <c r="F402" s="85" t="s">
        <v>122</v>
      </c>
      <c r="G402" s="85" t="s">
        <v>4</v>
      </c>
      <c r="H402" s="85" t="s">
        <v>7</v>
      </c>
      <c r="I402" s="86">
        <v>43451</v>
      </c>
      <c r="J402" s="85" t="s">
        <v>59</v>
      </c>
      <c r="K402" s="85" t="s">
        <v>59</v>
      </c>
      <c r="L402" s="85" t="s">
        <v>59</v>
      </c>
      <c r="M402" s="85" t="s">
        <v>59</v>
      </c>
      <c r="N402" s="85" t="s">
        <v>107</v>
      </c>
      <c r="O402" s="85" t="s">
        <v>59</v>
      </c>
      <c r="P402" s="85" t="s">
        <v>59</v>
      </c>
      <c r="Q402" s="86">
        <v>365</v>
      </c>
      <c r="R402" s="85" t="s">
        <v>1652</v>
      </c>
      <c r="S402" s="86">
        <v>45170</v>
      </c>
      <c r="T402" s="85" t="s">
        <v>1652</v>
      </c>
      <c r="U402" s="86">
        <v>43405</v>
      </c>
      <c r="V402" s="86">
        <v>43616</v>
      </c>
      <c r="W402" s="85" t="s">
        <v>1655</v>
      </c>
      <c r="X402" s="85" t="s">
        <v>114</v>
      </c>
      <c r="Y402" s="85">
        <v>3</v>
      </c>
      <c r="Z402" s="85" t="s">
        <v>114</v>
      </c>
      <c r="AA402" s="85"/>
      <c r="AB402" s="85" t="s">
        <v>211</v>
      </c>
      <c r="AC402" s="85" t="s">
        <v>114</v>
      </c>
      <c r="AD402" s="85" t="s">
        <v>119</v>
      </c>
      <c r="AE402" s="85" t="s">
        <v>1656</v>
      </c>
      <c r="AF402" s="85"/>
      <c r="AG402" s="85" t="s">
        <v>59</v>
      </c>
      <c r="AH402" s="85" t="s">
        <v>107</v>
      </c>
      <c r="AI402" s="85" t="s">
        <v>59</v>
      </c>
      <c r="AJ402" s="85" t="s">
        <v>59</v>
      </c>
      <c r="AK402" s="85" t="s">
        <v>59</v>
      </c>
      <c r="AL402" s="85" t="s">
        <v>107</v>
      </c>
      <c r="AM402" s="85" t="s">
        <v>107</v>
      </c>
      <c r="AN402" s="86">
        <v>43825</v>
      </c>
      <c r="AO402" s="86">
        <v>43825</v>
      </c>
      <c r="AP402" s="86">
        <v>43825</v>
      </c>
      <c r="AQ402" s="86">
        <v>43825</v>
      </c>
      <c r="AR402" s="86">
        <v>43825</v>
      </c>
      <c r="AS402" s="86">
        <v>43825</v>
      </c>
      <c r="AT402" s="86">
        <v>43825</v>
      </c>
      <c r="AU402" s="86">
        <v>43825</v>
      </c>
      <c r="AV402" s="86">
        <v>43825</v>
      </c>
      <c r="AW402" s="86">
        <v>43825</v>
      </c>
    </row>
    <row r="403" spans="1:49" x14ac:dyDescent="0.2">
      <c r="A403" s="85" t="s">
        <v>1243</v>
      </c>
      <c r="B403" s="85" t="s">
        <v>1244</v>
      </c>
      <c r="C403" s="85" t="s">
        <v>1245</v>
      </c>
      <c r="D403" s="85" t="s">
        <v>426</v>
      </c>
      <c r="E403" s="85" t="s">
        <v>222</v>
      </c>
      <c r="F403" s="85" t="s">
        <v>249</v>
      </c>
      <c r="G403" s="85" t="s">
        <v>4</v>
      </c>
      <c r="H403" s="85" t="s">
        <v>8</v>
      </c>
      <c r="I403" s="86">
        <v>43435</v>
      </c>
      <c r="J403" s="86">
        <v>43265</v>
      </c>
      <c r="K403" s="86">
        <v>43315</v>
      </c>
      <c r="L403" s="85" t="s">
        <v>99</v>
      </c>
      <c r="M403" s="86">
        <v>42738</v>
      </c>
      <c r="N403" s="85" t="s">
        <v>107</v>
      </c>
      <c r="O403" s="86">
        <v>43315</v>
      </c>
      <c r="P403" s="86">
        <v>43271</v>
      </c>
      <c r="Q403" s="86">
        <v>43644</v>
      </c>
      <c r="R403" s="85" t="s">
        <v>1652</v>
      </c>
      <c r="S403" s="86">
        <v>43525</v>
      </c>
      <c r="T403" s="85" t="s">
        <v>1652</v>
      </c>
      <c r="U403" s="86">
        <v>43333</v>
      </c>
      <c r="V403" s="86">
        <v>43708</v>
      </c>
      <c r="W403" s="85" t="s">
        <v>1653</v>
      </c>
      <c r="X403" s="85" t="s">
        <v>114</v>
      </c>
      <c r="Y403" s="85">
        <v>1</v>
      </c>
      <c r="Z403" s="85" t="s">
        <v>114</v>
      </c>
      <c r="AA403" s="85"/>
      <c r="AB403" s="85" t="s">
        <v>211</v>
      </c>
      <c r="AC403" s="85" t="s">
        <v>114</v>
      </c>
      <c r="AD403" s="85" t="s">
        <v>211</v>
      </c>
      <c r="AE403" s="85" t="s">
        <v>1656</v>
      </c>
      <c r="AF403" s="86">
        <v>43557</v>
      </c>
      <c r="AG403" s="86">
        <v>43315</v>
      </c>
      <c r="AH403" s="85" t="s">
        <v>107</v>
      </c>
      <c r="AI403" s="86">
        <v>42675</v>
      </c>
      <c r="AJ403" s="86">
        <v>43177</v>
      </c>
      <c r="AK403" s="86">
        <v>42723</v>
      </c>
      <c r="AL403" s="85" t="s">
        <v>107</v>
      </c>
      <c r="AM403" s="85" t="s">
        <v>107</v>
      </c>
      <c r="AN403" s="86">
        <v>43405</v>
      </c>
      <c r="AO403" s="86">
        <v>43209</v>
      </c>
      <c r="AP403" s="86">
        <v>43046</v>
      </c>
      <c r="AQ403" s="86">
        <v>42738</v>
      </c>
      <c r="AR403" s="86">
        <v>43117</v>
      </c>
      <c r="AS403" s="86">
        <v>43284</v>
      </c>
      <c r="AT403" s="86">
        <v>42738</v>
      </c>
      <c r="AU403" s="86">
        <v>43117</v>
      </c>
      <c r="AV403" s="86">
        <v>43117</v>
      </c>
      <c r="AW403" s="86">
        <v>43117</v>
      </c>
    </row>
    <row r="404" spans="1:49" x14ac:dyDescent="0.2">
      <c r="A404" s="85" t="s">
        <v>1246</v>
      </c>
      <c r="B404" s="85" t="s">
        <v>1247</v>
      </c>
      <c r="C404" s="85" t="s">
        <v>1248</v>
      </c>
      <c r="D404" s="85" t="s">
        <v>956</v>
      </c>
      <c r="E404" s="85" t="s">
        <v>126</v>
      </c>
      <c r="F404" s="85" t="s">
        <v>245</v>
      </c>
      <c r="G404" s="85" t="s">
        <v>4</v>
      </c>
      <c r="H404" s="85" t="s">
        <v>5</v>
      </c>
      <c r="I404" s="86">
        <v>43380</v>
      </c>
      <c r="J404" s="85" t="s">
        <v>59</v>
      </c>
      <c r="K404" s="85" t="s">
        <v>59</v>
      </c>
      <c r="L404" s="85" t="s">
        <v>59</v>
      </c>
      <c r="M404" s="85" t="s">
        <v>59</v>
      </c>
      <c r="N404" s="85" t="s">
        <v>107</v>
      </c>
      <c r="O404" s="85" t="s">
        <v>59</v>
      </c>
      <c r="P404" s="85" t="s">
        <v>59</v>
      </c>
      <c r="Q404" s="85" t="s">
        <v>59</v>
      </c>
      <c r="R404" s="85" t="s">
        <v>1652</v>
      </c>
      <c r="S404" s="86">
        <v>43891</v>
      </c>
      <c r="T404" s="85" t="s">
        <v>1652</v>
      </c>
      <c r="U404" s="86">
        <v>43293</v>
      </c>
      <c r="V404" s="86">
        <v>43677</v>
      </c>
      <c r="W404" s="85" t="s">
        <v>1653</v>
      </c>
      <c r="X404" s="85" t="s">
        <v>114</v>
      </c>
      <c r="Y404" s="85">
        <v>1</v>
      </c>
      <c r="Z404" s="85" t="s">
        <v>114</v>
      </c>
      <c r="AA404" s="85"/>
      <c r="AB404" s="85" t="s">
        <v>114</v>
      </c>
      <c r="AC404" s="85" t="s">
        <v>114</v>
      </c>
      <c r="AD404" s="85" t="s">
        <v>114</v>
      </c>
      <c r="AE404" s="85"/>
      <c r="AF404" s="85"/>
      <c r="AG404" s="86">
        <v>43353</v>
      </c>
      <c r="AH404" s="85" t="s">
        <v>107</v>
      </c>
      <c r="AI404" s="86">
        <v>43299</v>
      </c>
      <c r="AJ404" s="86">
        <v>43299</v>
      </c>
      <c r="AK404" s="85"/>
      <c r="AL404" s="85" t="s">
        <v>107</v>
      </c>
      <c r="AM404" s="85" t="s">
        <v>107</v>
      </c>
      <c r="AN404" s="86">
        <v>43375</v>
      </c>
      <c r="AO404" s="86">
        <v>43299</v>
      </c>
      <c r="AP404" s="86">
        <v>43299</v>
      </c>
      <c r="AQ404" s="86">
        <v>43299</v>
      </c>
      <c r="AR404" s="86">
        <v>43299</v>
      </c>
      <c r="AS404" s="86">
        <v>43299</v>
      </c>
      <c r="AT404" s="86">
        <v>43299</v>
      </c>
      <c r="AU404" s="86">
        <v>43299</v>
      </c>
      <c r="AV404" s="86">
        <v>43299</v>
      </c>
      <c r="AW404" s="86">
        <v>43299</v>
      </c>
    </row>
    <row r="405" spans="1:49" x14ac:dyDescent="0.2">
      <c r="A405" s="85" t="s">
        <v>1249</v>
      </c>
      <c r="B405" s="85" t="s">
        <v>1250</v>
      </c>
      <c r="C405" s="85" t="s">
        <v>1251</v>
      </c>
      <c r="D405" s="85" t="s">
        <v>686</v>
      </c>
      <c r="E405" s="85" t="s">
        <v>149</v>
      </c>
      <c r="F405" s="85" t="s">
        <v>127</v>
      </c>
      <c r="G405" s="85" t="s">
        <v>4</v>
      </c>
      <c r="H405" s="85" t="s">
        <v>5</v>
      </c>
      <c r="I405" s="86">
        <v>43506</v>
      </c>
      <c r="J405" s="86">
        <v>43408</v>
      </c>
      <c r="K405" s="86">
        <v>43506</v>
      </c>
      <c r="L405" s="85" t="s">
        <v>99</v>
      </c>
      <c r="M405" s="86">
        <v>42745</v>
      </c>
      <c r="N405" s="85" t="s">
        <v>107</v>
      </c>
      <c r="O405" s="86">
        <v>43497</v>
      </c>
      <c r="P405" s="86">
        <v>43263</v>
      </c>
      <c r="Q405" s="86">
        <v>43799</v>
      </c>
      <c r="R405" s="85" t="s">
        <v>1652</v>
      </c>
      <c r="S405" s="86">
        <v>43617</v>
      </c>
      <c r="T405" s="85" t="s">
        <v>1652</v>
      </c>
      <c r="U405" s="86">
        <v>43326</v>
      </c>
      <c r="V405" s="86">
        <v>43708</v>
      </c>
      <c r="W405" s="85" t="s">
        <v>1653</v>
      </c>
      <c r="X405" s="85" t="s">
        <v>114</v>
      </c>
      <c r="Y405" s="85">
        <v>1</v>
      </c>
      <c r="Z405" s="85" t="s">
        <v>114</v>
      </c>
      <c r="AA405" s="85"/>
      <c r="AB405" s="85" t="s">
        <v>114</v>
      </c>
      <c r="AC405" s="85" t="s">
        <v>114</v>
      </c>
      <c r="AD405" s="85" t="s">
        <v>114</v>
      </c>
      <c r="AE405" s="85"/>
      <c r="AF405" s="85"/>
      <c r="AG405" s="86">
        <v>43272</v>
      </c>
      <c r="AH405" s="85" t="s">
        <v>107</v>
      </c>
      <c r="AI405" s="85"/>
      <c r="AJ405" s="85"/>
      <c r="AK405" s="86">
        <v>41573</v>
      </c>
      <c r="AL405" s="86">
        <v>39845</v>
      </c>
      <c r="AM405" s="86">
        <v>39845</v>
      </c>
      <c r="AN405" s="86">
        <v>43375</v>
      </c>
      <c r="AO405" s="86">
        <v>43251</v>
      </c>
      <c r="AP405" s="86">
        <v>43251</v>
      </c>
      <c r="AQ405" s="86">
        <v>43251</v>
      </c>
      <c r="AR405" s="86">
        <v>43251</v>
      </c>
      <c r="AS405" s="86">
        <v>43251</v>
      </c>
      <c r="AT405" s="86">
        <v>43251</v>
      </c>
      <c r="AU405" s="86">
        <v>43251</v>
      </c>
      <c r="AV405" s="86">
        <v>43251</v>
      </c>
      <c r="AW405" s="86">
        <v>43251</v>
      </c>
    </row>
    <row r="406" spans="1:49" x14ac:dyDescent="0.2">
      <c r="A406" s="85" t="s">
        <v>1252</v>
      </c>
      <c r="B406" s="85" t="s">
        <v>1253</v>
      </c>
      <c r="C406" s="85" t="s">
        <v>1254</v>
      </c>
      <c r="D406" s="85" t="s">
        <v>379</v>
      </c>
      <c r="E406" s="85" t="s">
        <v>158</v>
      </c>
      <c r="F406" s="85" t="s">
        <v>106</v>
      </c>
      <c r="G406" s="85" t="s">
        <v>4</v>
      </c>
      <c r="H406" s="85" t="s">
        <v>5</v>
      </c>
      <c r="I406" s="85" t="s">
        <v>107</v>
      </c>
      <c r="J406" s="85" t="s">
        <v>59</v>
      </c>
      <c r="K406" s="85" t="s">
        <v>59</v>
      </c>
      <c r="L406" s="85" t="s">
        <v>107</v>
      </c>
      <c r="M406" s="85" t="s">
        <v>107</v>
      </c>
      <c r="N406" s="85" t="s">
        <v>107</v>
      </c>
      <c r="O406" s="85" t="s">
        <v>107</v>
      </c>
      <c r="P406" s="85" t="s">
        <v>107</v>
      </c>
      <c r="Q406" s="86">
        <v>43679</v>
      </c>
      <c r="R406" s="85" t="s">
        <v>107</v>
      </c>
      <c r="S406" s="85" t="s">
        <v>107</v>
      </c>
      <c r="T406" s="85" t="s">
        <v>107</v>
      </c>
      <c r="U406" s="85" t="s">
        <v>107</v>
      </c>
      <c r="V406" s="85" t="s">
        <v>107</v>
      </c>
      <c r="W406" s="85" t="s">
        <v>107</v>
      </c>
      <c r="X406" s="85" t="s">
        <v>107</v>
      </c>
      <c r="Y406" s="85" t="s">
        <v>107</v>
      </c>
      <c r="Z406" s="85" t="s">
        <v>107</v>
      </c>
      <c r="AA406" s="85" t="s">
        <v>107</v>
      </c>
      <c r="AB406" s="85" t="s">
        <v>107</v>
      </c>
      <c r="AC406" s="85" t="s">
        <v>107</v>
      </c>
      <c r="AD406" s="85" t="s">
        <v>107</v>
      </c>
      <c r="AE406" s="85" t="s">
        <v>107</v>
      </c>
      <c r="AF406" s="85" t="s">
        <v>107</v>
      </c>
      <c r="AG406" s="85" t="s">
        <v>59</v>
      </c>
      <c r="AH406" s="85" t="s">
        <v>2022</v>
      </c>
      <c r="AI406" s="85" t="s">
        <v>107</v>
      </c>
      <c r="AJ406" s="85" t="s">
        <v>107</v>
      </c>
      <c r="AK406" s="85" t="s">
        <v>107</v>
      </c>
      <c r="AL406" s="85" t="s">
        <v>107</v>
      </c>
      <c r="AM406" s="85" t="s">
        <v>107</v>
      </c>
      <c r="AN406" s="86">
        <v>43375</v>
      </c>
      <c r="AO406" s="86">
        <v>43301</v>
      </c>
      <c r="AP406" s="86">
        <v>43301</v>
      </c>
      <c r="AQ406" s="86">
        <v>43301</v>
      </c>
      <c r="AR406" s="86">
        <v>43301</v>
      </c>
      <c r="AS406" s="86">
        <v>43301</v>
      </c>
      <c r="AT406" s="86">
        <v>43301</v>
      </c>
      <c r="AU406" s="85" t="s">
        <v>107</v>
      </c>
      <c r="AV406" s="86">
        <v>43301</v>
      </c>
      <c r="AW406" s="86">
        <v>43301</v>
      </c>
    </row>
    <row r="407" spans="1:49" x14ac:dyDescent="0.2">
      <c r="A407" s="85" t="s">
        <v>1255</v>
      </c>
      <c r="B407" s="85" t="s">
        <v>1256</v>
      </c>
      <c r="C407" s="85" t="s">
        <v>1257</v>
      </c>
      <c r="D407" s="85" t="s">
        <v>1021</v>
      </c>
      <c r="E407" s="85" t="s">
        <v>149</v>
      </c>
      <c r="F407" s="85" t="s">
        <v>100</v>
      </c>
      <c r="G407" s="85" t="s">
        <v>4</v>
      </c>
      <c r="H407" s="85" t="s">
        <v>8</v>
      </c>
      <c r="I407" s="86">
        <v>43475</v>
      </c>
      <c r="J407" s="85" t="s">
        <v>59</v>
      </c>
      <c r="K407" s="85" t="s">
        <v>59</v>
      </c>
      <c r="L407" s="85" t="s">
        <v>59</v>
      </c>
      <c r="M407" s="85" t="s">
        <v>59</v>
      </c>
      <c r="N407" s="85" t="s">
        <v>59</v>
      </c>
      <c r="O407" s="85" t="s">
        <v>59</v>
      </c>
      <c r="P407" s="85" t="s">
        <v>59</v>
      </c>
      <c r="Q407" s="86">
        <v>43847</v>
      </c>
      <c r="R407" s="85" t="s">
        <v>1652</v>
      </c>
      <c r="S407" s="85"/>
      <c r="T407" s="85" t="s">
        <v>1652</v>
      </c>
      <c r="U407" s="85" t="s">
        <v>107</v>
      </c>
      <c r="V407" s="85" t="s">
        <v>107</v>
      </c>
      <c r="W407" s="85" t="s">
        <v>107</v>
      </c>
      <c r="X407" s="85" t="s">
        <v>107</v>
      </c>
      <c r="Y407" s="85" t="s">
        <v>107</v>
      </c>
      <c r="Z407" s="85" t="s">
        <v>107</v>
      </c>
      <c r="AA407" s="85" t="s">
        <v>107</v>
      </c>
      <c r="AB407" s="85" t="s">
        <v>107</v>
      </c>
      <c r="AC407" s="85" t="s">
        <v>107</v>
      </c>
      <c r="AD407" s="85" t="s">
        <v>107</v>
      </c>
      <c r="AE407" s="85" t="s">
        <v>107</v>
      </c>
      <c r="AF407" s="85" t="s">
        <v>107</v>
      </c>
      <c r="AG407" s="86">
        <v>43411</v>
      </c>
      <c r="AH407" s="85" t="s">
        <v>107</v>
      </c>
      <c r="AI407" s="85" t="s">
        <v>107</v>
      </c>
      <c r="AJ407" s="85" t="s">
        <v>107</v>
      </c>
      <c r="AK407" s="85"/>
      <c r="AL407" s="85" t="s">
        <v>107</v>
      </c>
      <c r="AM407" s="85" t="s">
        <v>107</v>
      </c>
      <c r="AN407" s="86">
        <v>43375</v>
      </c>
      <c r="AO407" s="86">
        <v>43374</v>
      </c>
      <c r="AP407" s="86">
        <v>43374</v>
      </c>
      <c r="AQ407" s="86">
        <v>43374</v>
      </c>
      <c r="AR407" s="86">
        <v>43374</v>
      </c>
      <c r="AS407" s="86">
        <v>43374</v>
      </c>
      <c r="AT407" s="86">
        <v>43374</v>
      </c>
      <c r="AU407" s="86">
        <v>43374</v>
      </c>
      <c r="AV407" s="86">
        <v>43374</v>
      </c>
      <c r="AW407" s="86">
        <v>43374</v>
      </c>
    </row>
    <row r="408" spans="1:49" x14ac:dyDescent="0.2">
      <c r="A408" s="85" t="s">
        <v>1845</v>
      </c>
      <c r="B408" s="85" t="s">
        <v>1846</v>
      </c>
      <c r="C408" s="85" t="s">
        <v>1847</v>
      </c>
      <c r="D408" s="85" t="s">
        <v>1848</v>
      </c>
      <c r="E408" s="85" t="s">
        <v>141</v>
      </c>
      <c r="F408" s="85" t="s">
        <v>106</v>
      </c>
      <c r="G408" s="85" t="s">
        <v>4</v>
      </c>
      <c r="H408" s="85" t="s">
        <v>12</v>
      </c>
      <c r="I408" s="85" t="s">
        <v>107</v>
      </c>
      <c r="J408" s="86">
        <v>43172</v>
      </c>
      <c r="K408" s="86">
        <v>43171</v>
      </c>
      <c r="L408" s="85" t="s">
        <v>107</v>
      </c>
      <c r="M408" s="85" t="s">
        <v>107</v>
      </c>
      <c r="N408" s="85" t="s">
        <v>107</v>
      </c>
      <c r="O408" s="85" t="s">
        <v>107</v>
      </c>
      <c r="P408" s="85" t="s">
        <v>107</v>
      </c>
      <c r="Q408" s="85" t="s">
        <v>59</v>
      </c>
      <c r="R408" s="85" t="s">
        <v>107</v>
      </c>
      <c r="S408" s="85" t="s">
        <v>107</v>
      </c>
      <c r="T408" s="85" t="s">
        <v>107</v>
      </c>
      <c r="U408" s="85" t="s">
        <v>107</v>
      </c>
      <c r="V408" s="85" t="s">
        <v>107</v>
      </c>
      <c r="W408" s="85" t="s">
        <v>107</v>
      </c>
      <c r="X408" s="85" t="s">
        <v>107</v>
      </c>
      <c r="Y408" s="85" t="s">
        <v>107</v>
      </c>
      <c r="Z408" s="85" t="s">
        <v>107</v>
      </c>
      <c r="AA408" s="85" t="s">
        <v>107</v>
      </c>
      <c r="AB408" s="85" t="s">
        <v>107</v>
      </c>
      <c r="AC408" s="85" t="s">
        <v>107</v>
      </c>
      <c r="AD408" s="85" t="s">
        <v>107</v>
      </c>
      <c r="AE408" s="85" t="s">
        <v>107</v>
      </c>
      <c r="AF408" s="85" t="s">
        <v>107</v>
      </c>
      <c r="AG408" s="86">
        <v>43476</v>
      </c>
      <c r="AH408" s="85" t="s">
        <v>107</v>
      </c>
      <c r="AI408" s="85" t="s">
        <v>107</v>
      </c>
      <c r="AJ408" s="85" t="s">
        <v>107</v>
      </c>
      <c r="AK408" s="85" t="s">
        <v>107</v>
      </c>
      <c r="AL408" s="85" t="s">
        <v>107</v>
      </c>
      <c r="AM408" s="85" t="s">
        <v>107</v>
      </c>
      <c r="AN408" s="86">
        <v>43472</v>
      </c>
      <c r="AO408" s="86">
        <v>43472</v>
      </c>
      <c r="AP408" s="86">
        <v>43472</v>
      </c>
      <c r="AQ408" s="86">
        <v>43472</v>
      </c>
      <c r="AR408" s="86">
        <v>43472</v>
      </c>
      <c r="AS408" s="86">
        <v>43472</v>
      </c>
      <c r="AT408" s="86">
        <v>43472</v>
      </c>
      <c r="AU408" s="85" t="s">
        <v>107</v>
      </c>
      <c r="AV408" s="86">
        <v>43472</v>
      </c>
      <c r="AW408" s="86">
        <v>43472</v>
      </c>
    </row>
    <row r="409" spans="1:49" x14ac:dyDescent="0.2">
      <c r="A409" s="85" t="s">
        <v>1580</v>
      </c>
      <c r="B409" s="85" t="s">
        <v>1581</v>
      </c>
      <c r="C409" s="85" t="s">
        <v>1582</v>
      </c>
      <c r="D409" s="85" t="s">
        <v>244</v>
      </c>
      <c r="E409" s="85" t="s">
        <v>240</v>
      </c>
      <c r="F409" s="85" t="s">
        <v>106</v>
      </c>
      <c r="G409" s="85" t="s">
        <v>4</v>
      </c>
      <c r="H409" s="85" t="s">
        <v>12</v>
      </c>
      <c r="I409" s="85" t="s">
        <v>107</v>
      </c>
      <c r="J409" s="86">
        <v>43341</v>
      </c>
      <c r="K409" s="86">
        <v>43341</v>
      </c>
      <c r="L409" s="85" t="s">
        <v>107</v>
      </c>
      <c r="M409" s="85" t="s">
        <v>107</v>
      </c>
      <c r="N409" s="85" t="s">
        <v>107</v>
      </c>
      <c r="O409" s="85" t="s">
        <v>107</v>
      </c>
      <c r="P409" s="85" t="s">
        <v>107</v>
      </c>
      <c r="Q409" s="86">
        <v>43706</v>
      </c>
      <c r="R409" s="85" t="s">
        <v>107</v>
      </c>
      <c r="S409" s="85" t="s">
        <v>107</v>
      </c>
      <c r="T409" s="85" t="s">
        <v>107</v>
      </c>
      <c r="U409" s="85" t="s">
        <v>107</v>
      </c>
      <c r="V409" s="85" t="s">
        <v>107</v>
      </c>
      <c r="W409" s="85" t="s">
        <v>107</v>
      </c>
      <c r="X409" s="85" t="s">
        <v>107</v>
      </c>
      <c r="Y409" s="85" t="s">
        <v>107</v>
      </c>
      <c r="Z409" s="85" t="s">
        <v>107</v>
      </c>
      <c r="AA409" s="85" t="s">
        <v>107</v>
      </c>
      <c r="AB409" s="85" t="s">
        <v>107</v>
      </c>
      <c r="AC409" s="85" t="s">
        <v>107</v>
      </c>
      <c r="AD409" s="85" t="s">
        <v>107</v>
      </c>
      <c r="AE409" s="85" t="s">
        <v>107</v>
      </c>
      <c r="AF409" s="85" t="s">
        <v>107</v>
      </c>
      <c r="AG409" s="86">
        <v>43342</v>
      </c>
      <c r="AH409" s="85" t="s">
        <v>107</v>
      </c>
      <c r="AI409" s="85" t="s">
        <v>107</v>
      </c>
      <c r="AJ409" s="85" t="s">
        <v>107</v>
      </c>
      <c r="AK409" s="85" t="s">
        <v>107</v>
      </c>
      <c r="AL409" s="85" t="s">
        <v>107</v>
      </c>
      <c r="AM409" s="85" t="s">
        <v>107</v>
      </c>
      <c r="AN409" s="85"/>
      <c r="AO409" s="86">
        <v>43340</v>
      </c>
      <c r="AP409" s="86">
        <v>43340</v>
      </c>
      <c r="AQ409" s="86">
        <v>43340</v>
      </c>
      <c r="AR409" s="86">
        <v>43340</v>
      </c>
      <c r="AS409" s="86">
        <v>43340</v>
      </c>
      <c r="AT409" s="86">
        <v>43340</v>
      </c>
      <c r="AU409" s="85" t="s">
        <v>107</v>
      </c>
      <c r="AV409" s="86">
        <v>43340</v>
      </c>
      <c r="AW409" s="86">
        <v>43340</v>
      </c>
    </row>
    <row r="410" spans="1:49" x14ac:dyDescent="0.2">
      <c r="A410" s="85" t="s">
        <v>1258</v>
      </c>
      <c r="B410" s="85" t="s">
        <v>1259</v>
      </c>
      <c r="C410" s="85" t="s">
        <v>1260</v>
      </c>
      <c r="D410" s="85" t="s">
        <v>225</v>
      </c>
      <c r="E410" s="85" t="s">
        <v>119</v>
      </c>
      <c r="F410" s="85" t="s">
        <v>270</v>
      </c>
      <c r="G410" s="85" t="s">
        <v>4</v>
      </c>
      <c r="H410" s="85" t="s">
        <v>7</v>
      </c>
      <c r="I410" s="86">
        <v>43341</v>
      </c>
      <c r="J410" s="86">
        <v>43167</v>
      </c>
      <c r="K410" s="86">
        <v>43164</v>
      </c>
      <c r="L410" s="85" t="s">
        <v>99</v>
      </c>
      <c r="M410" s="86">
        <v>42766</v>
      </c>
      <c r="N410" s="85" t="s">
        <v>107</v>
      </c>
      <c r="O410" s="86">
        <v>43164</v>
      </c>
      <c r="P410" s="86">
        <v>43276</v>
      </c>
      <c r="Q410" s="86">
        <v>43532</v>
      </c>
      <c r="R410" s="85" t="s">
        <v>1652</v>
      </c>
      <c r="S410" s="86">
        <v>43435</v>
      </c>
      <c r="T410" s="85" t="s">
        <v>1652</v>
      </c>
      <c r="U410" s="86">
        <v>43265</v>
      </c>
      <c r="V410" s="86">
        <v>43646</v>
      </c>
      <c r="W410" s="85" t="s">
        <v>1653</v>
      </c>
      <c r="X410" s="85" t="s">
        <v>119</v>
      </c>
      <c r="Y410" s="85">
        <v>1</v>
      </c>
      <c r="Z410" s="85" t="s">
        <v>114</v>
      </c>
      <c r="AA410" s="85"/>
      <c r="AB410" s="85" t="s">
        <v>114</v>
      </c>
      <c r="AC410" s="85" t="s">
        <v>114</v>
      </c>
      <c r="AD410" s="85" t="s">
        <v>119</v>
      </c>
      <c r="AE410" s="85" t="s">
        <v>1721</v>
      </c>
      <c r="AF410" s="85"/>
      <c r="AG410" s="86">
        <v>43167</v>
      </c>
      <c r="AH410" s="85" t="s">
        <v>107</v>
      </c>
      <c r="AI410" s="85"/>
      <c r="AJ410" s="85"/>
      <c r="AK410" s="86">
        <v>43164</v>
      </c>
      <c r="AL410" s="85" t="s">
        <v>107</v>
      </c>
      <c r="AM410" s="85" t="s">
        <v>107</v>
      </c>
      <c r="AN410" s="85"/>
      <c r="AO410" s="86">
        <v>43207</v>
      </c>
      <c r="AP410" s="86">
        <v>43171</v>
      </c>
      <c r="AQ410" s="86">
        <v>43119</v>
      </c>
      <c r="AR410" s="86">
        <v>43119</v>
      </c>
      <c r="AS410" s="86">
        <v>43174</v>
      </c>
      <c r="AT410" s="86">
        <v>43119</v>
      </c>
      <c r="AU410" s="86">
        <v>43119</v>
      </c>
      <c r="AV410" s="86">
        <v>43119</v>
      </c>
      <c r="AW410" s="86">
        <v>43119</v>
      </c>
    </row>
    <row r="411" spans="1:49" x14ac:dyDescent="0.2">
      <c r="A411" s="85" t="s">
        <v>1261</v>
      </c>
      <c r="B411" s="85" t="s">
        <v>1262</v>
      </c>
      <c r="C411" s="85" t="s">
        <v>1263</v>
      </c>
      <c r="D411" s="85" t="s">
        <v>875</v>
      </c>
      <c r="E411" s="85" t="s">
        <v>119</v>
      </c>
      <c r="F411" s="85" t="s">
        <v>144</v>
      </c>
      <c r="G411" s="85" t="s">
        <v>4</v>
      </c>
      <c r="H411" s="85" t="s">
        <v>8</v>
      </c>
      <c r="I411" s="86">
        <v>43475</v>
      </c>
      <c r="J411" s="86">
        <v>43507</v>
      </c>
      <c r="K411" s="86">
        <v>43497</v>
      </c>
      <c r="L411" s="85" t="s">
        <v>99</v>
      </c>
      <c r="M411" s="86">
        <v>43144</v>
      </c>
      <c r="N411" s="85" t="s">
        <v>107</v>
      </c>
      <c r="O411" s="86">
        <v>43144</v>
      </c>
      <c r="P411" s="86">
        <v>43377</v>
      </c>
      <c r="Q411" s="86">
        <v>43862</v>
      </c>
      <c r="R411" s="85" t="s">
        <v>1652</v>
      </c>
      <c r="S411" s="86">
        <v>43709</v>
      </c>
      <c r="T411" s="85" t="s">
        <v>1652</v>
      </c>
      <c r="U411" s="86">
        <v>43339</v>
      </c>
      <c r="V411" s="86">
        <v>43524</v>
      </c>
      <c r="W411" s="85" t="s">
        <v>1655</v>
      </c>
      <c r="X411" s="85" t="s">
        <v>114</v>
      </c>
      <c r="Y411" s="85">
        <v>2</v>
      </c>
      <c r="Z411" s="85" t="s">
        <v>114</v>
      </c>
      <c r="AA411" s="85"/>
      <c r="AB411" s="85" t="s">
        <v>114</v>
      </c>
      <c r="AC411" s="85" t="s">
        <v>114</v>
      </c>
      <c r="AD411" s="85" t="s">
        <v>114</v>
      </c>
      <c r="AE411" s="85"/>
      <c r="AF411" s="85"/>
      <c r="AG411" s="86">
        <v>43354</v>
      </c>
      <c r="AH411" s="85" t="s">
        <v>2023</v>
      </c>
      <c r="AI411" s="86">
        <v>40787</v>
      </c>
      <c r="AJ411" s="86">
        <v>43377</v>
      </c>
      <c r="AK411" s="86">
        <v>42063</v>
      </c>
      <c r="AL411" s="85" t="s">
        <v>107</v>
      </c>
      <c r="AM411" s="85" t="s">
        <v>107</v>
      </c>
      <c r="AN411" s="86">
        <v>43405</v>
      </c>
      <c r="AO411" s="86">
        <v>43493</v>
      </c>
      <c r="AP411" s="86">
        <v>43353</v>
      </c>
      <c r="AQ411" s="86">
        <v>41939</v>
      </c>
      <c r="AR411" s="86">
        <v>43353</v>
      </c>
      <c r="AS411" s="86">
        <v>43353</v>
      </c>
      <c r="AT411" s="86">
        <v>43353</v>
      </c>
      <c r="AU411" s="86">
        <v>43353</v>
      </c>
      <c r="AV411" s="86">
        <v>43353</v>
      </c>
      <c r="AW411" s="86">
        <v>43353</v>
      </c>
    </row>
    <row r="412" spans="1:49" x14ac:dyDescent="0.2">
      <c r="A412" s="85" t="s">
        <v>1264</v>
      </c>
      <c r="B412" s="85" t="s">
        <v>1265</v>
      </c>
      <c r="C412" s="85" t="s">
        <v>194</v>
      </c>
      <c r="D412" s="85" t="s">
        <v>225</v>
      </c>
      <c r="E412" s="85" t="s">
        <v>121</v>
      </c>
      <c r="F412" s="85" t="s">
        <v>144</v>
      </c>
      <c r="G412" s="85" t="s">
        <v>4</v>
      </c>
      <c r="H412" s="85" t="s">
        <v>11</v>
      </c>
      <c r="I412" s="86">
        <v>43195</v>
      </c>
      <c r="J412" s="86">
        <v>43180</v>
      </c>
      <c r="K412" s="86">
        <v>43276</v>
      </c>
      <c r="L412" s="85" t="s">
        <v>99</v>
      </c>
      <c r="M412" s="86">
        <v>43161</v>
      </c>
      <c r="N412" s="85" t="s">
        <v>107</v>
      </c>
      <c r="O412" s="86">
        <v>42838</v>
      </c>
      <c r="P412" s="86">
        <v>43277</v>
      </c>
      <c r="Q412" s="86">
        <v>43494</v>
      </c>
      <c r="R412" s="85" t="s">
        <v>1652</v>
      </c>
      <c r="S412" s="86">
        <v>43800</v>
      </c>
      <c r="T412" s="85" t="s">
        <v>1652</v>
      </c>
      <c r="U412" s="86">
        <v>43355</v>
      </c>
      <c r="V412" s="86">
        <v>43555</v>
      </c>
      <c r="W412" s="85" t="s">
        <v>1657</v>
      </c>
      <c r="X412" s="85" t="s">
        <v>114</v>
      </c>
      <c r="Y412" s="85">
        <v>1</v>
      </c>
      <c r="Z412" s="85" t="s">
        <v>211</v>
      </c>
      <c r="AA412" s="85"/>
      <c r="AB412" s="85" t="s">
        <v>114</v>
      </c>
      <c r="AC412" s="85" t="s">
        <v>114</v>
      </c>
      <c r="AD412" s="85" t="s">
        <v>211</v>
      </c>
      <c r="AE412" s="85" t="s">
        <v>1661</v>
      </c>
      <c r="AF412" s="86">
        <v>43547</v>
      </c>
      <c r="AG412" s="86">
        <v>43497</v>
      </c>
      <c r="AH412" s="85" t="s">
        <v>107</v>
      </c>
      <c r="AI412" s="86">
        <v>42522</v>
      </c>
      <c r="AJ412" s="86">
        <v>43411</v>
      </c>
      <c r="AK412" s="86">
        <v>42067</v>
      </c>
      <c r="AL412" s="86">
        <v>43011</v>
      </c>
      <c r="AM412" s="86">
        <v>43011</v>
      </c>
      <c r="AN412" s="86">
        <v>43507</v>
      </c>
      <c r="AO412" s="86">
        <v>43277</v>
      </c>
      <c r="AP412" s="86">
        <v>43507</v>
      </c>
      <c r="AQ412" s="86">
        <v>43315</v>
      </c>
      <c r="AR412" s="86">
        <v>43507</v>
      </c>
      <c r="AS412" s="86">
        <v>43507</v>
      </c>
      <c r="AT412" s="86">
        <v>43507</v>
      </c>
      <c r="AU412" s="86">
        <v>43507</v>
      </c>
      <c r="AV412" s="86">
        <v>43507</v>
      </c>
      <c r="AW412" s="86">
        <v>43507</v>
      </c>
    </row>
    <row r="413" spans="1:49" x14ac:dyDescent="0.2">
      <c r="A413" s="85" t="s">
        <v>1266</v>
      </c>
      <c r="B413" s="85" t="s">
        <v>1267</v>
      </c>
      <c r="C413" s="85" t="s">
        <v>1268</v>
      </c>
      <c r="D413" s="85" t="s">
        <v>1269</v>
      </c>
      <c r="E413" s="85" t="s">
        <v>158</v>
      </c>
      <c r="F413" s="85" t="s">
        <v>144</v>
      </c>
      <c r="G413" s="85" t="s">
        <v>4</v>
      </c>
      <c r="H413" s="85" t="s">
        <v>9</v>
      </c>
      <c r="I413" s="86">
        <v>43437</v>
      </c>
      <c r="J413" s="86">
        <v>43209</v>
      </c>
      <c r="K413" s="86">
        <v>43209</v>
      </c>
      <c r="L413" s="85" t="s">
        <v>99</v>
      </c>
      <c r="M413" s="86">
        <v>43195</v>
      </c>
      <c r="N413" s="85" t="s">
        <v>107</v>
      </c>
      <c r="O413" s="86">
        <v>43209</v>
      </c>
      <c r="P413" s="86">
        <v>43299</v>
      </c>
      <c r="Q413" s="86">
        <v>43560</v>
      </c>
      <c r="R413" s="85" t="s">
        <v>1652</v>
      </c>
      <c r="S413" s="86">
        <v>43497</v>
      </c>
      <c r="T413" s="85" t="s">
        <v>1652</v>
      </c>
      <c r="U413" s="86">
        <v>43496</v>
      </c>
      <c r="V413" s="86">
        <v>43677</v>
      </c>
      <c r="W413" s="85" t="s">
        <v>1657</v>
      </c>
      <c r="X413" s="85" t="s">
        <v>114</v>
      </c>
      <c r="Y413" s="85">
        <v>1</v>
      </c>
      <c r="Z413" s="85" t="s">
        <v>114</v>
      </c>
      <c r="AA413" s="85"/>
      <c r="AB413" s="85" t="s">
        <v>114</v>
      </c>
      <c r="AC413" s="85" t="s">
        <v>114</v>
      </c>
      <c r="AD413" s="85" t="s">
        <v>114</v>
      </c>
      <c r="AE413" s="85"/>
      <c r="AF413" s="85"/>
      <c r="AG413" s="86">
        <v>43195</v>
      </c>
      <c r="AH413" s="85" t="s">
        <v>107</v>
      </c>
      <c r="AI413" s="86">
        <v>42379</v>
      </c>
      <c r="AJ413" s="86">
        <v>43173</v>
      </c>
      <c r="AK413" s="86">
        <v>43209</v>
      </c>
      <c r="AL413" s="85" t="s">
        <v>107</v>
      </c>
      <c r="AM413" s="85" t="s">
        <v>107</v>
      </c>
      <c r="AN413" s="86">
        <v>43375</v>
      </c>
      <c r="AO413" s="86">
        <v>43207</v>
      </c>
      <c r="AP413" s="86">
        <v>43160</v>
      </c>
      <c r="AQ413" s="86">
        <v>42408</v>
      </c>
      <c r="AR413" s="86">
        <v>43144</v>
      </c>
      <c r="AS413" s="86">
        <v>43227</v>
      </c>
      <c r="AT413" s="86">
        <v>43144</v>
      </c>
      <c r="AU413" s="86">
        <v>43144</v>
      </c>
      <c r="AV413" s="86">
        <v>43144</v>
      </c>
      <c r="AW413" s="86">
        <v>43144</v>
      </c>
    </row>
    <row r="414" spans="1:49" x14ac:dyDescent="0.2">
      <c r="A414" s="85" t="s">
        <v>1270</v>
      </c>
      <c r="B414" s="85" t="s">
        <v>1271</v>
      </c>
      <c r="C414" s="85" t="s">
        <v>1272</v>
      </c>
      <c r="D414" s="85" t="s">
        <v>239</v>
      </c>
      <c r="E414" s="85" t="s">
        <v>105</v>
      </c>
      <c r="F414" s="85" t="s">
        <v>144</v>
      </c>
      <c r="G414" s="85" t="s">
        <v>4</v>
      </c>
      <c r="H414" s="85" t="s">
        <v>12</v>
      </c>
      <c r="I414" s="86">
        <v>43371</v>
      </c>
      <c r="J414" s="86">
        <v>43403</v>
      </c>
      <c r="K414" s="86">
        <v>43199</v>
      </c>
      <c r="L414" s="85" t="s">
        <v>99</v>
      </c>
      <c r="M414" s="86">
        <v>42849</v>
      </c>
      <c r="N414" s="85" t="s">
        <v>107</v>
      </c>
      <c r="O414" s="86">
        <v>43199</v>
      </c>
      <c r="P414" s="86">
        <v>43214</v>
      </c>
      <c r="Q414" s="86">
        <v>43564</v>
      </c>
      <c r="R414" s="85" t="s">
        <v>1652</v>
      </c>
      <c r="S414" s="86">
        <v>43678</v>
      </c>
      <c r="T414" s="85" t="s">
        <v>1652</v>
      </c>
      <c r="U414" s="86">
        <v>43397</v>
      </c>
      <c r="V414" s="86">
        <v>43585</v>
      </c>
      <c r="W414" s="85" t="s">
        <v>1655</v>
      </c>
      <c r="X414" s="85" t="s">
        <v>114</v>
      </c>
      <c r="Y414" s="85">
        <v>1</v>
      </c>
      <c r="Z414" s="85" t="s">
        <v>114</v>
      </c>
      <c r="AA414" s="85"/>
      <c r="AB414" s="85" t="s">
        <v>114</v>
      </c>
      <c r="AC414" s="85" t="s">
        <v>114</v>
      </c>
      <c r="AD414" s="85" t="s">
        <v>114</v>
      </c>
      <c r="AE414" s="85"/>
      <c r="AF414" s="85"/>
      <c r="AG414" s="86">
        <v>43178</v>
      </c>
      <c r="AH414" s="85" t="s">
        <v>107</v>
      </c>
      <c r="AI414" s="86">
        <v>42430</v>
      </c>
      <c r="AJ414" s="86">
        <v>43219</v>
      </c>
      <c r="AK414" s="86">
        <v>43195</v>
      </c>
      <c r="AL414" s="85" t="s">
        <v>107</v>
      </c>
      <c r="AM414" s="85" t="s">
        <v>107</v>
      </c>
      <c r="AN414" s="85"/>
      <c r="AO414" s="86">
        <v>43213</v>
      </c>
      <c r="AP414" s="86">
        <v>43350</v>
      </c>
      <c r="AQ414" s="86">
        <v>40518</v>
      </c>
      <c r="AR414" s="86">
        <v>43350</v>
      </c>
      <c r="AS414" s="86">
        <v>43350</v>
      </c>
      <c r="AT414" s="86">
        <v>43350</v>
      </c>
      <c r="AU414" s="86">
        <v>43350</v>
      </c>
      <c r="AV414" s="86">
        <v>43350</v>
      </c>
      <c r="AW414" s="86">
        <v>43350</v>
      </c>
    </row>
    <row r="415" spans="1:49" x14ac:dyDescent="0.2">
      <c r="A415" s="85" t="s">
        <v>1273</v>
      </c>
      <c r="B415" s="85" t="s">
        <v>1274</v>
      </c>
      <c r="C415" s="85" t="s">
        <v>1275</v>
      </c>
      <c r="D415" s="85" t="s">
        <v>1276</v>
      </c>
      <c r="E415" s="85"/>
      <c r="F415" s="85" t="s">
        <v>144</v>
      </c>
      <c r="G415" s="85" t="s">
        <v>4</v>
      </c>
      <c r="H415" s="85" t="s">
        <v>12</v>
      </c>
      <c r="I415" s="86">
        <v>43368</v>
      </c>
      <c r="J415" s="86">
        <v>43493</v>
      </c>
      <c r="K415" s="86">
        <v>43199</v>
      </c>
      <c r="L415" s="85" t="s">
        <v>99</v>
      </c>
      <c r="M415" s="86">
        <v>43230</v>
      </c>
      <c r="N415" s="85" t="s">
        <v>107</v>
      </c>
      <c r="O415" s="86">
        <v>43199</v>
      </c>
      <c r="P415" s="86">
        <v>43213</v>
      </c>
      <c r="Q415" s="86">
        <v>43564</v>
      </c>
      <c r="R415" s="85" t="s">
        <v>1652</v>
      </c>
      <c r="S415" s="86">
        <v>44013</v>
      </c>
      <c r="T415" s="85" t="s">
        <v>1652</v>
      </c>
      <c r="U415" s="86">
        <v>43399</v>
      </c>
      <c r="V415" s="86">
        <v>43769</v>
      </c>
      <c r="W415" s="85" t="s">
        <v>1653</v>
      </c>
      <c r="X415" s="85" t="s">
        <v>114</v>
      </c>
      <c r="Y415" s="85">
        <v>1</v>
      </c>
      <c r="Z415" s="85" t="s">
        <v>114</v>
      </c>
      <c r="AA415" s="85"/>
      <c r="AB415" s="85" t="s">
        <v>114</v>
      </c>
      <c r="AC415" s="85" t="s">
        <v>114</v>
      </c>
      <c r="AD415" s="85" t="s">
        <v>114</v>
      </c>
      <c r="AE415" s="85" t="s">
        <v>1660</v>
      </c>
      <c r="AF415" s="85"/>
      <c r="AG415" s="86">
        <v>43227</v>
      </c>
      <c r="AH415" s="85" t="s">
        <v>107</v>
      </c>
      <c r="AI415" s="86">
        <v>43219</v>
      </c>
      <c r="AJ415" s="86">
        <v>43219</v>
      </c>
      <c r="AK415" s="86">
        <v>43195</v>
      </c>
      <c r="AL415" s="86">
        <v>41205</v>
      </c>
      <c r="AM415" s="86">
        <v>41205</v>
      </c>
      <c r="AN415" s="86">
        <v>43480</v>
      </c>
      <c r="AO415" s="86">
        <v>43213</v>
      </c>
      <c r="AP415" s="86">
        <v>43480</v>
      </c>
      <c r="AQ415" s="86">
        <v>41529</v>
      </c>
      <c r="AR415" s="86">
        <v>43480</v>
      </c>
      <c r="AS415" s="86">
        <v>43480</v>
      </c>
      <c r="AT415" s="86">
        <v>43480</v>
      </c>
      <c r="AU415" s="86">
        <v>43480</v>
      </c>
      <c r="AV415" s="86">
        <v>43480</v>
      </c>
      <c r="AW415" s="86">
        <v>43480</v>
      </c>
    </row>
    <row r="416" spans="1:49" x14ac:dyDescent="0.2">
      <c r="A416" s="85" t="s">
        <v>1277</v>
      </c>
      <c r="B416" s="85" t="s">
        <v>1278</v>
      </c>
      <c r="C416" s="85" t="s">
        <v>1279</v>
      </c>
      <c r="D416" s="85" t="s">
        <v>1280</v>
      </c>
      <c r="E416" s="85" t="s">
        <v>201</v>
      </c>
      <c r="F416" s="85" t="s">
        <v>249</v>
      </c>
      <c r="G416" s="85" t="s">
        <v>4</v>
      </c>
      <c r="H416" s="85" t="s">
        <v>12</v>
      </c>
      <c r="I416" s="86">
        <v>43172</v>
      </c>
      <c r="J416" s="86">
        <v>43220</v>
      </c>
      <c r="K416" s="86">
        <v>43220</v>
      </c>
      <c r="L416" s="85" t="s">
        <v>99</v>
      </c>
      <c r="M416" s="86">
        <v>42967</v>
      </c>
      <c r="N416" s="85" t="s">
        <v>107</v>
      </c>
      <c r="O416" s="86">
        <v>43220</v>
      </c>
      <c r="P416" s="86">
        <v>43213</v>
      </c>
      <c r="Q416" s="86">
        <v>43581</v>
      </c>
      <c r="R416" s="85" t="s">
        <v>1652</v>
      </c>
      <c r="S416" s="86">
        <v>43497</v>
      </c>
      <c r="T416" s="85" t="s">
        <v>1652</v>
      </c>
      <c r="U416" s="86">
        <v>43241</v>
      </c>
      <c r="V416" s="86">
        <v>43616</v>
      </c>
      <c r="W416" s="85" t="s">
        <v>1653</v>
      </c>
      <c r="X416" s="85" t="s">
        <v>114</v>
      </c>
      <c r="Y416" s="85">
        <v>1</v>
      </c>
      <c r="Z416" s="85" t="s">
        <v>114</v>
      </c>
      <c r="AA416" s="85"/>
      <c r="AB416" s="85" t="s">
        <v>211</v>
      </c>
      <c r="AC416" s="85" t="s">
        <v>114</v>
      </c>
      <c r="AD416" s="85" t="s">
        <v>211</v>
      </c>
      <c r="AE416" s="85" t="s">
        <v>1656</v>
      </c>
      <c r="AF416" s="86">
        <v>43536</v>
      </c>
      <c r="AG416" s="86">
        <v>43316</v>
      </c>
      <c r="AH416" s="85" t="s">
        <v>107</v>
      </c>
      <c r="AI416" s="86">
        <v>42795</v>
      </c>
      <c r="AJ416" s="86">
        <v>43219</v>
      </c>
      <c r="AK416" s="86">
        <v>43220</v>
      </c>
      <c r="AL416" s="85" t="s">
        <v>107</v>
      </c>
      <c r="AM416" s="85" t="s">
        <v>107</v>
      </c>
      <c r="AN416" s="86">
        <v>43390</v>
      </c>
      <c r="AO416" s="86">
        <v>43269</v>
      </c>
      <c r="AP416" s="86">
        <v>43046</v>
      </c>
      <c r="AQ416" s="86">
        <v>42815</v>
      </c>
      <c r="AR416" s="86">
        <v>43192</v>
      </c>
      <c r="AS416" s="86">
        <v>43283</v>
      </c>
      <c r="AT416" s="86">
        <v>42815</v>
      </c>
      <c r="AU416" s="86">
        <v>43192</v>
      </c>
      <c r="AV416" s="86">
        <v>43192</v>
      </c>
      <c r="AW416" s="86">
        <v>43192</v>
      </c>
    </row>
    <row r="417" spans="1:49" x14ac:dyDescent="0.2">
      <c r="A417" s="85" t="s">
        <v>1281</v>
      </c>
      <c r="B417" s="85" t="s">
        <v>1282</v>
      </c>
      <c r="C417" s="85" t="s">
        <v>1283</v>
      </c>
      <c r="D417" s="85" t="s">
        <v>1284</v>
      </c>
      <c r="E417" s="85" t="s">
        <v>206</v>
      </c>
      <c r="F417" s="85" t="s">
        <v>144</v>
      </c>
      <c r="G417" s="85" t="s">
        <v>4</v>
      </c>
      <c r="H417" s="85" t="s">
        <v>5</v>
      </c>
      <c r="I417" s="86">
        <v>43469</v>
      </c>
      <c r="J417" s="86">
        <v>43167</v>
      </c>
      <c r="K417" s="86">
        <v>43167</v>
      </c>
      <c r="L417" s="85" t="s">
        <v>99</v>
      </c>
      <c r="M417" s="86">
        <v>42865</v>
      </c>
      <c r="N417" s="85" t="s">
        <v>107</v>
      </c>
      <c r="O417" s="86">
        <v>43167</v>
      </c>
      <c r="P417" s="86">
        <v>43271</v>
      </c>
      <c r="Q417" s="86">
        <v>43532</v>
      </c>
      <c r="R417" s="85" t="s">
        <v>1658</v>
      </c>
      <c r="S417" s="86">
        <v>43770</v>
      </c>
      <c r="T417" s="85" t="s">
        <v>1652</v>
      </c>
      <c r="U417" s="86">
        <v>43311</v>
      </c>
      <c r="V417" s="86">
        <v>43677</v>
      </c>
      <c r="W417" s="85" t="s">
        <v>1653</v>
      </c>
      <c r="X417" s="85" t="s">
        <v>114</v>
      </c>
      <c r="Y417" s="85">
        <v>1</v>
      </c>
      <c r="Z417" s="85" t="s">
        <v>114</v>
      </c>
      <c r="AA417" s="85"/>
      <c r="AB417" s="85" t="s">
        <v>114</v>
      </c>
      <c r="AC417" s="85" t="s">
        <v>114</v>
      </c>
      <c r="AD417" s="85" t="s">
        <v>211</v>
      </c>
      <c r="AE417" s="85" t="s">
        <v>1823</v>
      </c>
      <c r="AF417" s="86">
        <v>43525</v>
      </c>
      <c r="AG417" s="86">
        <v>43297</v>
      </c>
      <c r="AH417" s="85" t="s">
        <v>107</v>
      </c>
      <c r="AI417" s="85" t="s">
        <v>59</v>
      </c>
      <c r="AJ417" s="85" t="s">
        <v>59</v>
      </c>
      <c r="AK417" s="86">
        <v>43167</v>
      </c>
      <c r="AL417" s="85" t="s">
        <v>107</v>
      </c>
      <c r="AM417" s="85" t="s">
        <v>107</v>
      </c>
      <c r="AN417" s="86">
        <v>43160</v>
      </c>
      <c r="AO417" s="86">
        <v>43241</v>
      </c>
      <c r="AP417" s="86">
        <v>43160</v>
      </c>
      <c r="AQ417" s="86">
        <v>42872</v>
      </c>
      <c r="AR417" s="86">
        <v>43160</v>
      </c>
      <c r="AS417" s="86">
        <v>43241</v>
      </c>
      <c r="AT417" s="86">
        <v>43160</v>
      </c>
      <c r="AU417" s="86">
        <v>43160</v>
      </c>
      <c r="AV417" s="86">
        <v>43160</v>
      </c>
      <c r="AW417" s="86">
        <v>43160</v>
      </c>
    </row>
    <row r="418" spans="1:49" x14ac:dyDescent="0.2">
      <c r="A418" s="85" t="s">
        <v>1906</v>
      </c>
      <c r="B418" s="85" t="s">
        <v>1907</v>
      </c>
      <c r="C418" s="85" t="s">
        <v>1908</v>
      </c>
      <c r="D418" s="85" t="s">
        <v>157</v>
      </c>
      <c r="E418" s="85" t="s">
        <v>149</v>
      </c>
      <c r="F418" s="85" t="s">
        <v>100</v>
      </c>
      <c r="G418" s="85" t="s">
        <v>4</v>
      </c>
      <c r="H418" s="85" t="s">
        <v>8</v>
      </c>
      <c r="I418" s="85" t="s">
        <v>59</v>
      </c>
      <c r="J418" s="85" t="s">
        <v>59</v>
      </c>
      <c r="K418" s="85" t="s">
        <v>59</v>
      </c>
      <c r="L418" s="85" t="s">
        <v>59</v>
      </c>
      <c r="M418" s="85" t="s">
        <v>59</v>
      </c>
      <c r="N418" s="85" t="s">
        <v>59</v>
      </c>
      <c r="O418" s="85" t="s">
        <v>59</v>
      </c>
      <c r="P418" s="85" t="s">
        <v>59</v>
      </c>
      <c r="Q418" s="86">
        <v>43532</v>
      </c>
      <c r="R418" s="85" t="s">
        <v>1652</v>
      </c>
      <c r="S418" s="85" t="s">
        <v>59</v>
      </c>
      <c r="T418" s="85" t="s">
        <v>59</v>
      </c>
      <c r="U418" s="85" t="s">
        <v>107</v>
      </c>
      <c r="V418" s="85" t="s">
        <v>107</v>
      </c>
      <c r="W418" s="85" t="s">
        <v>107</v>
      </c>
      <c r="X418" s="85" t="s">
        <v>107</v>
      </c>
      <c r="Y418" s="85" t="s">
        <v>107</v>
      </c>
      <c r="Z418" s="85" t="s">
        <v>107</v>
      </c>
      <c r="AA418" s="85" t="s">
        <v>107</v>
      </c>
      <c r="AB418" s="85" t="s">
        <v>107</v>
      </c>
      <c r="AC418" s="85" t="s">
        <v>107</v>
      </c>
      <c r="AD418" s="85" t="s">
        <v>107</v>
      </c>
      <c r="AE418" s="85" t="s">
        <v>107</v>
      </c>
      <c r="AF418" s="85" t="s">
        <v>107</v>
      </c>
      <c r="AG418" s="86">
        <v>43174</v>
      </c>
      <c r="AH418" s="85" t="s">
        <v>107</v>
      </c>
      <c r="AI418" s="85" t="s">
        <v>107</v>
      </c>
      <c r="AJ418" s="85" t="s">
        <v>107</v>
      </c>
      <c r="AK418" s="85" t="s">
        <v>59</v>
      </c>
      <c r="AL418" s="85" t="s">
        <v>107</v>
      </c>
      <c r="AM418" s="85" t="s">
        <v>107</v>
      </c>
      <c r="AN418" s="86">
        <v>43487</v>
      </c>
      <c r="AO418" s="86">
        <v>43487</v>
      </c>
      <c r="AP418" s="86">
        <v>43487</v>
      </c>
      <c r="AQ418" s="86">
        <v>43487</v>
      </c>
      <c r="AR418" s="86">
        <v>43487</v>
      </c>
      <c r="AS418" s="86">
        <v>43487</v>
      </c>
      <c r="AT418" s="86">
        <v>43487</v>
      </c>
      <c r="AU418" s="86">
        <v>43487</v>
      </c>
      <c r="AV418" s="86">
        <v>43487</v>
      </c>
      <c r="AW418" s="86">
        <v>43487</v>
      </c>
    </row>
    <row r="419" spans="1:49" x14ac:dyDescent="0.2">
      <c r="A419" s="85" t="s">
        <v>1849</v>
      </c>
      <c r="B419" s="85" t="s">
        <v>1850</v>
      </c>
      <c r="C419" s="85" t="s">
        <v>1851</v>
      </c>
      <c r="D419" s="85" t="s">
        <v>1852</v>
      </c>
      <c r="E419" s="85" t="s">
        <v>163</v>
      </c>
      <c r="F419" s="85" t="s">
        <v>106</v>
      </c>
      <c r="G419" s="85" t="s">
        <v>4</v>
      </c>
      <c r="H419" s="85" t="s">
        <v>7</v>
      </c>
      <c r="I419" s="85" t="s">
        <v>107</v>
      </c>
      <c r="J419" s="85" t="s">
        <v>59</v>
      </c>
      <c r="K419" s="85" t="s">
        <v>59</v>
      </c>
      <c r="L419" s="85" t="s">
        <v>107</v>
      </c>
      <c r="M419" s="85" t="s">
        <v>107</v>
      </c>
      <c r="N419" s="85" t="s">
        <v>107</v>
      </c>
      <c r="O419" s="85" t="s">
        <v>107</v>
      </c>
      <c r="P419" s="85" t="s">
        <v>107</v>
      </c>
      <c r="Q419" s="85" t="s">
        <v>59</v>
      </c>
      <c r="R419" s="85" t="s">
        <v>107</v>
      </c>
      <c r="S419" s="85" t="s">
        <v>107</v>
      </c>
      <c r="T419" s="85" t="s">
        <v>107</v>
      </c>
      <c r="U419" s="85" t="s">
        <v>107</v>
      </c>
      <c r="V419" s="85" t="s">
        <v>107</v>
      </c>
      <c r="W419" s="85" t="s">
        <v>107</v>
      </c>
      <c r="X419" s="85" t="s">
        <v>107</v>
      </c>
      <c r="Y419" s="85" t="s">
        <v>107</v>
      </c>
      <c r="Z419" s="85" t="s">
        <v>107</v>
      </c>
      <c r="AA419" s="85" t="s">
        <v>107</v>
      </c>
      <c r="AB419" s="85" t="s">
        <v>107</v>
      </c>
      <c r="AC419" s="85" t="s">
        <v>107</v>
      </c>
      <c r="AD419" s="85" t="s">
        <v>107</v>
      </c>
      <c r="AE419" s="85" t="s">
        <v>107</v>
      </c>
      <c r="AF419" s="85" t="s">
        <v>107</v>
      </c>
      <c r="AG419" s="86">
        <v>43476</v>
      </c>
      <c r="AH419" s="85" t="s">
        <v>107</v>
      </c>
      <c r="AI419" s="85" t="s">
        <v>107</v>
      </c>
      <c r="AJ419" s="85" t="s">
        <v>107</v>
      </c>
      <c r="AK419" s="85" t="s">
        <v>107</v>
      </c>
      <c r="AL419" s="85" t="s">
        <v>107</v>
      </c>
      <c r="AM419" s="85" t="s">
        <v>107</v>
      </c>
      <c r="AN419" s="86">
        <v>43472</v>
      </c>
      <c r="AO419" s="86">
        <v>43472</v>
      </c>
      <c r="AP419" s="86">
        <v>43472</v>
      </c>
      <c r="AQ419" s="86">
        <v>43472</v>
      </c>
      <c r="AR419" s="86">
        <v>43472</v>
      </c>
      <c r="AS419" s="86">
        <v>43472</v>
      </c>
      <c r="AT419" s="86">
        <v>43472</v>
      </c>
      <c r="AU419" s="85" t="s">
        <v>107</v>
      </c>
      <c r="AV419" s="86">
        <v>43472</v>
      </c>
      <c r="AW419" s="86">
        <v>43472</v>
      </c>
    </row>
    <row r="420" spans="1:49" x14ac:dyDescent="0.2">
      <c r="A420" s="85" t="s">
        <v>1285</v>
      </c>
      <c r="B420" s="85" t="s">
        <v>1286</v>
      </c>
      <c r="C420" s="85" t="s">
        <v>1287</v>
      </c>
      <c r="D420" s="85" t="s">
        <v>188</v>
      </c>
      <c r="E420" s="85" t="s">
        <v>141</v>
      </c>
      <c r="F420" s="85" t="s">
        <v>113</v>
      </c>
      <c r="G420" s="85" t="s">
        <v>4</v>
      </c>
      <c r="H420" s="85" t="s">
        <v>8</v>
      </c>
      <c r="I420" s="86">
        <v>43461</v>
      </c>
      <c r="J420" s="86">
        <v>43494</v>
      </c>
      <c r="K420" s="86">
        <v>43510</v>
      </c>
      <c r="L420" s="85" t="s">
        <v>99</v>
      </c>
      <c r="M420" s="86">
        <v>43146</v>
      </c>
      <c r="N420" s="85" t="s">
        <v>107</v>
      </c>
      <c r="O420" s="86">
        <v>43145</v>
      </c>
      <c r="P420" s="86">
        <v>43172</v>
      </c>
      <c r="Q420" s="86">
        <v>43872</v>
      </c>
      <c r="R420" s="85" t="s">
        <v>1652</v>
      </c>
      <c r="S420" s="86">
        <v>43586</v>
      </c>
      <c r="T420" s="85" t="s">
        <v>1652</v>
      </c>
      <c r="U420" s="86">
        <v>43334</v>
      </c>
      <c r="V420" s="86">
        <v>43524</v>
      </c>
      <c r="W420" s="85" t="s">
        <v>1657</v>
      </c>
      <c r="X420" s="85" t="s">
        <v>114</v>
      </c>
      <c r="Y420" s="85">
        <v>2</v>
      </c>
      <c r="Z420" s="85" t="s">
        <v>114</v>
      </c>
      <c r="AA420" s="85" t="s">
        <v>1659</v>
      </c>
      <c r="AB420" s="85" t="s">
        <v>114</v>
      </c>
      <c r="AC420" s="85" t="s">
        <v>114</v>
      </c>
      <c r="AD420" s="85" t="s">
        <v>114</v>
      </c>
      <c r="AE420" s="85"/>
      <c r="AF420" s="85"/>
      <c r="AG420" s="86">
        <v>43297</v>
      </c>
      <c r="AH420" s="85" t="s">
        <v>107</v>
      </c>
      <c r="AI420" s="86">
        <v>42552</v>
      </c>
      <c r="AJ420" s="86">
        <v>43177</v>
      </c>
      <c r="AK420" s="86">
        <v>43145</v>
      </c>
      <c r="AL420" s="85" t="s">
        <v>107</v>
      </c>
      <c r="AM420" s="85" t="s">
        <v>107</v>
      </c>
      <c r="AN420" s="86">
        <v>43405</v>
      </c>
      <c r="AO420" s="86">
        <v>43209</v>
      </c>
      <c r="AP420" s="86">
        <v>43046</v>
      </c>
      <c r="AQ420" s="86">
        <v>42593</v>
      </c>
      <c r="AR420" s="86">
        <v>43297</v>
      </c>
      <c r="AS420" s="86">
        <v>43297</v>
      </c>
      <c r="AT420" s="86">
        <v>43297</v>
      </c>
      <c r="AU420" s="86">
        <v>43297</v>
      </c>
      <c r="AV420" s="86">
        <v>43297</v>
      </c>
      <c r="AW420" s="86">
        <v>43297</v>
      </c>
    </row>
    <row r="421" spans="1:49" x14ac:dyDescent="0.2">
      <c r="A421" s="85" t="s">
        <v>1288</v>
      </c>
      <c r="B421" s="85" t="s">
        <v>1289</v>
      </c>
      <c r="C421" s="85" t="s">
        <v>1290</v>
      </c>
      <c r="D421" s="85" t="s">
        <v>194</v>
      </c>
      <c r="E421" s="85" t="s">
        <v>149</v>
      </c>
      <c r="F421" s="85" t="s">
        <v>144</v>
      </c>
      <c r="G421" s="85" t="s">
        <v>4</v>
      </c>
      <c r="H421" s="85" t="s">
        <v>5</v>
      </c>
      <c r="I421" s="86">
        <v>43173</v>
      </c>
      <c r="J421" s="86">
        <v>43488</v>
      </c>
      <c r="K421" s="86">
        <v>43445</v>
      </c>
      <c r="L421" s="85" t="s">
        <v>99</v>
      </c>
      <c r="M421" s="86">
        <v>42316</v>
      </c>
      <c r="N421" s="85" t="s">
        <v>107</v>
      </c>
      <c r="O421" s="86">
        <v>42622</v>
      </c>
      <c r="P421" s="86">
        <v>43249</v>
      </c>
      <c r="Q421" s="86">
        <v>42987</v>
      </c>
      <c r="R421" s="85" t="s">
        <v>1652</v>
      </c>
      <c r="S421" s="86">
        <v>44166</v>
      </c>
      <c r="T421" s="85" t="s">
        <v>1652</v>
      </c>
      <c r="U421" s="86">
        <v>43370</v>
      </c>
      <c r="V421" s="86">
        <v>43555</v>
      </c>
      <c r="W421" s="85" t="s">
        <v>1655</v>
      </c>
      <c r="X421" s="85" t="s">
        <v>114</v>
      </c>
      <c r="Y421" s="85">
        <v>1</v>
      </c>
      <c r="Z421" s="85" t="s">
        <v>114</v>
      </c>
      <c r="AA421" s="85" t="s">
        <v>1663</v>
      </c>
      <c r="AB421" s="85" t="s">
        <v>114</v>
      </c>
      <c r="AC421" s="85" t="s">
        <v>114</v>
      </c>
      <c r="AD421" s="85" t="s">
        <v>114</v>
      </c>
      <c r="AE421" s="85"/>
      <c r="AF421" s="85"/>
      <c r="AG421" s="85" t="s">
        <v>59</v>
      </c>
      <c r="AH421" s="85" t="s">
        <v>107</v>
      </c>
      <c r="AI421" s="85"/>
      <c r="AJ421" s="85"/>
      <c r="AK421" s="86">
        <v>41563</v>
      </c>
      <c r="AL421" s="86">
        <v>43027</v>
      </c>
      <c r="AM421" s="86">
        <v>43027</v>
      </c>
      <c r="AN421" s="85"/>
      <c r="AO421" s="85"/>
      <c r="AP421" s="85"/>
      <c r="AQ421" s="85"/>
      <c r="AR421" s="85"/>
      <c r="AS421" s="85"/>
      <c r="AT421" s="85"/>
      <c r="AU421" s="85"/>
      <c r="AV421" s="85"/>
      <c r="AW421" s="85"/>
    </row>
    <row r="422" spans="1:49" x14ac:dyDescent="0.2">
      <c r="A422" s="85" t="s">
        <v>1291</v>
      </c>
      <c r="B422" s="85" t="s">
        <v>1292</v>
      </c>
      <c r="C422" s="85" t="s">
        <v>1293</v>
      </c>
      <c r="D422" s="85" t="s">
        <v>399</v>
      </c>
      <c r="E422" s="85" t="s">
        <v>149</v>
      </c>
      <c r="F422" s="85" t="s">
        <v>100</v>
      </c>
      <c r="G422" s="85" t="s">
        <v>4</v>
      </c>
      <c r="H422" s="85" t="s">
        <v>12</v>
      </c>
      <c r="I422" s="86">
        <v>43456</v>
      </c>
      <c r="J422" s="86">
        <v>43508</v>
      </c>
      <c r="K422" s="86">
        <v>43272</v>
      </c>
      <c r="L422" s="85" t="s">
        <v>99</v>
      </c>
      <c r="M422" s="86">
        <v>43295</v>
      </c>
      <c r="N422" s="86">
        <v>43295</v>
      </c>
      <c r="O422" s="86">
        <v>43167</v>
      </c>
      <c r="P422" s="86">
        <v>43305</v>
      </c>
      <c r="Q422" s="86">
        <v>43532</v>
      </c>
      <c r="R422" s="85" t="s">
        <v>1652</v>
      </c>
      <c r="S422" s="86">
        <v>45047</v>
      </c>
      <c r="T422" s="85" t="s">
        <v>1652</v>
      </c>
      <c r="U422" s="85" t="s">
        <v>107</v>
      </c>
      <c r="V422" s="85" t="s">
        <v>107</v>
      </c>
      <c r="W422" s="85" t="s">
        <v>107</v>
      </c>
      <c r="X422" s="85" t="s">
        <v>107</v>
      </c>
      <c r="Y422" s="85" t="s">
        <v>107</v>
      </c>
      <c r="Z422" s="85" t="s">
        <v>107</v>
      </c>
      <c r="AA422" s="85" t="s">
        <v>107</v>
      </c>
      <c r="AB422" s="85" t="s">
        <v>107</v>
      </c>
      <c r="AC422" s="85" t="s">
        <v>107</v>
      </c>
      <c r="AD422" s="85" t="s">
        <v>107</v>
      </c>
      <c r="AE422" s="85" t="s">
        <v>107</v>
      </c>
      <c r="AF422" s="85" t="s">
        <v>107</v>
      </c>
      <c r="AG422" s="86">
        <v>43508</v>
      </c>
      <c r="AH422" s="85" t="s">
        <v>107</v>
      </c>
      <c r="AI422" s="85" t="s">
        <v>107</v>
      </c>
      <c r="AJ422" s="85" t="s">
        <v>107</v>
      </c>
      <c r="AK422" s="86">
        <v>43167</v>
      </c>
      <c r="AL422" s="85" t="s">
        <v>107</v>
      </c>
      <c r="AM422" s="85" t="s">
        <v>107</v>
      </c>
      <c r="AN422" s="86">
        <v>43480</v>
      </c>
      <c r="AO422" s="86">
        <v>43207</v>
      </c>
      <c r="AP422" s="86">
        <v>43480</v>
      </c>
      <c r="AQ422" s="86">
        <v>42247</v>
      </c>
      <c r="AR422" s="86">
        <v>43480</v>
      </c>
      <c r="AS422" s="86">
        <v>43480</v>
      </c>
      <c r="AT422" s="86">
        <v>43480</v>
      </c>
      <c r="AU422" s="86">
        <v>43480</v>
      </c>
      <c r="AV422" s="86">
        <v>43480</v>
      </c>
      <c r="AW422" s="86">
        <v>43480</v>
      </c>
    </row>
    <row r="423" spans="1:49" x14ac:dyDescent="0.2">
      <c r="A423" s="85" t="s">
        <v>1583</v>
      </c>
      <c r="B423" s="85" t="s">
        <v>1584</v>
      </c>
      <c r="C423" s="85" t="s">
        <v>1296</v>
      </c>
      <c r="D423" s="85" t="s">
        <v>697</v>
      </c>
      <c r="E423" s="85" t="s">
        <v>112</v>
      </c>
      <c r="F423" s="85" t="s">
        <v>113</v>
      </c>
      <c r="G423" s="85" t="s">
        <v>4</v>
      </c>
      <c r="H423" s="85" t="s">
        <v>13</v>
      </c>
      <c r="I423" s="86">
        <v>43451</v>
      </c>
      <c r="J423" s="86">
        <v>43399</v>
      </c>
      <c r="K423" s="86">
        <v>43172</v>
      </c>
      <c r="L423" s="85" t="s">
        <v>99</v>
      </c>
      <c r="M423" s="86">
        <v>43313</v>
      </c>
      <c r="N423" s="85" t="s">
        <v>107</v>
      </c>
      <c r="O423" s="86">
        <v>42304</v>
      </c>
      <c r="P423" s="86">
        <v>43213</v>
      </c>
      <c r="Q423" s="86">
        <v>43392</v>
      </c>
      <c r="R423" s="85" t="s">
        <v>1652</v>
      </c>
      <c r="S423" s="86">
        <v>43862</v>
      </c>
      <c r="T423" s="85" t="s">
        <v>1652</v>
      </c>
      <c r="U423" s="86">
        <v>43333</v>
      </c>
      <c r="V423" s="86">
        <v>43524</v>
      </c>
      <c r="W423" s="85" t="s">
        <v>1655</v>
      </c>
      <c r="X423" s="85" t="s">
        <v>114</v>
      </c>
      <c r="Y423" s="85">
        <v>2</v>
      </c>
      <c r="Z423" s="85" t="s">
        <v>114</v>
      </c>
      <c r="AA423" s="85"/>
      <c r="AB423" s="85" t="s">
        <v>114</v>
      </c>
      <c r="AC423" s="85" t="s">
        <v>114</v>
      </c>
      <c r="AD423" s="85" t="s">
        <v>114</v>
      </c>
      <c r="AE423" s="85"/>
      <c r="AF423" s="85"/>
      <c r="AG423" s="86">
        <v>43446</v>
      </c>
      <c r="AH423" s="85" t="s">
        <v>107</v>
      </c>
      <c r="AI423" s="86">
        <v>42248</v>
      </c>
      <c r="AJ423" s="86">
        <v>43177</v>
      </c>
      <c r="AK423" s="86">
        <v>42304</v>
      </c>
      <c r="AL423" s="85" t="s">
        <v>107</v>
      </c>
      <c r="AM423" s="85" t="s">
        <v>107</v>
      </c>
      <c r="AN423" s="86">
        <v>43507</v>
      </c>
      <c r="AO423" s="86">
        <v>43209</v>
      </c>
      <c r="AP423" s="86">
        <v>43507</v>
      </c>
      <c r="AQ423" s="86">
        <v>42307</v>
      </c>
      <c r="AR423" s="86">
        <v>43507</v>
      </c>
      <c r="AS423" s="86">
        <v>43507</v>
      </c>
      <c r="AT423" s="86">
        <v>43507</v>
      </c>
      <c r="AU423" s="86">
        <v>43507</v>
      </c>
      <c r="AV423" s="86">
        <v>43507</v>
      </c>
      <c r="AW423" s="86">
        <v>43507</v>
      </c>
    </row>
    <row r="424" spans="1:49" x14ac:dyDescent="0.2">
      <c r="A424" s="85" t="s">
        <v>1909</v>
      </c>
      <c r="B424" s="85" t="s">
        <v>1910</v>
      </c>
      <c r="C424" s="85" t="s">
        <v>1296</v>
      </c>
      <c r="D424" s="85" t="s">
        <v>589</v>
      </c>
      <c r="E424" s="85" t="s">
        <v>126</v>
      </c>
      <c r="F424" s="85" t="s">
        <v>1911</v>
      </c>
      <c r="G424" s="85" t="s">
        <v>4</v>
      </c>
      <c r="H424" s="85" t="s">
        <v>7</v>
      </c>
      <c r="I424" s="85" t="s">
        <v>59</v>
      </c>
      <c r="J424" s="85" t="s">
        <v>59</v>
      </c>
      <c r="K424" s="85" t="s">
        <v>59</v>
      </c>
      <c r="L424" s="85" t="s">
        <v>59</v>
      </c>
      <c r="M424" s="85" t="s">
        <v>59</v>
      </c>
      <c r="N424" s="85" t="s">
        <v>107</v>
      </c>
      <c r="O424" s="85" t="s">
        <v>59</v>
      </c>
      <c r="P424" s="85" t="s">
        <v>59</v>
      </c>
      <c r="Q424" s="85" t="s">
        <v>59</v>
      </c>
      <c r="R424" s="85" t="s">
        <v>1658</v>
      </c>
      <c r="S424" s="85" t="s">
        <v>59</v>
      </c>
      <c r="T424" s="85" t="s">
        <v>59</v>
      </c>
      <c r="U424" s="85" t="s">
        <v>59</v>
      </c>
      <c r="V424" s="85" t="s">
        <v>59</v>
      </c>
      <c r="W424" s="85" t="s">
        <v>59</v>
      </c>
      <c r="X424" s="85" t="s">
        <v>59</v>
      </c>
      <c r="Y424" s="85" t="s">
        <v>59</v>
      </c>
      <c r="Z424" s="85" t="s">
        <v>59</v>
      </c>
      <c r="AA424" s="85" t="s">
        <v>59</v>
      </c>
      <c r="AB424" s="85" t="s">
        <v>59</v>
      </c>
      <c r="AC424" s="85" t="s">
        <v>59</v>
      </c>
      <c r="AD424" s="85" t="s">
        <v>59</v>
      </c>
      <c r="AE424" s="85" t="s">
        <v>59</v>
      </c>
      <c r="AF424" s="85" t="s">
        <v>59</v>
      </c>
      <c r="AG424" s="85" t="s">
        <v>59</v>
      </c>
      <c r="AH424" s="85" t="s">
        <v>107</v>
      </c>
      <c r="AI424" s="85" t="s">
        <v>59</v>
      </c>
      <c r="AJ424" s="85" t="s">
        <v>59</v>
      </c>
      <c r="AK424" s="85" t="s">
        <v>59</v>
      </c>
      <c r="AL424" s="85" t="s">
        <v>107</v>
      </c>
      <c r="AM424" s="85" t="s">
        <v>107</v>
      </c>
      <c r="AN424" s="85" t="s">
        <v>59</v>
      </c>
      <c r="AO424" s="85" t="s">
        <v>59</v>
      </c>
      <c r="AP424" s="85" t="s">
        <v>59</v>
      </c>
      <c r="AQ424" s="85" t="s">
        <v>59</v>
      </c>
      <c r="AR424" s="85" t="s">
        <v>59</v>
      </c>
      <c r="AS424" s="85" t="s">
        <v>59</v>
      </c>
      <c r="AT424" s="85" t="s">
        <v>59</v>
      </c>
      <c r="AU424" s="85" t="s">
        <v>59</v>
      </c>
      <c r="AV424" s="85" t="s">
        <v>59</v>
      </c>
      <c r="AW424" s="85" t="s">
        <v>59</v>
      </c>
    </row>
    <row r="425" spans="1:49" x14ac:dyDescent="0.2">
      <c r="A425" s="85" t="s">
        <v>1294</v>
      </c>
      <c r="B425" s="85" t="s">
        <v>1295</v>
      </c>
      <c r="C425" s="85" t="s">
        <v>1296</v>
      </c>
      <c r="D425" s="85" t="s">
        <v>1297</v>
      </c>
      <c r="E425" s="85" t="s">
        <v>126</v>
      </c>
      <c r="F425" s="85" t="s">
        <v>127</v>
      </c>
      <c r="G425" s="85" t="s">
        <v>4</v>
      </c>
      <c r="H425" s="85" t="s">
        <v>5</v>
      </c>
      <c r="I425" s="86">
        <v>43492</v>
      </c>
      <c r="J425" s="86">
        <v>43487</v>
      </c>
      <c r="K425" s="86">
        <v>43510</v>
      </c>
      <c r="L425" s="85" t="s">
        <v>99</v>
      </c>
      <c r="M425" s="86">
        <v>43136</v>
      </c>
      <c r="N425" s="85" t="s">
        <v>107</v>
      </c>
      <c r="O425" s="86">
        <v>43137</v>
      </c>
      <c r="P425" s="86">
        <v>43361</v>
      </c>
      <c r="Q425" s="86">
        <v>43872</v>
      </c>
      <c r="R425" s="85" t="s">
        <v>1652</v>
      </c>
      <c r="S425" s="86">
        <v>43800</v>
      </c>
      <c r="T425" s="85" t="s">
        <v>1652</v>
      </c>
      <c r="U425" s="86">
        <v>43496</v>
      </c>
      <c r="V425" s="86">
        <v>43677</v>
      </c>
      <c r="W425" s="85" t="s">
        <v>1657</v>
      </c>
      <c r="X425" s="85" t="s">
        <v>114</v>
      </c>
      <c r="Y425" s="85">
        <v>1</v>
      </c>
      <c r="Z425" s="85" t="s">
        <v>114</v>
      </c>
      <c r="AA425" s="85"/>
      <c r="AB425" s="85" t="s">
        <v>114</v>
      </c>
      <c r="AC425" s="85" t="s">
        <v>114</v>
      </c>
      <c r="AD425" s="85" t="s">
        <v>114</v>
      </c>
      <c r="AE425" s="85"/>
      <c r="AF425" s="85"/>
      <c r="AG425" s="86">
        <v>43508</v>
      </c>
      <c r="AH425" s="85" t="s">
        <v>107</v>
      </c>
      <c r="AI425" s="85"/>
      <c r="AJ425" s="85"/>
      <c r="AK425" s="85"/>
      <c r="AL425" s="85"/>
      <c r="AM425" s="85"/>
      <c r="AN425" s="86">
        <v>43467</v>
      </c>
      <c r="AO425" s="86">
        <v>43467</v>
      </c>
      <c r="AP425" s="86">
        <v>43467</v>
      </c>
      <c r="AQ425" s="86">
        <v>43467</v>
      </c>
      <c r="AR425" s="86">
        <v>43467</v>
      </c>
      <c r="AS425" s="86">
        <v>43467</v>
      </c>
      <c r="AT425" s="86">
        <v>43467</v>
      </c>
      <c r="AU425" s="86">
        <v>43467</v>
      </c>
      <c r="AV425" s="86">
        <v>43467</v>
      </c>
      <c r="AW425" s="86">
        <v>43467</v>
      </c>
    </row>
    <row r="426" spans="1:49" x14ac:dyDescent="0.2">
      <c r="A426" s="85" t="s">
        <v>1298</v>
      </c>
      <c r="B426" s="85" t="s">
        <v>1299</v>
      </c>
      <c r="C426" s="85" t="s">
        <v>1296</v>
      </c>
      <c r="D426" s="85" t="s">
        <v>1300</v>
      </c>
      <c r="E426" s="85" t="s">
        <v>158</v>
      </c>
      <c r="F426" s="85" t="s">
        <v>113</v>
      </c>
      <c r="G426" s="85" t="s">
        <v>4</v>
      </c>
      <c r="H426" s="85" t="s">
        <v>6</v>
      </c>
      <c r="I426" s="86">
        <v>43166</v>
      </c>
      <c r="J426" s="86">
        <v>43402</v>
      </c>
      <c r="K426" s="86">
        <v>42963</v>
      </c>
      <c r="L426" s="85" t="s">
        <v>99</v>
      </c>
      <c r="M426" s="86">
        <v>43272</v>
      </c>
      <c r="N426" s="85" t="s">
        <v>107</v>
      </c>
      <c r="O426" s="86">
        <v>43272</v>
      </c>
      <c r="P426" s="86">
        <v>43333</v>
      </c>
      <c r="Q426" s="86">
        <v>42965</v>
      </c>
      <c r="R426" s="85" t="s">
        <v>1652</v>
      </c>
      <c r="S426" s="86">
        <v>43983</v>
      </c>
      <c r="T426" s="85" t="s">
        <v>1652</v>
      </c>
      <c r="U426" s="86">
        <v>43326</v>
      </c>
      <c r="V426" s="86">
        <v>43524</v>
      </c>
      <c r="W426" s="85" t="s">
        <v>1655</v>
      </c>
      <c r="X426" s="85" t="s">
        <v>114</v>
      </c>
      <c r="Y426" s="85">
        <v>2</v>
      </c>
      <c r="Z426" s="85" t="s">
        <v>114</v>
      </c>
      <c r="AA426" s="85"/>
      <c r="AB426" s="85" t="s">
        <v>114</v>
      </c>
      <c r="AC426" s="85" t="s">
        <v>114</v>
      </c>
      <c r="AD426" s="85" t="s">
        <v>114</v>
      </c>
      <c r="AE426" s="85"/>
      <c r="AF426" s="85"/>
      <c r="AG426" s="86">
        <v>43194</v>
      </c>
      <c r="AH426" s="85" t="s">
        <v>107</v>
      </c>
      <c r="AI426" s="86">
        <v>43178</v>
      </c>
      <c r="AJ426" s="86">
        <v>43178</v>
      </c>
      <c r="AK426" s="86">
        <v>42264</v>
      </c>
      <c r="AL426" s="85" t="s">
        <v>107</v>
      </c>
      <c r="AM426" s="85" t="s">
        <v>107</v>
      </c>
      <c r="AN426" s="85"/>
      <c r="AO426" s="86">
        <v>43280</v>
      </c>
      <c r="AP426" s="86">
        <v>43280</v>
      </c>
      <c r="AQ426" s="86">
        <v>43280</v>
      </c>
      <c r="AR426" s="86">
        <v>43280</v>
      </c>
      <c r="AS426" s="86">
        <v>43280</v>
      </c>
      <c r="AT426" s="86">
        <v>43280</v>
      </c>
      <c r="AU426" s="86">
        <v>43280</v>
      </c>
      <c r="AV426" s="86">
        <v>43280</v>
      </c>
      <c r="AW426" s="86">
        <v>43280</v>
      </c>
    </row>
    <row r="427" spans="1:49" x14ac:dyDescent="0.2">
      <c r="A427" s="85" t="s">
        <v>1301</v>
      </c>
      <c r="B427" s="85" t="s">
        <v>1302</v>
      </c>
      <c r="C427" s="85" t="s">
        <v>1303</v>
      </c>
      <c r="D427" s="85" t="s">
        <v>882</v>
      </c>
      <c r="E427" s="85" t="s">
        <v>114</v>
      </c>
      <c r="F427" s="85" t="s">
        <v>106</v>
      </c>
      <c r="G427" s="85" t="s">
        <v>4</v>
      </c>
      <c r="H427" s="85" t="s">
        <v>8</v>
      </c>
      <c r="I427" s="85" t="s">
        <v>107</v>
      </c>
      <c r="J427" s="86">
        <v>43376</v>
      </c>
      <c r="K427" s="86">
        <v>43275</v>
      </c>
      <c r="L427" s="85" t="s">
        <v>107</v>
      </c>
      <c r="M427" s="85" t="s">
        <v>107</v>
      </c>
      <c r="N427" s="85" t="s">
        <v>107</v>
      </c>
      <c r="O427" s="85" t="s">
        <v>107</v>
      </c>
      <c r="P427" s="85" t="s">
        <v>107</v>
      </c>
      <c r="Q427" s="86">
        <v>43490</v>
      </c>
      <c r="R427" s="85" t="s">
        <v>107</v>
      </c>
      <c r="S427" s="85" t="s">
        <v>107</v>
      </c>
      <c r="T427" s="85" t="s">
        <v>107</v>
      </c>
      <c r="U427" s="85" t="s">
        <v>107</v>
      </c>
      <c r="V427" s="85" t="s">
        <v>107</v>
      </c>
      <c r="W427" s="85" t="s">
        <v>107</v>
      </c>
      <c r="X427" s="85" t="s">
        <v>107</v>
      </c>
      <c r="Y427" s="85" t="s">
        <v>107</v>
      </c>
      <c r="Z427" s="85" t="s">
        <v>107</v>
      </c>
      <c r="AA427" s="85" t="s">
        <v>107</v>
      </c>
      <c r="AB427" s="85" t="s">
        <v>107</v>
      </c>
      <c r="AC427" s="85" t="s">
        <v>107</v>
      </c>
      <c r="AD427" s="85" t="s">
        <v>107</v>
      </c>
      <c r="AE427" s="85" t="s">
        <v>107</v>
      </c>
      <c r="AF427" s="85" t="s">
        <v>107</v>
      </c>
      <c r="AG427" s="86">
        <v>43472</v>
      </c>
      <c r="AH427" s="85" t="s">
        <v>107</v>
      </c>
      <c r="AI427" s="85" t="s">
        <v>107</v>
      </c>
      <c r="AJ427" s="85" t="s">
        <v>107</v>
      </c>
      <c r="AK427" s="85" t="s">
        <v>107</v>
      </c>
      <c r="AL427" s="85" t="s">
        <v>107</v>
      </c>
      <c r="AM427" s="85" t="s">
        <v>107</v>
      </c>
      <c r="AN427" s="86">
        <v>43502</v>
      </c>
      <c r="AO427" s="86">
        <v>43209</v>
      </c>
      <c r="AP427" s="86">
        <v>43502</v>
      </c>
      <c r="AQ427" s="86">
        <v>42668</v>
      </c>
      <c r="AR427" s="86">
        <v>43502</v>
      </c>
      <c r="AS427" s="86">
        <v>43502</v>
      </c>
      <c r="AT427" s="86">
        <v>43502</v>
      </c>
      <c r="AU427" s="85" t="s">
        <v>107</v>
      </c>
      <c r="AV427" s="86">
        <v>43502</v>
      </c>
      <c r="AW427" s="86">
        <v>43502</v>
      </c>
    </row>
    <row r="428" spans="1:49" x14ac:dyDescent="0.2">
      <c r="A428" s="85" t="s">
        <v>1304</v>
      </c>
      <c r="B428" s="85" t="s">
        <v>1305</v>
      </c>
      <c r="C428" s="85" t="s">
        <v>1306</v>
      </c>
      <c r="D428" s="85" t="s">
        <v>882</v>
      </c>
      <c r="E428" s="85" t="s">
        <v>158</v>
      </c>
      <c r="F428" s="85" t="s">
        <v>106</v>
      </c>
      <c r="G428" s="85" t="s">
        <v>4</v>
      </c>
      <c r="H428" s="85" t="s">
        <v>5</v>
      </c>
      <c r="I428" s="85" t="s">
        <v>107</v>
      </c>
      <c r="J428" s="86">
        <v>43504</v>
      </c>
      <c r="K428" s="86">
        <v>43167</v>
      </c>
      <c r="L428" s="85" t="s">
        <v>107</v>
      </c>
      <c r="M428" s="85" t="s">
        <v>107</v>
      </c>
      <c r="N428" s="85" t="s">
        <v>107</v>
      </c>
      <c r="O428" s="85" t="s">
        <v>107</v>
      </c>
      <c r="P428" s="85" t="s">
        <v>107</v>
      </c>
      <c r="Q428" s="86">
        <v>43532</v>
      </c>
      <c r="R428" s="85" t="s">
        <v>107</v>
      </c>
      <c r="S428" s="85" t="s">
        <v>107</v>
      </c>
      <c r="T428" s="85" t="s">
        <v>107</v>
      </c>
      <c r="U428" s="85" t="s">
        <v>107</v>
      </c>
      <c r="V428" s="85" t="s">
        <v>107</v>
      </c>
      <c r="W428" s="85" t="s">
        <v>107</v>
      </c>
      <c r="X428" s="85" t="s">
        <v>107</v>
      </c>
      <c r="Y428" s="85" t="s">
        <v>107</v>
      </c>
      <c r="Z428" s="85" t="s">
        <v>107</v>
      </c>
      <c r="AA428" s="85" t="s">
        <v>107</v>
      </c>
      <c r="AB428" s="85" t="s">
        <v>107</v>
      </c>
      <c r="AC428" s="85" t="s">
        <v>107</v>
      </c>
      <c r="AD428" s="85" t="s">
        <v>107</v>
      </c>
      <c r="AE428" s="85" t="s">
        <v>107</v>
      </c>
      <c r="AF428" s="85" t="s">
        <v>107</v>
      </c>
      <c r="AG428" s="86">
        <v>43518</v>
      </c>
      <c r="AH428" s="85" t="s">
        <v>107</v>
      </c>
      <c r="AI428" s="85" t="s">
        <v>107</v>
      </c>
      <c r="AJ428" s="85" t="s">
        <v>107</v>
      </c>
      <c r="AK428" s="85" t="s">
        <v>107</v>
      </c>
      <c r="AL428" s="85" t="s">
        <v>107</v>
      </c>
      <c r="AM428" s="85" t="s">
        <v>107</v>
      </c>
      <c r="AN428" s="86">
        <v>43375</v>
      </c>
      <c r="AO428" s="86">
        <v>43209</v>
      </c>
      <c r="AP428" s="86">
        <v>43160</v>
      </c>
      <c r="AQ428" s="86">
        <v>42657</v>
      </c>
      <c r="AR428" s="86">
        <v>43160</v>
      </c>
      <c r="AS428" s="86">
        <v>43067</v>
      </c>
      <c r="AT428" s="86">
        <v>43160</v>
      </c>
      <c r="AU428" s="85" t="s">
        <v>107</v>
      </c>
      <c r="AV428" s="86">
        <v>43160</v>
      </c>
      <c r="AW428" s="86">
        <v>43160</v>
      </c>
    </row>
    <row r="429" spans="1:49" x14ac:dyDescent="0.2">
      <c r="A429" s="85" t="s">
        <v>1307</v>
      </c>
      <c r="B429" s="85" t="s">
        <v>1308</v>
      </c>
      <c r="C429" s="85" t="s">
        <v>1309</v>
      </c>
      <c r="D429" s="85" t="s">
        <v>990</v>
      </c>
      <c r="E429" s="85" t="s">
        <v>158</v>
      </c>
      <c r="F429" s="85" t="s">
        <v>100</v>
      </c>
      <c r="G429" s="85" t="s">
        <v>4</v>
      </c>
      <c r="H429" s="85" t="s">
        <v>11</v>
      </c>
      <c r="I429" s="86">
        <v>43376</v>
      </c>
      <c r="J429" s="86">
        <v>43315</v>
      </c>
      <c r="K429" s="86">
        <v>43377</v>
      </c>
      <c r="L429" s="85" t="s">
        <v>99</v>
      </c>
      <c r="M429" s="86">
        <v>43201</v>
      </c>
      <c r="N429" s="86">
        <v>43201</v>
      </c>
      <c r="O429" s="86">
        <v>43201</v>
      </c>
      <c r="P429" s="86">
        <v>43243</v>
      </c>
      <c r="Q429" s="86">
        <v>43589</v>
      </c>
      <c r="R429" s="85" t="s">
        <v>1652</v>
      </c>
      <c r="S429" s="86">
        <v>44713</v>
      </c>
      <c r="T429" s="85" t="s">
        <v>1652</v>
      </c>
      <c r="U429" s="85" t="s">
        <v>107</v>
      </c>
      <c r="V429" s="85" t="s">
        <v>107</v>
      </c>
      <c r="W429" s="85" t="s">
        <v>107</v>
      </c>
      <c r="X429" s="85" t="s">
        <v>107</v>
      </c>
      <c r="Y429" s="85" t="s">
        <v>107</v>
      </c>
      <c r="Z429" s="85" t="s">
        <v>107</v>
      </c>
      <c r="AA429" s="85" t="s">
        <v>107</v>
      </c>
      <c r="AB429" s="85" t="s">
        <v>107</v>
      </c>
      <c r="AC429" s="85" t="s">
        <v>107</v>
      </c>
      <c r="AD429" s="85" t="s">
        <v>107</v>
      </c>
      <c r="AE429" s="85" t="s">
        <v>107</v>
      </c>
      <c r="AF429" s="85" t="s">
        <v>107</v>
      </c>
      <c r="AG429" s="86">
        <v>43192</v>
      </c>
      <c r="AH429" s="85" t="s">
        <v>107</v>
      </c>
      <c r="AI429" s="85" t="s">
        <v>107</v>
      </c>
      <c r="AJ429" s="85" t="s">
        <v>107</v>
      </c>
      <c r="AK429" s="86">
        <v>43201</v>
      </c>
      <c r="AL429" s="85" t="s">
        <v>107</v>
      </c>
      <c r="AM429" s="85" t="s">
        <v>107</v>
      </c>
      <c r="AN429" s="86">
        <v>43375</v>
      </c>
      <c r="AO429" s="86">
        <v>43207</v>
      </c>
      <c r="AP429" s="86">
        <v>43179</v>
      </c>
      <c r="AQ429" s="86">
        <v>43199</v>
      </c>
      <c r="AR429" s="86">
        <v>43199</v>
      </c>
      <c r="AS429" s="86">
        <v>43199</v>
      </c>
      <c r="AT429" s="86">
        <v>43199</v>
      </c>
      <c r="AU429" s="86">
        <v>43199</v>
      </c>
      <c r="AV429" s="86">
        <v>43199</v>
      </c>
      <c r="AW429" s="86">
        <v>43199</v>
      </c>
    </row>
    <row r="430" spans="1:49" x14ac:dyDescent="0.2">
      <c r="A430" s="85" t="s">
        <v>1759</v>
      </c>
      <c r="B430" s="85" t="s">
        <v>1760</v>
      </c>
      <c r="C430" s="85" t="s">
        <v>1761</v>
      </c>
      <c r="D430" s="85" t="s">
        <v>627</v>
      </c>
      <c r="E430" s="85" t="s">
        <v>105</v>
      </c>
      <c r="F430" s="85" t="s">
        <v>122</v>
      </c>
      <c r="G430" s="85" t="s">
        <v>4</v>
      </c>
      <c r="H430" s="85" t="s">
        <v>5</v>
      </c>
      <c r="I430" s="86">
        <v>43358</v>
      </c>
      <c r="J430" s="86">
        <v>43108</v>
      </c>
      <c r="K430" s="86">
        <v>43346</v>
      </c>
      <c r="L430" s="85"/>
      <c r="M430" s="85"/>
      <c r="N430" s="85" t="s">
        <v>107</v>
      </c>
      <c r="O430" s="85"/>
      <c r="P430" s="86">
        <v>43292</v>
      </c>
      <c r="Q430" s="86">
        <v>365</v>
      </c>
      <c r="R430" s="85" t="s">
        <v>1652</v>
      </c>
      <c r="S430" s="85" t="s">
        <v>59</v>
      </c>
      <c r="T430" s="85" t="s">
        <v>59</v>
      </c>
      <c r="U430" s="86">
        <v>43194</v>
      </c>
      <c r="V430" s="86">
        <v>43585</v>
      </c>
      <c r="W430" s="85" t="s">
        <v>1653</v>
      </c>
      <c r="X430" s="85" t="s">
        <v>114</v>
      </c>
      <c r="Y430" s="85">
        <v>3</v>
      </c>
      <c r="Z430" s="85" t="s">
        <v>211</v>
      </c>
      <c r="AA430" s="85"/>
      <c r="AB430" s="85" t="s">
        <v>119</v>
      </c>
      <c r="AC430" s="85" t="s">
        <v>114</v>
      </c>
      <c r="AD430" s="85" t="s">
        <v>119</v>
      </c>
      <c r="AE430" s="85" t="s">
        <v>1977</v>
      </c>
      <c r="AF430" s="85"/>
      <c r="AG430" s="85" t="s">
        <v>59</v>
      </c>
      <c r="AH430" s="85" t="s">
        <v>2024</v>
      </c>
      <c r="AI430" s="85"/>
      <c r="AJ430" s="85"/>
      <c r="AK430" s="85" t="s">
        <v>59</v>
      </c>
      <c r="AL430" s="85" t="s">
        <v>107</v>
      </c>
      <c r="AM430" s="85" t="s">
        <v>107</v>
      </c>
      <c r="AN430" s="86">
        <v>43412</v>
      </c>
      <c r="AO430" s="86">
        <v>43412</v>
      </c>
      <c r="AP430" s="86">
        <v>43412</v>
      </c>
      <c r="AQ430" s="86">
        <v>43412</v>
      </c>
      <c r="AR430" s="86">
        <v>43412</v>
      </c>
      <c r="AS430" s="86">
        <v>43412</v>
      </c>
      <c r="AT430" s="86">
        <v>43412</v>
      </c>
      <c r="AU430" s="86">
        <v>43412</v>
      </c>
      <c r="AV430" s="86">
        <v>43412</v>
      </c>
      <c r="AW430" s="86">
        <v>43412</v>
      </c>
    </row>
    <row r="431" spans="1:49" x14ac:dyDescent="0.2">
      <c r="A431" s="85" t="s">
        <v>1310</v>
      </c>
      <c r="B431" s="85" t="s">
        <v>1311</v>
      </c>
      <c r="C431" s="85" t="s">
        <v>1312</v>
      </c>
      <c r="D431" s="85" t="s">
        <v>225</v>
      </c>
      <c r="E431" s="85" t="s">
        <v>149</v>
      </c>
      <c r="F431" s="85" t="s">
        <v>144</v>
      </c>
      <c r="G431" s="85" t="s">
        <v>4</v>
      </c>
      <c r="H431" s="85" t="s">
        <v>8</v>
      </c>
      <c r="I431" s="86">
        <v>43456</v>
      </c>
      <c r="J431" s="86">
        <v>43507</v>
      </c>
      <c r="K431" s="86">
        <v>43510</v>
      </c>
      <c r="L431" s="85" t="s">
        <v>99</v>
      </c>
      <c r="M431" s="86">
        <v>43158</v>
      </c>
      <c r="N431" s="85" t="s">
        <v>107</v>
      </c>
      <c r="O431" s="86">
        <v>43167</v>
      </c>
      <c r="P431" s="86">
        <v>43244</v>
      </c>
      <c r="Q431" s="86">
        <v>43532</v>
      </c>
      <c r="R431" s="85" t="s">
        <v>1652</v>
      </c>
      <c r="S431" s="86">
        <v>43647</v>
      </c>
      <c r="T431" s="85" t="s">
        <v>1652</v>
      </c>
      <c r="U431" s="86">
        <v>43462</v>
      </c>
      <c r="V431" s="86">
        <v>43646</v>
      </c>
      <c r="W431" s="85" t="s">
        <v>1657</v>
      </c>
      <c r="X431" s="85" t="s">
        <v>114</v>
      </c>
      <c r="Y431" s="85">
        <v>2</v>
      </c>
      <c r="Z431" s="85" t="s">
        <v>114</v>
      </c>
      <c r="AA431" s="85" t="s">
        <v>1659</v>
      </c>
      <c r="AB431" s="85" t="s">
        <v>114</v>
      </c>
      <c r="AC431" s="85" t="s">
        <v>114</v>
      </c>
      <c r="AD431" s="85" t="s">
        <v>114</v>
      </c>
      <c r="AE431" s="85" t="s">
        <v>1677</v>
      </c>
      <c r="AF431" s="85"/>
      <c r="AG431" s="86">
        <v>43510</v>
      </c>
      <c r="AH431" s="85" t="s">
        <v>107</v>
      </c>
      <c r="AI431" s="86">
        <v>42552</v>
      </c>
      <c r="AJ431" s="86">
        <v>43203</v>
      </c>
      <c r="AK431" s="86">
        <v>43167</v>
      </c>
      <c r="AL431" s="85" t="s">
        <v>107</v>
      </c>
      <c r="AM431" s="85" t="s">
        <v>107</v>
      </c>
      <c r="AN431" s="86">
        <v>43502</v>
      </c>
      <c r="AO431" s="86">
        <v>43209</v>
      </c>
      <c r="AP431" s="86">
        <v>43502</v>
      </c>
      <c r="AQ431" s="86">
        <v>42604</v>
      </c>
      <c r="AR431" s="86">
        <v>43502</v>
      </c>
      <c r="AS431" s="86">
        <v>43502</v>
      </c>
      <c r="AT431" s="86">
        <v>43502</v>
      </c>
      <c r="AU431" s="86">
        <v>43502</v>
      </c>
      <c r="AV431" s="86">
        <v>43502</v>
      </c>
      <c r="AW431" s="86">
        <v>43502</v>
      </c>
    </row>
    <row r="432" spans="1:49" x14ac:dyDescent="0.2">
      <c r="A432" s="85" t="s">
        <v>1313</v>
      </c>
      <c r="B432" s="85" t="s">
        <v>1314</v>
      </c>
      <c r="C432" s="85" t="s">
        <v>1315</v>
      </c>
      <c r="D432" s="85" t="s">
        <v>142</v>
      </c>
      <c r="E432" s="85" t="s">
        <v>105</v>
      </c>
      <c r="F432" s="85" t="s">
        <v>144</v>
      </c>
      <c r="G432" s="85" t="s">
        <v>4</v>
      </c>
      <c r="H432" s="85" t="s">
        <v>1670</v>
      </c>
      <c r="I432" s="86">
        <v>43186</v>
      </c>
      <c r="J432" s="86">
        <v>43185</v>
      </c>
      <c r="K432" s="86">
        <v>43185</v>
      </c>
      <c r="L432" s="85" t="s">
        <v>99</v>
      </c>
      <c r="M432" s="86">
        <v>42962</v>
      </c>
      <c r="N432" s="85" t="s">
        <v>107</v>
      </c>
      <c r="O432" s="86">
        <v>43185</v>
      </c>
      <c r="P432" s="86">
        <v>43269</v>
      </c>
      <c r="Q432" s="86">
        <v>43550</v>
      </c>
      <c r="R432" s="85" t="s">
        <v>1652</v>
      </c>
      <c r="S432" s="86">
        <v>43922</v>
      </c>
      <c r="T432" s="85" t="s">
        <v>1652</v>
      </c>
      <c r="U432" s="86">
        <v>43300</v>
      </c>
      <c r="V432" s="86">
        <v>43677</v>
      </c>
      <c r="W432" s="85" t="s">
        <v>1653</v>
      </c>
      <c r="X432" s="85" t="s">
        <v>114</v>
      </c>
      <c r="Y432" s="85">
        <v>1</v>
      </c>
      <c r="Z432" s="85" t="s">
        <v>114</v>
      </c>
      <c r="AA432" s="85"/>
      <c r="AB432" s="85" t="s">
        <v>114</v>
      </c>
      <c r="AC432" s="85" t="s">
        <v>114</v>
      </c>
      <c r="AD432" s="85" t="s">
        <v>114</v>
      </c>
      <c r="AE432" s="85"/>
      <c r="AF432" s="85"/>
      <c r="AG432" s="86">
        <v>43297</v>
      </c>
      <c r="AH432" s="85" t="s">
        <v>107</v>
      </c>
      <c r="AI432" s="86">
        <v>42522</v>
      </c>
      <c r="AJ432" s="86">
        <v>43388</v>
      </c>
      <c r="AK432" s="86">
        <v>43185</v>
      </c>
      <c r="AL432" s="85" t="s">
        <v>107</v>
      </c>
      <c r="AM432" s="85" t="s">
        <v>107</v>
      </c>
      <c r="AN432" s="86">
        <v>43479</v>
      </c>
      <c r="AO432" s="86">
        <v>43215</v>
      </c>
      <c r="AP432" s="86">
        <v>43200</v>
      </c>
      <c r="AQ432" s="86">
        <v>43200</v>
      </c>
      <c r="AR432" s="86">
        <v>43200</v>
      </c>
      <c r="AS432" s="86">
        <v>43200</v>
      </c>
      <c r="AT432" s="86">
        <v>43200</v>
      </c>
      <c r="AU432" s="86">
        <v>43200</v>
      </c>
      <c r="AV432" s="86">
        <v>43200</v>
      </c>
      <c r="AW432" s="86">
        <v>43200</v>
      </c>
    </row>
    <row r="433" spans="1:49" x14ac:dyDescent="0.2">
      <c r="A433" s="85" t="s">
        <v>1316</v>
      </c>
      <c r="B433" s="85" t="s">
        <v>1317</v>
      </c>
      <c r="C433" s="85" t="s">
        <v>1318</v>
      </c>
      <c r="D433" s="85" t="s">
        <v>967</v>
      </c>
      <c r="E433" s="85" t="s">
        <v>149</v>
      </c>
      <c r="F433" s="85" t="s">
        <v>122</v>
      </c>
      <c r="G433" s="85" t="s">
        <v>4</v>
      </c>
      <c r="H433" s="85" t="s">
        <v>8</v>
      </c>
      <c r="I433" s="86">
        <v>43475</v>
      </c>
      <c r="J433" s="86">
        <v>43167</v>
      </c>
      <c r="K433" s="86">
        <v>43497</v>
      </c>
      <c r="L433" s="85" t="s">
        <v>99</v>
      </c>
      <c r="M433" s="86">
        <v>42326</v>
      </c>
      <c r="N433" s="85" t="s">
        <v>107</v>
      </c>
      <c r="O433" s="86">
        <v>43167</v>
      </c>
      <c r="P433" s="86">
        <v>43172</v>
      </c>
      <c r="Q433" s="86">
        <v>43862</v>
      </c>
      <c r="R433" s="85" t="s">
        <v>1652</v>
      </c>
      <c r="S433" s="86">
        <v>44044</v>
      </c>
      <c r="T433" s="85" t="s">
        <v>1652</v>
      </c>
      <c r="U433" s="86">
        <v>43263</v>
      </c>
      <c r="V433" s="86">
        <v>43646</v>
      </c>
      <c r="W433" s="85" t="s">
        <v>1653</v>
      </c>
      <c r="X433" s="85" t="s">
        <v>114</v>
      </c>
      <c r="Y433" s="85">
        <v>1</v>
      </c>
      <c r="Z433" s="85" t="s">
        <v>114</v>
      </c>
      <c r="AA433" s="85"/>
      <c r="AB433" s="85" t="s">
        <v>211</v>
      </c>
      <c r="AC433" s="85" t="s">
        <v>114</v>
      </c>
      <c r="AD433" s="85" t="s">
        <v>211</v>
      </c>
      <c r="AE433" s="85" t="s">
        <v>1667</v>
      </c>
      <c r="AF433" s="86">
        <v>43573</v>
      </c>
      <c r="AG433" s="86">
        <v>43495</v>
      </c>
      <c r="AH433" s="85" t="s">
        <v>107</v>
      </c>
      <c r="AI433" s="86">
        <v>42309</v>
      </c>
      <c r="AJ433" s="86">
        <v>43177</v>
      </c>
      <c r="AK433" s="86">
        <v>43167</v>
      </c>
      <c r="AL433" s="85" t="s">
        <v>107</v>
      </c>
      <c r="AM433" s="85" t="s">
        <v>107</v>
      </c>
      <c r="AN433" s="86">
        <v>43405</v>
      </c>
      <c r="AO433" s="86">
        <v>43209</v>
      </c>
      <c r="AP433" s="86">
        <v>43339</v>
      </c>
      <c r="AQ433" s="86">
        <v>43339</v>
      </c>
      <c r="AR433" s="86">
        <v>43339</v>
      </c>
      <c r="AS433" s="86">
        <v>43339</v>
      </c>
      <c r="AT433" s="86">
        <v>43339</v>
      </c>
      <c r="AU433" s="86">
        <v>43339</v>
      </c>
      <c r="AV433" s="86">
        <v>43339</v>
      </c>
      <c r="AW433" s="86">
        <v>43339</v>
      </c>
    </row>
    <row r="434" spans="1:49" x14ac:dyDescent="0.2">
      <c r="A434" s="85" t="s">
        <v>1319</v>
      </c>
      <c r="B434" s="85" t="s">
        <v>1320</v>
      </c>
      <c r="C434" s="85" t="s">
        <v>1321</v>
      </c>
      <c r="D434" s="85" t="s">
        <v>463</v>
      </c>
      <c r="E434" s="85" t="s">
        <v>143</v>
      </c>
      <c r="F434" s="85" t="s">
        <v>172</v>
      </c>
      <c r="G434" s="85" t="s">
        <v>4</v>
      </c>
      <c r="H434" s="85" t="s">
        <v>9</v>
      </c>
      <c r="I434" s="86">
        <v>43430</v>
      </c>
      <c r="J434" s="86">
        <v>43418</v>
      </c>
      <c r="K434" s="86">
        <v>43171</v>
      </c>
      <c r="L434" s="85" t="s">
        <v>99</v>
      </c>
      <c r="M434" s="86">
        <v>43326</v>
      </c>
      <c r="N434" s="85" t="s">
        <v>107</v>
      </c>
      <c r="O434" s="86">
        <v>42717</v>
      </c>
      <c r="P434" s="86">
        <v>43377</v>
      </c>
      <c r="Q434" s="86">
        <v>43339</v>
      </c>
      <c r="R434" s="85" t="s">
        <v>1652</v>
      </c>
      <c r="S434" s="86">
        <v>43525</v>
      </c>
      <c r="T434" s="85" t="s">
        <v>1652</v>
      </c>
      <c r="U434" s="86">
        <v>43392</v>
      </c>
      <c r="V434" s="86">
        <v>43769</v>
      </c>
      <c r="W434" s="85" t="s">
        <v>1653</v>
      </c>
      <c r="X434" s="85" t="s">
        <v>114</v>
      </c>
      <c r="Y434" s="85">
        <v>2</v>
      </c>
      <c r="Z434" s="85" t="s">
        <v>114</v>
      </c>
      <c r="AA434" s="85"/>
      <c r="AB434" s="85" t="s">
        <v>114</v>
      </c>
      <c r="AC434" s="85" t="s">
        <v>114</v>
      </c>
      <c r="AD434" s="85" t="s">
        <v>114</v>
      </c>
      <c r="AE434" s="85"/>
      <c r="AF434" s="85"/>
      <c r="AG434" s="86">
        <v>43357</v>
      </c>
      <c r="AH434" s="85" t="s">
        <v>107</v>
      </c>
      <c r="AI434" s="86">
        <v>43430</v>
      </c>
      <c r="AJ434" s="86">
        <v>43430</v>
      </c>
      <c r="AK434" s="86">
        <v>42962</v>
      </c>
      <c r="AL434" s="85" t="s">
        <v>107</v>
      </c>
      <c r="AM434" s="85" t="s">
        <v>107</v>
      </c>
      <c r="AN434" s="86">
        <v>43375</v>
      </c>
      <c r="AO434" s="86">
        <v>43207</v>
      </c>
      <c r="AP434" s="86">
        <v>43273</v>
      </c>
      <c r="AQ434" s="86">
        <v>43273</v>
      </c>
      <c r="AR434" s="86">
        <v>43273</v>
      </c>
      <c r="AS434" s="86">
        <v>43273</v>
      </c>
      <c r="AT434" s="86">
        <v>43273</v>
      </c>
      <c r="AU434" s="86">
        <v>43273</v>
      </c>
      <c r="AV434" s="86">
        <v>43273</v>
      </c>
      <c r="AW434" s="86">
        <v>43273</v>
      </c>
    </row>
    <row r="435" spans="1:49" x14ac:dyDescent="0.2">
      <c r="A435" s="85" t="s">
        <v>1322</v>
      </c>
      <c r="B435" s="85" t="s">
        <v>1323</v>
      </c>
      <c r="C435" s="85" t="s">
        <v>1324</v>
      </c>
      <c r="D435" s="85" t="s">
        <v>195</v>
      </c>
      <c r="E435" s="85" t="s">
        <v>908</v>
      </c>
      <c r="F435" s="85" t="s">
        <v>127</v>
      </c>
      <c r="G435" s="85" t="s">
        <v>4</v>
      </c>
      <c r="H435" s="85" t="s">
        <v>5</v>
      </c>
      <c r="I435" s="86">
        <v>43435</v>
      </c>
      <c r="J435" s="86">
        <v>43217</v>
      </c>
      <c r="K435" s="86">
        <v>43482</v>
      </c>
      <c r="L435" s="85" t="s">
        <v>99</v>
      </c>
      <c r="M435" s="86">
        <v>42695</v>
      </c>
      <c r="N435" s="85" t="s">
        <v>107</v>
      </c>
      <c r="O435" s="86">
        <v>42892</v>
      </c>
      <c r="P435" s="86">
        <v>43220</v>
      </c>
      <c r="Q435" s="86">
        <v>43799</v>
      </c>
      <c r="R435" s="85" t="s">
        <v>1652</v>
      </c>
      <c r="S435" s="86">
        <v>44958</v>
      </c>
      <c r="T435" s="85" t="s">
        <v>1652</v>
      </c>
      <c r="U435" s="86">
        <v>43398</v>
      </c>
      <c r="V435" s="86">
        <v>43585</v>
      </c>
      <c r="W435" s="85" t="s">
        <v>1655</v>
      </c>
      <c r="X435" s="85" t="s">
        <v>114</v>
      </c>
      <c r="Y435" s="85">
        <v>2</v>
      </c>
      <c r="Z435" s="85" t="s">
        <v>114</v>
      </c>
      <c r="AA435" s="85"/>
      <c r="AB435" s="85" t="s">
        <v>114</v>
      </c>
      <c r="AC435" s="85" t="s">
        <v>114</v>
      </c>
      <c r="AD435" s="85" t="s">
        <v>114</v>
      </c>
      <c r="AE435" s="85"/>
      <c r="AF435" s="85"/>
      <c r="AG435" s="86">
        <v>43479</v>
      </c>
      <c r="AH435" s="85" t="s">
        <v>107</v>
      </c>
      <c r="AI435" s="85"/>
      <c r="AJ435" s="86">
        <v>43431</v>
      </c>
      <c r="AK435" s="86">
        <v>42986</v>
      </c>
      <c r="AL435" s="86">
        <v>39868</v>
      </c>
      <c r="AM435" s="86">
        <v>39868</v>
      </c>
      <c r="AN435" s="86">
        <v>43375</v>
      </c>
      <c r="AO435" s="86">
        <v>43280</v>
      </c>
      <c r="AP435" s="86">
        <v>43280</v>
      </c>
      <c r="AQ435" s="86">
        <v>43280</v>
      </c>
      <c r="AR435" s="86">
        <v>43280</v>
      </c>
      <c r="AS435" s="86">
        <v>43280</v>
      </c>
      <c r="AT435" s="86">
        <v>43280</v>
      </c>
      <c r="AU435" s="86">
        <v>43280</v>
      </c>
      <c r="AV435" s="86">
        <v>43280</v>
      </c>
      <c r="AW435" s="86">
        <v>43280</v>
      </c>
    </row>
    <row r="436" spans="1:49" x14ac:dyDescent="0.2">
      <c r="A436" s="85" t="s">
        <v>1325</v>
      </c>
      <c r="B436" s="85" t="s">
        <v>1326</v>
      </c>
      <c r="C436" s="85" t="s">
        <v>1327</v>
      </c>
      <c r="D436" s="85" t="s">
        <v>1328</v>
      </c>
      <c r="E436" s="85" t="s">
        <v>105</v>
      </c>
      <c r="F436" s="85" t="s">
        <v>122</v>
      </c>
      <c r="G436" s="85" t="s">
        <v>4</v>
      </c>
      <c r="H436" s="85" t="s">
        <v>8</v>
      </c>
      <c r="I436" s="86">
        <v>43344</v>
      </c>
      <c r="J436" s="86">
        <v>43192</v>
      </c>
      <c r="K436" s="86">
        <v>43192</v>
      </c>
      <c r="L436" s="85" t="s">
        <v>99</v>
      </c>
      <c r="M436" s="86">
        <v>43185</v>
      </c>
      <c r="N436" s="85" t="s">
        <v>107</v>
      </c>
      <c r="O436" s="86">
        <v>43167</v>
      </c>
      <c r="P436" s="86">
        <v>43186</v>
      </c>
      <c r="Q436" s="86">
        <v>43532</v>
      </c>
      <c r="R436" s="85" t="s">
        <v>1652</v>
      </c>
      <c r="S436" s="86">
        <v>43862</v>
      </c>
      <c r="T436" s="85" t="s">
        <v>1652</v>
      </c>
      <c r="U436" s="86">
        <v>43444</v>
      </c>
      <c r="V436" s="86">
        <v>43646</v>
      </c>
      <c r="W436" s="85" t="s">
        <v>1655</v>
      </c>
      <c r="X436" s="85" t="s">
        <v>114</v>
      </c>
      <c r="Y436" s="85">
        <v>2</v>
      </c>
      <c r="Z436" s="85" t="s">
        <v>114</v>
      </c>
      <c r="AA436" s="85"/>
      <c r="AB436" s="85" t="s">
        <v>114</v>
      </c>
      <c r="AC436" s="85" t="s">
        <v>114</v>
      </c>
      <c r="AD436" s="85" t="s">
        <v>114</v>
      </c>
      <c r="AE436" s="85"/>
      <c r="AF436" s="85"/>
      <c r="AG436" s="86">
        <v>43354</v>
      </c>
      <c r="AH436" s="85" t="s">
        <v>107</v>
      </c>
      <c r="AI436" s="86">
        <v>42839</v>
      </c>
      <c r="AJ436" s="86">
        <v>43177</v>
      </c>
      <c r="AK436" s="86">
        <v>43167</v>
      </c>
      <c r="AL436" s="85" t="s">
        <v>107</v>
      </c>
      <c r="AM436" s="85" t="s">
        <v>107</v>
      </c>
      <c r="AN436" s="86">
        <v>43405</v>
      </c>
      <c r="AO436" s="86">
        <v>43209</v>
      </c>
      <c r="AP436" s="86">
        <v>43353</v>
      </c>
      <c r="AQ436" s="86">
        <v>42888</v>
      </c>
      <c r="AR436" s="86">
        <v>43353</v>
      </c>
      <c r="AS436" s="86">
        <v>43353</v>
      </c>
      <c r="AT436" s="86">
        <v>43353</v>
      </c>
      <c r="AU436" s="86">
        <v>43353</v>
      </c>
      <c r="AV436" s="86">
        <v>43353</v>
      </c>
      <c r="AW436" s="86">
        <v>43353</v>
      </c>
    </row>
    <row r="437" spans="1:49" x14ac:dyDescent="0.2">
      <c r="A437" s="85" t="s">
        <v>1329</v>
      </c>
      <c r="B437" s="85" t="s">
        <v>1330</v>
      </c>
      <c r="C437" s="85" t="s">
        <v>1331</v>
      </c>
      <c r="D437" s="85" t="s">
        <v>1332</v>
      </c>
      <c r="E437" s="85" t="s">
        <v>231</v>
      </c>
      <c r="F437" s="85" t="s">
        <v>127</v>
      </c>
      <c r="G437" s="85" t="s">
        <v>4</v>
      </c>
      <c r="H437" s="85" t="s">
        <v>5</v>
      </c>
      <c r="I437" s="86">
        <v>43439</v>
      </c>
      <c r="J437" s="86">
        <v>43167</v>
      </c>
      <c r="K437" s="86">
        <v>43482</v>
      </c>
      <c r="L437" s="85" t="s">
        <v>99</v>
      </c>
      <c r="M437" s="86">
        <v>43188</v>
      </c>
      <c r="N437" s="85" t="s">
        <v>107</v>
      </c>
      <c r="O437" s="86">
        <v>43167</v>
      </c>
      <c r="P437" s="86">
        <v>43377</v>
      </c>
      <c r="Q437" s="86">
        <v>43847</v>
      </c>
      <c r="R437" s="85" t="s">
        <v>1652</v>
      </c>
      <c r="S437" s="86">
        <v>43497</v>
      </c>
      <c r="T437" s="85" t="s">
        <v>1652</v>
      </c>
      <c r="U437" s="86">
        <v>43356</v>
      </c>
      <c r="V437" s="86">
        <v>43739</v>
      </c>
      <c r="W437" s="85" t="s">
        <v>1657</v>
      </c>
      <c r="X437" s="85" t="s">
        <v>114</v>
      </c>
      <c r="Y437" s="85">
        <v>1</v>
      </c>
      <c r="Z437" s="85" t="s">
        <v>114</v>
      </c>
      <c r="AA437" s="85" t="s">
        <v>1659</v>
      </c>
      <c r="AB437" s="85" t="s">
        <v>114</v>
      </c>
      <c r="AC437" s="85" t="s">
        <v>114</v>
      </c>
      <c r="AD437" s="85" t="s">
        <v>114</v>
      </c>
      <c r="AE437" s="85"/>
      <c r="AF437" s="85"/>
      <c r="AG437" s="86">
        <v>43479</v>
      </c>
      <c r="AH437" s="85" t="s">
        <v>107</v>
      </c>
      <c r="AI437" s="85"/>
      <c r="AJ437" s="86">
        <v>43431</v>
      </c>
      <c r="AK437" s="86">
        <v>43167</v>
      </c>
      <c r="AL437" s="85" t="s">
        <v>107</v>
      </c>
      <c r="AM437" s="85" t="s">
        <v>107</v>
      </c>
      <c r="AN437" s="86">
        <v>43467</v>
      </c>
      <c r="AO437" s="86">
        <v>43467</v>
      </c>
      <c r="AP437" s="86">
        <v>43467</v>
      </c>
      <c r="AQ437" s="86">
        <v>43467</v>
      </c>
      <c r="AR437" s="86">
        <v>43467</v>
      </c>
      <c r="AS437" s="86">
        <v>43467</v>
      </c>
      <c r="AT437" s="86">
        <v>43467</v>
      </c>
      <c r="AU437" s="86">
        <v>43467</v>
      </c>
      <c r="AV437" s="86">
        <v>43467</v>
      </c>
      <c r="AW437" s="86">
        <v>43467</v>
      </c>
    </row>
    <row r="438" spans="1:49" x14ac:dyDescent="0.2">
      <c r="A438" s="85" t="s">
        <v>1585</v>
      </c>
      <c r="B438" s="85" t="s">
        <v>1586</v>
      </c>
      <c r="C438" s="85" t="s">
        <v>1587</v>
      </c>
      <c r="D438" s="85" t="s">
        <v>564</v>
      </c>
      <c r="E438" s="85" t="s">
        <v>149</v>
      </c>
      <c r="F438" s="85" t="s">
        <v>106</v>
      </c>
      <c r="G438" s="85" t="s">
        <v>4</v>
      </c>
      <c r="H438" s="85" t="s">
        <v>5</v>
      </c>
      <c r="I438" s="85" t="s">
        <v>107</v>
      </c>
      <c r="J438" s="86">
        <v>43341</v>
      </c>
      <c r="K438" s="86">
        <v>43341</v>
      </c>
      <c r="L438" s="85" t="s">
        <v>107</v>
      </c>
      <c r="M438" s="85" t="s">
        <v>107</v>
      </c>
      <c r="N438" s="85" t="s">
        <v>107</v>
      </c>
      <c r="O438" s="85" t="s">
        <v>107</v>
      </c>
      <c r="P438" s="85" t="s">
        <v>107</v>
      </c>
      <c r="Q438" s="86">
        <v>43706</v>
      </c>
      <c r="R438" s="85" t="s">
        <v>107</v>
      </c>
      <c r="S438" s="85" t="s">
        <v>107</v>
      </c>
      <c r="T438" s="85" t="s">
        <v>107</v>
      </c>
      <c r="U438" s="85" t="s">
        <v>107</v>
      </c>
      <c r="V438" s="85" t="s">
        <v>107</v>
      </c>
      <c r="W438" s="85" t="s">
        <v>107</v>
      </c>
      <c r="X438" s="85" t="s">
        <v>107</v>
      </c>
      <c r="Y438" s="85" t="s">
        <v>107</v>
      </c>
      <c r="Z438" s="85" t="s">
        <v>107</v>
      </c>
      <c r="AA438" s="85" t="s">
        <v>107</v>
      </c>
      <c r="AB438" s="85" t="s">
        <v>107</v>
      </c>
      <c r="AC438" s="85" t="s">
        <v>107</v>
      </c>
      <c r="AD438" s="85" t="s">
        <v>107</v>
      </c>
      <c r="AE438" s="85" t="s">
        <v>107</v>
      </c>
      <c r="AF438" s="85" t="s">
        <v>107</v>
      </c>
      <c r="AG438" s="86">
        <v>43342</v>
      </c>
      <c r="AH438" s="85" t="s">
        <v>2025</v>
      </c>
      <c r="AI438" s="85" t="s">
        <v>107</v>
      </c>
      <c r="AJ438" s="85" t="s">
        <v>107</v>
      </c>
      <c r="AK438" s="85" t="s">
        <v>107</v>
      </c>
      <c r="AL438" s="85" t="s">
        <v>107</v>
      </c>
      <c r="AM438" s="85" t="s">
        <v>107</v>
      </c>
      <c r="AN438" s="85"/>
      <c r="AO438" s="86">
        <v>43340</v>
      </c>
      <c r="AP438" s="86">
        <v>43340</v>
      </c>
      <c r="AQ438" s="86">
        <v>43340</v>
      </c>
      <c r="AR438" s="86">
        <v>43340</v>
      </c>
      <c r="AS438" s="86">
        <v>43340</v>
      </c>
      <c r="AT438" s="86">
        <v>43340</v>
      </c>
      <c r="AU438" s="85" t="s">
        <v>107</v>
      </c>
      <c r="AV438" s="86">
        <v>43340</v>
      </c>
      <c r="AW438" s="86">
        <v>43340</v>
      </c>
    </row>
    <row r="439" spans="1:49" x14ac:dyDescent="0.2">
      <c r="A439" s="85" t="s">
        <v>1333</v>
      </c>
      <c r="B439" s="85" t="s">
        <v>1334</v>
      </c>
      <c r="C439" s="85" t="s">
        <v>1335</v>
      </c>
      <c r="D439" s="85" t="s">
        <v>1336</v>
      </c>
      <c r="E439" s="85" t="s">
        <v>126</v>
      </c>
      <c r="F439" s="85" t="s">
        <v>113</v>
      </c>
      <c r="G439" s="85" t="s">
        <v>4</v>
      </c>
      <c r="H439" s="85" t="s">
        <v>7</v>
      </c>
      <c r="I439" s="86">
        <v>43464</v>
      </c>
      <c r="J439" s="86">
        <v>43328</v>
      </c>
      <c r="K439" s="86">
        <v>43434</v>
      </c>
      <c r="L439" s="85" t="s">
        <v>99</v>
      </c>
      <c r="M439" s="86">
        <v>42993</v>
      </c>
      <c r="N439" s="85" t="s">
        <v>107</v>
      </c>
      <c r="O439" s="86">
        <v>42788</v>
      </c>
      <c r="P439" s="86">
        <v>43269</v>
      </c>
      <c r="Q439" s="86">
        <v>43634</v>
      </c>
      <c r="R439" s="85" t="s">
        <v>1652</v>
      </c>
      <c r="S439" s="86">
        <v>43497</v>
      </c>
      <c r="T439" s="85" t="s">
        <v>1652</v>
      </c>
      <c r="U439" s="86">
        <v>43423</v>
      </c>
      <c r="V439" s="86">
        <v>43597</v>
      </c>
      <c r="W439" s="85" t="s">
        <v>1662</v>
      </c>
      <c r="X439" s="85" t="s">
        <v>114</v>
      </c>
      <c r="Y439" s="85">
        <v>2</v>
      </c>
      <c r="Z439" s="85" t="s">
        <v>114</v>
      </c>
      <c r="AA439" s="85"/>
      <c r="AB439" s="85" t="s">
        <v>114</v>
      </c>
      <c r="AC439" s="85" t="s">
        <v>114</v>
      </c>
      <c r="AD439" s="85" t="s">
        <v>114</v>
      </c>
      <c r="AE439" s="85"/>
      <c r="AF439" s="85"/>
      <c r="AG439" s="86">
        <v>43269</v>
      </c>
      <c r="AH439" s="85" t="s">
        <v>2026</v>
      </c>
      <c r="AI439" s="86">
        <v>42521</v>
      </c>
      <c r="AJ439" s="86">
        <v>43411</v>
      </c>
      <c r="AK439" s="85"/>
      <c r="AL439" s="85" t="s">
        <v>107</v>
      </c>
      <c r="AM439" s="85" t="s">
        <v>107</v>
      </c>
      <c r="AN439" s="86">
        <v>43403</v>
      </c>
      <c r="AO439" s="86">
        <v>43207</v>
      </c>
      <c r="AP439" s="86">
        <v>43188</v>
      </c>
      <c r="AQ439" s="86">
        <v>43188</v>
      </c>
      <c r="AR439" s="86">
        <v>43188</v>
      </c>
      <c r="AS439" s="86">
        <v>43403</v>
      </c>
      <c r="AT439" s="86">
        <v>43188</v>
      </c>
      <c r="AU439" s="86">
        <v>43188</v>
      </c>
      <c r="AV439" s="86">
        <v>43188</v>
      </c>
      <c r="AW439" s="86">
        <v>43188</v>
      </c>
    </row>
    <row r="440" spans="1:49" x14ac:dyDescent="0.2">
      <c r="A440" s="85" t="s">
        <v>1337</v>
      </c>
      <c r="B440" s="85" t="s">
        <v>1338</v>
      </c>
      <c r="C440" s="85" t="s">
        <v>1339</v>
      </c>
      <c r="D440" s="85" t="s">
        <v>316</v>
      </c>
      <c r="E440" s="85" t="s">
        <v>141</v>
      </c>
      <c r="F440" s="85" t="s">
        <v>270</v>
      </c>
      <c r="G440" s="85" t="s">
        <v>4</v>
      </c>
      <c r="H440" s="85" t="s">
        <v>12</v>
      </c>
      <c r="I440" s="86">
        <v>43372</v>
      </c>
      <c r="J440" s="86">
        <v>43220</v>
      </c>
      <c r="K440" s="86">
        <v>43220</v>
      </c>
      <c r="L440" s="85" t="s">
        <v>99</v>
      </c>
      <c r="M440" s="86">
        <v>43210</v>
      </c>
      <c r="N440" s="85" t="s">
        <v>107</v>
      </c>
      <c r="O440" s="86">
        <v>43220</v>
      </c>
      <c r="P440" s="86">
        <v>43292</v>
      </c>
      <c r="Q440" s="86">
        <v>43581</v>
      </c>
      <c r="R440" s="85" t="s">
        <v>1652</v>
      </c>
      <c r="S440" s="86">
        <v>44166</v>
      </c>
      <c r="T440" s="85" t="s">
        <v>1652</v>
      </c>
      <c r="U440" s="86">
        <v>43361</v>
      </c>
      <c r="V440" s="86">
        <v>43738</v>
      </c>
      <c r="W440" s="85" t="s">
        <v>1653</v>
      </c>
      <c r="X440" s="85" t="s">
        <v>114</v>
      </c>
      <c r="Y440" s="85">
        <v>1</v>
      </c>
      <c r="Z440" s="85" t="s">
        <v>114</v>
      </c>
      <c r="AA440" s="85"/>
      <c r="AB440" s="85" t="s">
        <v>114</v>
      </c>
      <c r="AC440" s="85" t="s">
        <v>114</v>
      </c>
      <c r="AD440" s="85" t="s">
        <v>114</v>
      </c>
      <c r="AE440" s="85"/>
      <c r="AF440" s="85"/>
      <c r="AG440" s="86">
        <v>43238</v>
      </c>
      <c r="AH440" s="85" t="s">
        <v>107</v>
      </c>
      <c r="AI440" s="86">
        <v>43396</v>
      </c>
      <c r="AJ440" s="86">
        <v>43396</v>
      </c>
      <c r="AK440" s="86">
        <v>43220</v>
      </c>
      <c r="AL440" s="85"/>
      <c r="AM440" s="85"/>
      <c r="AN440" s="86">
        <v>43480</v>
      </c>
      <c r="AO440" s="86">
        <v>43209</v>
      </c>
      <c r="AP440" s="86">
        <v>43480</v>
      </c>
      <c r="AQ440" s="86">
        <v>43209</v>
      </c>
      <c r="AR440" s="86">
        <v>43480</v>
      </c>
      <c r="AS440" s="86">
        <v>43480</v>
      </c>
      <c r="AT440" s="86">
        <v>43480</v>
      </c>
      <c r="AU440" s="86">
        <v>43480</v>
      </c>
      <c r="AV440" s="86">
        <v>43480</v>
      </c>
      <c r="AW440" s="86">
        <v>43480</v>
      </c>
    </row>
    <row r="441" spans="1:49" x14ac:dyDescent="0.2">
      <c r="A441" s="85" t="s">
        <v>1340</v>
      </c>
      <c r="B441" s="85" t="s">
        <v>1341</v>
      </c>
      <c r="C441" s="85" t="s">
        <v>1342</v>
      </c>
      <c r="D441" s="85" t="s">
        <v>1343</v>
      </c>
      <c r="E441" s="85" t="s">
        <v>231</v>
      </c>
      <c r="F441" s="85" t="s">
        <v>122</v>
      </c>
      <c r="G441" s="85" t="s">
        <v>4</v>
      </c>
      <c r="H441" s="85" t="s">
        <v>13</v>
      </c>
      <c r="I441" s="86">
        <v>43465</v>
      </c>
      <c r="J441" s="86">
        <v>43215</v>
      </c>
      <c r="K441" s="86">
        <v>43216</v>
      </c>
      <c r="L441" s="85" t="s">
        <v>99</v>
      </c>
      <c r="M441" s="86">
        <v>42977</v>
      </c>
      <c r="N441" s="85" t="s">
        <v>107</v>
      </c>
      <c r="O441" s="86">
        <v>42896</v>
      </c>
      <c r="P441" s="86">
        <v>43243</v>
      </c>
      <c r="Q441" s="86">
        <v>43580</v>
      </c>
      <c r="R441" s="85" t="s">
        <v>1652</v>
      </c>
      <c r="S441" s="86">
        <v>43862</v>
      </c>
      <c r="T441" s="85" t="s">
        <v>1652</v>
      </c>
      <c r="U441" s="86">
        <v>43464</v>
      </c>
      <c r="V441" s="86">
        <v>43646</v>
      </c>
      <c r="W441" s="85" t="s">
        <v>1655</v>
      </c>
      <c r="X441" s="85" t="s">
        <v>114</v>
      </c>
      <c r="Y441" s="85">
        <v>1</v>
      </c>
      <c r="Z441" s="85" t="s">
        <v>119</v>
      </c>
      <c r="AA441" s="85"/>
      <c r="AB441" s="85" t="s">
        <v>114</v>
      </c>
      <c r="AC441" s="85" t="s">
        <v>114</v>
      </c>
      <c r="AD441" s="85" t="s">
        <v>119</v>
      </c>
      <c r="AE441" s="85" t="s">
        <v>1661</v>
      </c>
      <c r="AF441" s="85"/>
      <c r="AG441" s="86">
        <v>43178</v>
      </c>
      <c r="AH441" s="85" t="s">
        <v>107</v>
      </c>
      <c r="AI441" s="86">
        <v>43047</v>
      </c>
      <c r="AJ441" s="86">
        <v>43215</v>
      </c>
      <c r="AK441" s="86">
        <v>43074</v>
      </c>
      <c r="AL441" s="85" t="s">
        <v>107</v>
      </c>
      <c r="AM441" s="85" t="s">
        <v>107</v>
      </c>
      <c r="AN441" s="86">
        <v>43390</v>
      </c>
      <c r="AO441" s="86">
        <v>43215</v>
      </c>
      <c r="AP441" s="86">
        <v>43054</v>
      </c>
      <c r="AQ441" s="86">
        <v>42818</v>
      </c>
      <c r="AR441" s="86">
        <v>43195</v>
      </c>
      <c r="AS441" s="86">
        <v>43215</v>
      </c>
      <c r="AT441" s="86">
        <v>42818</v>
      </c>
      <c r="AU441" s="86">
        <v>43195</v>
      </c>
      <c r="AV441" s="86">
        <v>43195</v>
      </c>
      <c r="AW441" s="86">
        <v>43195</v>
      </c>
    </row>
    <row r="442" spans="1:49" x14ac:dyDescent="0.2">
      <c r="A442" s="85" t="s">
        <v>1344</v>
      </c>
      <c r="B442" s="85" t="s">
        <v>1345</v>
      </c>
      <c r="C442" s="85" t="s">
        <v>1346</v>
      </c>
      <c r="D442" s="85" t="s">
        <v>623</v>
      </c>
      <c r="E442" s="85" t="s">
        <v>222</v>
      </c>
      <c r="F442" s="85" t="s">
        <v>1347</v>
      </c>
      <c r="G442" s="85" t="s">
        <v>4</v>
      </c>
      <c r="H442" s="85" t="s">
        <v>12</v>
      </c>
      <c r="I442" s="86">
        <v>43451</v>
      </c>
      <c r="J442" s="86">
        <v>43167</v>
      </c>
      <c r="K442" s="86">
        <v>43167</v>
      </c>
      <c r="L442" s="85" t="s">
        <v>99</v>
      </c>
      <c r="M442" s="86">
        <v>42793</v>
      </c>
      <c r="N442" s="85" t="s">
        <v>107</v>
      </c>
      <c r="O442" s="86">
        <v>43167</v>
      </c>
      <c r="P442" s="86">
        <v>43172</v>
      </c>
      <c r="Q442" s="86">
        <v>43532</v>
      </c>
      <c r="R442" s="85" t="s">
        <v>1652</v>
      </c>
      <c r="S442" s="86">
        <v>43586</v>
      </c>
      <c r="T442" s="85" t="s">
        <v>1652</v>
      </c>
      <c r="U442" s="86">
        <v>43284</v>
      </c>
      <c r="V442" s="86">
        <v>43677</v>
      </c>
      <c r="W442" s="85" t="s">
        <v>1653</v>
      </c>
      <c r="X442" s="85" t="s">
        <v>114</v>
      </c>
      <c r="Y442" s="85">
        <v>2</v>
      </c>
      <c r="Z442" s="85" t="s">
        <v>114</v>
      </c>
      <c r="AA442" s="85"/>
      <c r="AB442" s="85" t="s">
        <v>211</v>
      </c>
      <c r="AC442" s="85" t="s">
        <v>114</v>
      </c>
      <c r="AD442" s="85" t="s">
        <v>211</v>
      </c>
      <c r="AE442" s="85" t="s">
        <v>1656</v>
      </c>
      <c r="AF442" s="86">
        <v>43536</v>
      </c>
      <c r="AG442" s="86">
        <v>43354</v>
      </c>
      <c r="AH442" s="85" t="s">
        <v>107</v>
      </c>
      <c r="AI442" s="85"/>
      <c r="AJ442" s="85" t="s">
        <v>1771</v>
      </c>
      <c r="AK442" s="86">
        <v>43167</v>
      </c>
      <c r="AL442" s="85" t="s">
        <v>107</v>
      </c>
      <c r="AM442" s="85" t="s">
        <v>107</v>
      </c>
      <c r="AN442" s="85"/>
      <c r="AO442" s="86">
        <v>43209</v>
      </c>
      <c r="AP442" s="86">
        <v>43129</v>
      </c>
      <c r="AQ442" s="86">
        <v>42811</v>
      </c>
      <c r="AR442" s="86">
        <v>43125</v>
      </c>
      <c r="AS442" s="86">
        <v>43172</v>
      </c>
      <c r="AT442" s="86">
        <v>43125</v>
      </c>
      <c r="AU442" s="86">
        <v>43125</v>
      </c>
      <c r="AV442" s="86">
        <v>43125</v>
      </c>
      <c r="AW442" s="86">
        <v>43125</v>
      </c>
    </row>
    <row r="443" spans="1:49" x14ac:dyDescent="0.2">
      <c r="A443" s="85" t="s">
        <v>1616</v>
      </c>
      <c r="B443" s="85" t="s">
        <v>1617</v>
      </c>
      <c r="C443" s="85" t="s">
        <v>1618</v>
      </c>
      <c r="D443" s="85" t="s">
        <v>581</v>
      </c>
      <c r="E443" s="85" t="s">
        <v>222</v>
      </c>
      <c r="F443" s="85"/>
      <c r="G443" s="85" t="s">
        <v>4</v>
      </c>
      <c r="H443" s="85" t="s">
        <v>7</v>
      </c>
      <c r="I443" s="86">
        <v>43499</v>
      </c>
      <c r="J443" s="86">
        <v>43500</v>
      </c>
      <c r="K443" s="86">
        <v>43500</v>
      </c>
      <c r="L443" s="85" t="s">
        <v>99</v>
      </c>
      <c r="M443" s="86">
        <v>43501</v>
      </c>
      <c r="N443" s="85"/>
      <c r="O443" s="86">
        <v>43348</v>
      </c>
      <c r="P443" s="86">
        <v>43377</v>
      </c>
      <c r="Q443" s="86">
        <v>365</v>
      </c>
      <c r="R443" s="85" t="s">
        <v>1658</v>
      </c>
      <c r="S443" s="86">
        <v>44774</v>
      </c>
      <c r="T443" s="85" t="s">
        <v>1658</v>
      </c>
      <c r="U443" s="86">
        <v>43164</v>
      </c>
      <c r="V443" s="86">
        <v>43555</v>
      </c>
      <c r="W443" s="85" t="s">
        <v>1653</v>
      </c>
      <c r="X443" s="85" t="s">
        <v>114</v>
      </c>
      <c r="Y443" s="85">
        <v>1</v>
      </c>
      <c r="Z443" s="85" t="s">
        <v>114</v>
      </c>
      <c r="AA443" s="85"/>
      <c r="AB443" s="85" t="s">
        <v>114</v>
      </c>
      <c r="AC443" s="85" t="s">
        <v>114</v>
      </c>
      <c r="AD443" s="85" t="s">
        <v>114</v>
      </c>
      <c r="AE443" s="85"/>
      <c r="AF443" s="85"/>
      <c r="AG443" s="86">
        <v>43375</v>
      </c>
      <c r="AH443" s="85" t="s">
        <v>2027</v>
      </c>
      <c r="AI443" s="85"/>
      <c r="AJ443" s="85"/>
      <c r="AK443" s="85"/>
      <c r="AL443" s="85" t="s">
        <v>107</v>
      </c>
      <c r="AM443" s="85" t="s">
        <v>107</v>
      </c>
      <c r="AN443" s="85"/>
      <c r="AO443" s="86">
        <v>43335</v>
      </c>
      <c r="AP443" s="86">
        <v>43335</v>
      </c>
      <c r="AQ443" s="86">
        <v>43335</v>
      </c>
      <c r="AR443" s="86">
        <v>43335</v>
      </c>
      <c r="AS443" s="86">
        <v>43335</v>
      </c>
      <c r="AT443" s="86">
        <v>43335</v>
      </c>
      <c r="AU443" s="86">
        <v>43335</v>
      </c>
      <c r="AV443" s="86">
        <v>43335</v>
      </c>
      <c r="AW443" s="86">
        <v>43335</v>
      </c>
    </row>
    <row r="444" spans="1:49" x14ac:dyDescent="0.2">
      <c r="A444" s="85" t="s">
        <v>1348</v>
      </c>
      <c r="B444" s="85" t="s">
        <v>1349</v>
      </c>
      <c r="C444" s="85" t="s">
        <v>1350</v>
      </c>
      <c r="D444" s="85" t="s">
        <v>697</v>
      </c>
      <c r="E444" s="85" t="s">
        <v>126</v>
      </c>
      <c r="F444" s="85" t="s">
        <v>122</v>
      </c>
      <c r="G444" s="85" t="s">
        <v>4</v>
      </c>
      <c r="H444" s="85" t="s">
        <v>5</v>
      </c>
      <c r="I444" s="86">
        <v>43451</v>
      </c>
      <c r="J444" s="86">
        <v>43480</v>
      </c>
      <c r="K444" s="86">
        <v>43479</v>
      </c>
      <c r="L444" s="85" t="s">
        <v>99</v>
      </c>
      <c r="M444" s="86">
        <v>42745</v>
      </c>
      <c r="N444" s="85" t="s">
        <v>107</v>
      </c>
      <c r="O444" s="86">
        <v>43167</v>
      </c>
      <c r="P444" s="86">
        <v>43271</v>
      </c>
      <c r="Q444" s="86">
        <v>43844</v>
      </c>
      <c r="R444" s="85" t="s">
        <v>1652</v>
      </c>
      <c r="S444" s="86">
        <v>44986</v>
      </c>
      <c r="T444" s="85" t="s">
        <v>1652</v>
      </c>
      <c r="U444" s="86">
        <v>43301</v>
      </c>
      <c r="V444" s="86">
        <v>43677</v>
      </c>
      <c r="W444" s="85" t="s">
        <v>1653</v>
      </c>
      <c r="X444" s="85" t="s">
        <v>114</v>
      </c>
      <c r="Y444" s="85">
        <v>2</v>
      </c>
      <c r="Z444" s="85" t="s">
        <v>114</v>
      </c>
      <c r="AA444" s="85"/>
      <c r="AB444" s="85" t="s">
        <v>114</v>
      </c>
      <c r="AC444" s="85" t="s">
        <v>114</v>
      </c>
      <c r="AD444" s="85" t="s">
        <v>114</v>
      </c>
      <c r="AE444" s="85"/>
      <c r="AF444" s="85"/>
      <c r="AG444" s="86">
        <v>43479</v>
      </c>
      <c r="AH444" s="85" t="s">
        <v>107</v>
      </c>
      <c r="AI444" s="85"/>
      <c r="AJ444" s="86">
        <v>43431</v>
      </c>
      <c r="AK444" s="86">
        <v>43167</v>
      </c>
      <c r="AL444" s="85" t="s">
        <v>107</v>
      </c>
      <c r="AM444" s="85" t="s">
        <v>107</v>
      </c>
      <c r="AN444" s="86">
        <v>43467</v>
      </c>
      <c r="AO444" s="86">
        <v>43467</v>
      </c>
      <c r="AP444" s="86">
        <v>43467</v>
      </c>
      <c r="AQ444" s="86">
        <v>43467</v>
      </c>
      <c r="AR444" s="86">
        <v>43467</v>
      </c>
      <c r="AS444" s="86">
        <v>43467</v>
      </c>
      <c r="AT444" s="86">
        <v>43467</v>
      </c>
      <c r="AU444" s="86">
        <v>43467</v>
      </c>
      <c r="AV444" s="86">
        <v>43467</v>
      </c>
      <c r="AW444" s="86">
        <v>43467</v>
      </c>
    </row>
    <row r="445" spans="1:49" x14ac:dyDescent="0.2">
      <c r="A445" s="85" t="s">
        <v>1351</v>
      </c>
      <c r="B445" s="85" t="s">
        <v>1352</v>
      </c>
      <c r="C445" s="85" t="s">
        <v>1353</v>
      </c>
      <c r="D445" s="85" t="s">
        <v>1280</v>
      </c>
      <c r="E445" s="85" t="s">
        <v>291</v>
      </c>
      <c r="F445" s="85" t="s">
        <v>127</v>
      </c>
      <c r="G445" s="85" t="s">
        <v>4</v>
      </c>
      <c r="H445" s="85" t="s">
        <v>8</v>
      </c>
      <c r="I445" s="86">
        <v>43475</v>
      </c>
      <c r="J445" s="86">
        <v>43475</v>
      </c>
      <c r="K445" s="86">
        <v>43479</v>
      </c>
      <c r="L445" s="85" t="s">
        <v>99</v>
      </c>
      <c r="M445" s="86">
        <v>42782</v>
      </c>
      <c r="N445" s="85" t="s">
        <v>107</v>
      </c>
      <c r="O445" s="86">
        <v>43143</v>
      </c>
      <c r="P445" s="86">
        <v>43269</v>
      </c>
      <c r="Q445" s="86">
        <v>43502</v>
      </c>
      <c r="R445" s="85" t="s">
        <v>1652</v>
      </c>
      <c r="S445" s="86">
        <v>43770</v>
      </c>
      <c r="T445" s="85" t="s">
        <v>1652</v>
      </c>
      <c r="U445" s="86">
        <v>43451</v>
      </c>
      <c r="V445" s="86">
        <v>43830</v>
      </c>
      <c r="W445" s="85" t="s">
        <v>1653</v>
      </c>
      <c r="X445" s="85" t="s">
        <v>114</v>
      </c>
      <c r="Y445" s="85">
        <v>1</v>
      </c>
      <c r="Z445" s="85" t="s">
        <v>114</v>
      </c>
      <c r="AA445" s="85"/>
      <c r="AB445" s="85" t="s">
        <v>114</v>
      </c>
      <c r="AC445" s="85" t="s">
        <v>114</v>
      </c>
      <c r="AD445" s="85" t="s">
        <v>114</v>
      </c>
      <c r="AE445" s="85"/>
      <c r="AF445" s="85"/>
      <c r="AG445" s="86">
        <v>43168</v>
      </c>
      <c r="AH445" s="85" t="s">
        <v>107</v>
      </c>
      <c r="AI445" s="85"/>
      <c r="AJ445" s="85" t="s">
        <v>1771</v>
      </c>
      <c r="AK445" s="86">
        <v>43145</v>
      </c>
      <c r="AL445" s="86">
        <v>41956</v>
      </c>
      <c r="AM445" s="86">
        <v>41956</v>
      </c>
      <c r="AN445" s="86">
        <v>43502</v>
      </c>
      <c r="AO445" s="86">
        <v>43207</v>
      </c>
      <c r="AP445" s="86">
        <v>43502</v>
      </c>
      <c r="AQ445" s="86">
        <v>43131</v>
      </c>
      <c r="AR445" s="86">
        <v>43502</v>
      </c>
      <c r="AS445" s="86">
        <v>43502</v>
      </c>
      <c r="AT445" s="86">
        <v>43502</v>
      </c>
      <c r="AU445" s="86">
        <v>43502</v>
      </c>
      <c r="AV445" s="86">
        <v>43502</v>
      </c>
      <c r="AW445" s="86">
        <v>43502</v>
      </c>
    </row>
    <row r="446" spans="1:49" x14ac:dyDescent="0.2">
      <c r="A446" s="85" t="s">
        <v>1354</v>
      </c>
      <c r="B446" s="85" t="s">
        <v>1355</v>
      </c>
      <c r="C446" s="85" t="s">
        <v>1356</v>
      </c>
      <c r="D446" s="85" t="s">
        <v>1357</v>
      </c>
      <c r="E446" s="85" t="s">
        <v>141</v>
      </c>
      <c r="F446" s="85" t="s">
        <v>127</v>
      </c>
      <c r="G446" s="85" t="s">
        <v>4</v>
      </c>
      <c r="H446" s="85" t="s">
        <v>10</v>
      </c>
      <c r="I446" s="86">
        <v>43497</v>
      </c>
      <c r="J446" s="86">
        <v>43300</v>
      </c>
      <c r="K446" s="86">
        <v>43298</v>
      </c>
      <c r="L446" s="85" t="s">
        <v>99</v>
      </c>
      <c r="M446" s="86">
        <v>42956</v>
      </c>
      <c r="N446" s="85" t="s">
        <v>107</v>
      </c>
      <c r="O446" s="86">
        <v>42940</v>
      </c>
      <c r="P446" s="86">
        <v>43292</v>
      </c>
      <c r="Q446" s="86">
        <v>43658</v>
      </c>
      <c r="R446" s="85" t="s">
        <v>1652</v>
      </c>
      <c r="S446" s="86">
        <v>43556</v>
      </c>
      <c r="T446" s="85" t="s">
        <v>1652</v>
      </c>
      <c r="U446" s="86">
        <v>43179</v>
      </c>
      <c r="V446" s="86">
        <v>43555</v>
      </c>
      <c r="W446" s="85" t="s">
        <v>1653</v>
      </c>
      <c r="X446" s="85" t="s">
        <v>114</v>
      </c>
      <c r="Y446" s="85">
        <v>2</v>
      </c>
      <c r="Z446" s="85" t="s">
        <v>114</v>
      </c>
      <c r="AA446" s="85"/>
      <c r="AB446" s="85" t="s">
        <v>114</v>
      </c>
      <c r="AC446" s="85" t="s">
        <v>114</v>
      </c>
      <c r="AD446" s="85" t="s">
        <v>114</v>
      </c>
      <c r="AE446" s="85"/>
      <c r="AF446" s="85"/>
      <c r="AG446" s="86">
        <v>43293</v>
      </c>
      <c r="AH446" s="85" t="s">
        <v>107</v>
      </c>
      <c r="AI446" s="86">
        <v>42932</v>
      </c>
      <c r="AJ446" s="86">
        <v>43178</v>
      </c>
      <c r="AK446" s="86">
        <v>42943</v>
      </c>
      <c r="AL446" s="85" t="s">
        <v>107</v>
      </c>
      <c r="AM446" s="85" t="s">
        <v>107</v>
      </c>
      <c r="AN446" s="86">
        <v>43403</v>
      </c>
      <c r="AO446" s="86">
        <v>43209</v>
      </c>
      <c r="AP446" s="86">
        <v>43046</v>
      </c>
      <c r="AQ446" s="86">
        <v>42956</v>
      </c>
      <c r="AR446" s="86">
        <v>43291</v>
      </c>
      <c r="AS446" s="86">
        <v>42956</v>
      </c>
      <c r="AT446" s="86">
        <v>43291</v>
      </c>
      <c r="AU446" s="86">
        <v>43291</v>
      </c>
      <c r="AV446" s="86">
        <v>43291</v>
      </c>
      <c r="AW446" s="86">
        <v>43291</v>
      </c>
    </row>
    <row r="447" spans="1:49" x14ac:dyDescent="0.2">
      <c r="A447" s="85" t="s">
        <v>1358</v>
      </c>
      <c r="B447" s="85" t="s">
        <v>1359</v>
      </c>
      <c r="C447" s="85" t="s">
        <v>1360</v>
      </c>
      <c r="D447" s="85" t="s">
        <v>1361</v>
      </c>
      <c r="E447" s="85" t="s">
        <v>141</v>
      </c>
      <c r="F447" s="85" t="s">
        <v>144</v>
      </c>
      <c r="G447" s="85" t="s">
        <v>4</v>
      </c>
      <c r="H447" s="85" t="s">
        <v>9</v>
      </c>
      <c r="I447" s="86">
        <v>43497</v>
      </c>
      <c r="J447" s="86">
        <v>43320</v>
      </c>
      <c r="K447" s="86">
        <v>43430</v>
      </c>
      <c r="L447" s="85" t="s">
        <v>99</v>
      </c>
      <c r="M447" s="86">
        <v>42878</v>
      </c>
      <c r="N447" s="85" t="s">
        <v>107</v>
      </c>
      <c r="O447" s="86">
        <v>42614</v>
      </c>
      <c r="P447" s="86">
        <v>43277</v>
      </c>
      <c r="Q447" s="85" t="s">
        <v>59</v>
      </c>
      <c r="R447" s="85" t="s">
        <v>1658</v>
      </c>
      <c r="S447" s="85" t="s">
        <v>59</v>
      </c>
      <c r="T447" s="85" t="s">
        <v>59</v>
      </c>
      <c r="U447" s="85" t="s">
        <v>59</v>
      </c>
      <c r="V447" s="85" t="s">
        <v>59</v>
      </c>
      <c r="W447" s="85" t="s">
        <v>59</v>
      </c>
      <c r="X447" s="85" t="s">
        <v>59</v>
      </c>
      <c r="Y447" s="85" t="s">
        <v>59</v>
      </c>
      <c r="Z447" s="85" t="s">
        <v>59</v>
      </c>
      <c r="AA447" s="85" t="s">
        <v>59</v>
      </c>
      <c r="AB447" s="85" t="s">
        <v>59</v>
      </c>
      <c r="AC447" s="85" t="s">
        <v>59</v>
      </c>
      <c r="AD447" s="85" t="s">
        <v>59</v>
      </c>
      <c r="AE447" s="85" t="s">
        <v>59</v>
      </c>
      <c r="AF447" s="85" t="s">
        <v>59</v>
      </c>
      <c r="AG447" s="85" t="s">
        <v>59</v>
      </c>
      <c r="AH447" s="85" t="s">
        <v>107</v>
      </c>
      <c r="AI447" s="86">
        <v>41961</v>
      </c>
      <c r="AJ447" s="86">
        <v>43173</v>
      </c>
      <c r="AK447" s="86">
        <v>42203</v>
      </c>
      <c r="AL447" s="85" t="s">
        <v>107</v>
      </c>
      <c r="AM447" s="85" t="s">
        <v>107</v>
      </c>
      <c r="AN447" s="85" t="s">
        <v>59</v>
      </c>
      <c r="AO447" s="85" t="s">
        <v>59</v>
      </c>
      <c r="AP447" s="85" t="s">
        <v>59</v>
      </c>
      <c r="AQ447" s="85" t="s">
        <v>59</v>
      </c>
      <c r="AR447" s="85" t="s">
        <v>59</v>
      </c>
      <c r="AS447" s="85" t="s">
        <v>59</v>
      </c>
      <c r="AT447" s="85" t="s">
        <v>59</v>
      </c>
      <c r="AU447" s="85" t="s">
        <v>59</v>
      </c>
      <c r="AV447" s="85" t="s">
        <v>59</v>
      </c>
      <c r="AW447" s="85" t="s">
        <v>59</v>
      </c>
    </row>
    <row r="448" spans="1:49" x14ac:dyDescent="0.2">
      <c r="A448" s="85" t="s">
        <v>1362</v>
      </c>
      <c r="B448" s="85" t="s">
        <v>1363</v>
      </c>
      <c r="C448" s="85" t="s">
        <v>368</v>
      </c>
      <c r="D448" s="85" t="s">
        <v>1364</v>
      </c>
      <c r="E448" s="85" t="s">
        <v>231</v>
      </c>
      <c r="F448" s="85" t="s">
        <v>1347</v>
      </c>
      <c r="G448" s="85" t="s">
        <v>4</v>
      </c>
      <c r="H448" s="85" t="s">
        <v>12</v>
      </c>
      <c r="I448" s="86">
        <v>43172</v>
      </c>
      <c r="J448" s="86">
        <v>43165</v>
      </c>
      <c r="K448" s="86">
        <v>43271</v>
      </c>
      <c r="L448" s="85" t="s">
        <v>99</v>
      </c>
      <c r="M448" s="86">
        <v>43243</v>
      </c>
      <c r="N448" s="85" t="s">
        <v>107</v>
      </c>
      <c r="O448" s="86">
        <v>43271</v>
      </c>
      <c r="P448" s="86">
        <v>43277</v>
      </c>
      <c r="Q448" s="86">
        <v>43565</v>
      </c>
      <c r="R448" s="85" t="s">
        <v>1652</v>
      </c>
      <c r="S448" s="86">
        <v>44044</v>
      </c>
      <c r="T448" s="85" t="s">
        <v>1652</v>
      </c>
      <c r="U448" s="86">
        <v>43479</v>
      </c>
      <c r="V448" s="86">
        <v>43861</v>
      </c>
      <c r="W448" s="85" t="s">
        <v>1653</v>
      </c>
      <c r="X448" s="85" t="s">
        <v>114</v>
      </c>
      <c r="Y448" s="85">
        <v>1</v>
      </c>
      <c r="Z448" s="85" t="s">
        <v>114</v>
      </c>
      <c r="AA448" s="85"/>
      <c r="AB448" s="85" t="s">
        <v>114</v>
      </c>
      <c r="AC448" s="85" t="s">
        <v>114</v>
      </c>
      <c r="AD448" s="85" t="s">
        <v>114</v>
      </c>
      <c r="AE448" s="85"/>
      <c r="AF448" s="85"/>
      <c r="AG448" s="86">
        <v>43172</v>
      </c>
      <c r="AH448" s="85" t="s">
        <v>1938</v>
      </c>
      <c r="AI448" s="85"/>
      <c r="AJ448" s="85" t="s">
        <v>1774</v>
      </c>
      <c r="AK448" s="86">
        <v>42482</v>
      </c>
      <c r="AL448" s="85" t="s">
        <v>107</v>
      </c>
      <c r="AM448" s="85" t="s">
        <v>107</v>
      </c>
      <c r="AN448" s="85"/>
      <c r="AO448" s="86">
        <v>43207</v>
      </c>
      <c r="AP448" s="86">
        <v>43159</v>
      </c>
      <c r="AQ448" s="86">
        <v>42480</v>
      </c>
      <c r="AR448" s="86">
        <v>43188</v>
      </c>
      <c r="AS448" s="86">
        <v>43200</v>
      </c>
      <c r="AT448" s="86">
        <v>43188</v>
      </c>
      <c r="AU448" s="86">
        <v>43188</v>
      </c>
      <c r="AV448" s="86">
        <v>43188</v>
      </c>
      <c r="AW448" s="86">
        <v>43188</v>
      </c>
    </row>
    <row r="449" spans="1:49" x14ac:dyDescent="0.2">
      <c r="A449" s="85" t="s">
        <v>1365</v>
      </c>
      <c r="B449" s="85" t="s">
        <v>1366</v>
      </c>
      <c r="C449" s="85" t="s">
        <v>368</v>
      </c>
      <c r="D449" s="85" t="s">
        <v>225</v>
      </c>
      <c r="E449" s="85"/>
      <c r="F449" s="85" t="s">
        <v>106</v>
      </c>
      <c r="G449" s="85" t="s">
        <v>4</v>
      </c>
      <c r="H449" s="85" t="s">
        <v>8</v>
      </c>
      <c r="I449" s="85" t="s">
        <v>107</v>
      </c>
      <c r="J449" s="86">
        <v>43308</v>
      </c>
      <c r="K449" s="86">
        <v>43315</v>
      </c>
      <c r="L449" s="85" t="s">
        <v>107</v>
      </c>
      <c r="M449" s="85" t="s">
        <v>107</v>
      </c>
      <c r="N449" s="85" t="s">
        <v>107</v>
      </c>
      <c r="O449" s="85" t="s">
        <v>107</v>
      </c>
      <c r="P449" s="85" t="s">
        <v>107</v>
      </c>
      <c r="Q449" s="86">
        <v>43666</v>
      </c>
      <c r="R449" s="85" t="s">
        <v>107</v>
      </c>
      <c r="S449" s="85" t="s">
        <v>107</v>
      </c>
      <c r="T449" s="85" t="s">
        <v>107</v>
      </c>
      <c r="U449" s="85" t="s">
        <v>107</v>
      </c>
      <c r="V449" s="85" t="s">
        <v>107</v>
      </c>
      <c r="W449" s="85" t="s">
        <v>107</v>
      </c>
      <c r="X449" s="85" t="s">
        <v>107</v>
      </c>
      <c r="Y449" s="85" t="s">
        <v>107</v>
      </c>
      <c r="Z449" s="85" t="s">
        <v>107</v>
      </c>
      <c r="AA449" s="85" t="s">
        <v>107</v>
      </c>
      <c r="AB449" s="85" t="s">
        <v>107</v>
      </c>
      <c r="AC449" s="85" t="s">
        <v>107</v>
      </c>
      <c r="AD449" s="85" t="s">
        <v>107</v>
      </c>
      <c r="AE449" s="85" t="s">
        <v>107</v>
      </c>
      <c r="AF449" s="85" t="s">
        <v>107</v>
      </c>
      <c r="AG449" s="86">
        <v>43301</v>
      </c>
      <c r="AH449" s="85" t="s">
        <v>107</v>
      </c>
      <c r="AI449" s="85" t="s">
        <v>107</v>
      </c>
      <c r="AJ449" s="85" t="s">
        <v>107</v>
      </c>
      <c r="AK449" s="85" t="s">
        <v>107</v>
      </c>
      <c r="AL449" s="85" t="s">
        <v>107</v>
      </c>
      <c r="AM449" s="85" t="s">
        <v>107</v>
      </c>
      <c r="AN449" s="86">
        <v>43405</v>
      </c>
      <c r="AO449" s="86">
        <v>43299</v>
      </c>
      <c r="AP449" s="86">
        <v>43299</v>
      </c>
      <c r="AQ449" s="86">
        <v>43299</v>
      </c>
      <c r="AR449" s="86">
        <v>43299</v>
      </c>
      <c r="AS449" s="86">
        <v>43299</v>
      </c>
      <c r="AT449" s="86">
        <v>43299</v>
      </c>
      <c r="AU449" s="85" t="s">
        <v>107</v>
      </c>
      <c r="AV449" s="86">
        <v>43299</v>
      </c>
      <c r="AW449" s="86">
        <v>43299</v>
      </c>
    </row>
    <row r="450" spans="1:49" x14ac:dyDescent="0.2">
      <c r="A450" s="85" t="s">
        <v>2028</v>
      </c>
      <c r="B450" s="85" t="s">
        <v>2029</v>
      </c>
      <c r="C450" s="85" t="s">
        <v>733</v>
      </c>
      <c r="D450" s="85" t="s">
        <v>239</v>
      </c>
      <c r="E450" s="85" t="s">
        <v>141</v>
      </c>
      <c r="F450" s="85" t="s">
        <v>600</v>
      </c>
      <c r="G450" s="85" t="s">
        <v>4</v>
      </c>
      <c r="H450" s="85" t="s">
        <v>17</v>
      </c>
      <c r="I450" s="85" t="s">
        <v>59</v>
      </c>
      <c r="J450" s="85" t="s">
        <v>59</v>
      </c>
      <c r="K450" s="85" t="s">
        <v>59</v>
      </c>
      <c r="L450" s="85" t="s">
        <v>59</v>
      </c>
      <c r="M450" s="85" t="s">
        <v>59</v>
      </c>
      <c r="N450" s="85" t="s">
        <v>107</v>
      </c>
      <c r="O450" s="85" t="s">
        <v>59</v>
      </c>
      <c r="P450" s="85" t="s">
        <v>59</v>
      </c>
      <c r="Q450" s="85" t="s">
        <v>59</v>
      </c>
      <c r="R450" s="85" t="s">
        <v>1658</v>
      </c>
      <c r="S450" s="85" t="s">
        <v>59</v>
      </c>
      <c r="T450" s="85" t="s">
        <v>59</v>
      </c>
      <c r="U450" s="85" t="s">
        <v>59</v>
      </c>
      <c r="V450" s="85" t="s">
        <v>59</v>
      </c>
      <c r="W450" s="85" t="s">
        <v>59</v>
      </c>
      <c r="X450" s="85" t="s">
        <v>59</v>
      </c>
      <c r="Y450" s="85" t="s">
        <v>59</v>
      </c>
      <c r="Z450" s="85" t="s">
        <v>59</v>
      </c>
      <c r="AA450" s="85" t="s">
        <v>59</v>
      </c>
      <c r="AB450" s="85" t="s">
        <v>59</v>
      </c>
      <c r="AC450" s="85" t="s">
        <v>59</v>
      </c>
      <c r="AD450" s="85" t="s">
        <v>59</v>
      </c>
      <c r="AE450" s="85" t="s">
        <v>59</v>
      </c>
      <c r="AF450" s="85" t="s">
        <v>59</v>
      </c>
      <c r="AG450" s="85" t="s">
        <v>59</v>
      </c>
      <c r="AH450" s="85" t="s">
        <v>107</v>
      </c>
      <c r="AI450" s="85" t="s">
        <v>59</v>
      </c>
      <c r="AJ450" s="85" t="s">
        <v>59</v>
      </c>
      <c r="AK450" s="85" t="s">
        <v>59</v>
      </c>
      <c r="AL450" s="85" t="s">
        <v>107</v>
      </c>
      <c r="AM450" s="85" t="s">
        <v>107</v>
      </c>
      <c r="AN450" s="85" t="s">
        <v>59</v>
      </c>
      <c r="AO450" s="85" t="s">
        <v>59</v>
      </c>
      <c r="AP450" s="85" t="s">
        <v>59</v>
      </c>
      <c r="AQ450" s="85" t="s">
        <v>59</v>
      </c>
      <c r="AR450" s="85" t="s">
        <v>59</v>
      </c>
      <c r="AS450" s="85" t="s">
        <v>59</v>
      </c>
      <c r="AT450" s="85" t="s">
        <v>59</v>
      </c>
      <c r="AU450" s="85" t="s">
        <v>59</v>
      </c>
      <c r="AV450" s="85" t="s">
        <v>59</v>
      </c>
      <c r="AW450" s="85" t="s">
        <v>59</v>
      </c>
    </row>
    <row r="451" spans="1:49" x14ac:dyDescent="0.2">
      <c r="A451" s="85" t="s">
        <v>1367</v>
      </c>
      <c r="B451" s="85" t="s">
        <v>1368</v>
      </c>
      <c r="C451" s="85" t="s">
        <v>1369</v>
      </c>
      <c r="D451" s="85" t="s">
        <v>463</v>
      </c>
      <c r="E451" s="85" t="s">
        <v>105</v>
      </c>
      <c r="F451" s="85" t="s">
        <v>113</v>
      </c>
      <c r="G451" s="85" t="s">
        <v>4</v>
      </c>
      <c r="H451" s="85" t="s">
        <v>5</v>
      </c>
      <c r="I451" s="86">
        <v>43451</v>
      </c>
      <c r="J451" s="86">
        <v>43167</v>
      </c>
      <c r="K451" s="86">
        <v>43167</v>
      </c>
      <c r="L451" s="85" t="s">
        <v>99</v>
      </c>
      <c r="M451" s="86">
        <v>42776</v>
      </c>
      <c r="N451" s="85" t="s">
        <v>107</v>
      </c>
      <c r="O451" s="86">
        <v>43167</v>
      </c>
      <c r="P451" s="86">
        <v>43271</v>
      </c>
      <c r="Q451" s="86">
        <v>43532</v>
      </c>
      <c r="R451" s="85" t="s">
        <v>1652</v>
      </c>
      <c r="S451" s="86">
        <v>44317</v>
      </c>
      <c r="T451" s="85" t="s">
        <v>1652</v>
      </c>
      <c r="U451" s="86">
        <v>43474</v>
      </c>
      <c r="V451" s="86">
        <v>43516</v>
      </c>
      <c r="W451" s="85" t="s">
        <v>1662</v>
      </c>
      <c r="X451" s="85" t="s">
        <v>119</v>
      </c>
      <c r="Y451" s="85">
        <v>1</v>
      </c>
      <c r="Z451" s="85" t="s">
        <v>114</v>
      </c>
      <c r="AA451" s="85"/>
      <c r="AB451" s="85" t="s">
        <v>114</v>
      </c>
      <c r="AC451" s="85" t="s">
        <v>114</v>
      </c>
      <c r="AD451" s="85" t="s">
        <v>119</v>
      </c>
      <c r="AE451" s="85" t="s">
        <v>2030</v>
      </c>
      <c r="AF451" s="85"/>
      <c r="AG451" s="86">
        <v>43297</v>
      </c>
      <c r="AH451" s="85" t="s">
        <v>107</v>
      </c>
      <c r="AI451" s="85"/>
      <c r="AJ451" s="85"/>
      <c r="AK451" s="86">
        <v>43167</v>
      </c>
      <c r="AL451" s="85" t="s">
        <v>107</v>
      </c>
      <c r="AM451" s="85" t="s">
        <v>107</v>
      </c>
      <c r="AN451" s="85"/>
      <c r="AO451" s="86">
        <v>43207</v>
      </c>
      <c r="AP451" s="86">
        <v>43160</v>
      </c>
      <c r="AQ451" s="86">
        <v>42006</v>
      </c>
      <c r="AR451" s="86">
        <v>43160</v>
      </c>
      <c r="AS451" s="86">
        <v>43067</v>
      </c>
      <c r="AT451" s="86">
        <v>43160</v>
      </c>
      <c r="AU451" s="86">
        <v>43160</v>
      </c>
      <c r="AV451" s="86">
        <v>43160</v>
      </c>
      <c r="AW451" s="86">
        <v>43160</v>
      </c>
    </row>
    <row r="452" spans="1:49" x14ac:dyDescent="0.2">
      <c r="A452" s="85" t="s">
        <v>1370</v>
      </c>
      <c r="B452" s="85" t="s">
        <v>1371</v>
      </c>
      <c r="C452" s="85" t="s">
        <v>1372</v>
      </c>
      <c r="D452" s="85" t="s">
        <v>990</v>
      </c>
      <c r="E452" s="85" t="s">
        <v>121</v>
      </c>
      <c r="F452" s="85" t="s">
        <v>106</v>
      </c>
      <c r="G452" s="85" t="s">
        <v>4</v>
      </c>
      <c r="H452" s="85" t="s">
        <v>8</v>
      </c>
      <c r="I452" s="85" t="s">
        <v>107</v>
      </c>
      <c r="J452" s="86">
        <v>43167</v>
      </c>
      <c r="K452" s="86">
        <v>43167</v>
      </c>
      <c r="L452" s="85" t="s">
        <v>107</v>
      </c>
      <c r="M452" s="85" t="s">
        <v>107</v>
      </c>
      <c r="N452" s="85" t="s">
        <v>107</v>
      </c>
      <c r="O452" s="85" t="s">
        <v>107</v>
      </c>
      <c r="P452" s="85" t="s">
        <v>107</v>
      </c>
      <c r="Q452" s="86">
        <v>43532</v>
      </c>
      <c r="R452" s="85" t="s">
        <v>107</v>
      </c>
      <c r="S452" s="85" t="s">
        <v>107</v>
      </c>
      <c r="T452" s="85" t="s">
        <v>107</v>
      </c>
      <c r="U452" s="85" t="s">
        <v>107</v>
      </c>
      <c r="V452" s="85" t="s">
        <v>107</v>
      </c>
      <c r="W452" s="85" t="s">
        <v>107</v>
      </c>
      <c r="X452" s="85" t="s">
        <v>107</v>
      </c>
      <c r="Y452" s="85" t="s">
        <v>107</v>
      </c>
      <c r="Z452" s="85" t="s">
        <v>107</v>
      </c>
      <c r="AA452" s="85" t="s">
        <v>107</v>
      </c>
      <c r="AB452" s="85" t="s">
        <v>107</v>
      </c>
      <c r="AC452" s="85" t="s">
        <v>107</v>
      </c>
      <c r="AD452" s="85" t="s">
        <v>107</v>
      </c>
      <c r="AE452" s="85" t="s">
        <v>107</v>
      </c>
      <c r="AF452" s="85" t="s">
        <v>107</v>
      </c>
      <c r="AG452" s="86">
        <v>43167</v>
      </c>
      <c r="AH452" s="85" t="s">
        <v>107</v>
      </c>
      <c r="AI452" s="85" t="s">
        <v>107</v>
      </c>
      <c r="AJ452" s="85" t="s">
        <v>107</v>
      </c>
      <c r="AK452" s="85" t="s">
        <v>107</v>
      </c>
      <c r="AL452" s="85" t="s">
        <v>107</v>
      </c>
      <c r="AM452" s="85" t="s">
        <v>107</v>
      </c>
      <c r="AN452" s="86">
        <v>43502</v>
      </c>
      <c r="AO452" s="86">
        <v>43209</v>
      </c>
      <c r="AP452" s="86">
        <v>43502</v>
      </c>
      <c r="AQ452" s="86">
        <v>43054</v>
      </c>
      <c r="AR452" s="86">
        <v>43502</v>
      </c>
      <c r="AS452" s="86">
        <v>43502</v>
      </c>
      <c r="AT452" s="86">
        <v>43502</v>
      </c>
      <c r="AU452" s="85" t="s">
        <v>107</v>
      </c>
      <c r="AV452" s="86">
        <v>43502</v>
      </c>
      <c r="AW452" s="86">
        <v>43502</v>
      </c>
    </row>
    <row r="453" spans="1:49" x14ac:dyDescent="0.2">
      <c r="A453" s="85" t="s">
        <v>1373</v>
      </c>
      <c r="B453" s="85" t="s">
        <v>1374</v>
      </c>
      <c r="C453" s="85" t="s">
        <v>1372</v>
      </c>
      <c r="D453" s="85" t="s">
        <v>1375</v>
      </c>
      <c r="E453" s="85" t="s">
        <v>126</v>
      </c>
      <c r="F453" s="85" t="s">
        <v>100</v>
      </c>
      <c r="G453" s="85" t="s">
        <v>4</v>
      </c>
      <c r="H453" s="85" t="s">
        <v>5</v>
      </c>
      <c r="I453" s="86">
        <v>43355</v>
      </c>
      <c r="J453" s="86">
        <v>43167</v>
      </c>
      <c r="K453" s="86">
        <v>43167</v>
      </c>
      <c r="L453" s="85" t="s">
        <v>99</v>
      </c>
      <c r="M453" s="86">
        <v>42791</v>
      </c>
      <c r="N453" s="86">
        <v>42790</v>
      </c>
      <c r="O453" s="86">
        <v>43167</v>
      </c>
      <c r="P453" s="86">
        <v>43305</v>
      </c>
      <c r="Q453" s="86">
        <v>43532</v>
      </c>
      <c r="R453" s="85" t="s">
        <v>1652</v>
      </c>
      <c r="S453" s="86">
        <v>43525</v>
      </c>
      <c r="T453" s="85" t="s">
        <v>1652</v>
      </c>
      <c r="U453" s="85" t="s">
        <v>107</v>
      </c>
      <c r="V453" s="85" t="s">
        <v>107</v>
      </c>
      <c r="W453" s="85" t="s">
        <v>107</v>
      </c>
      <c r="X453" s="85" t="s">
        <v>107</v>
      </c>
      <c r="Y453" s="85" t="s">
        <v>107</v>
      </c>
      <c r="Z453" s="85" t="s">
        <v>107</v>
      </c>
      <c r="AA453" s="85" t="s">
        <v>107</v>
      </c>
      <c r="AB453" s="85" t="s">
        <v>107</v>
      </c>
      <c r="AC453" s="85" t="s">
        <v>107</v>
      </c>
      <c r="AD453" s="85" t="s">
        <v>107</v>
      </c>
      <c r="AE453" s="85" t="s">
        <v>107</v>
      </c>
      <c r="AF453" s="85" t="s">
        <v>107</v>
      </c>
      <c r="AG453" s="86">
        <v>43167</v>
      </c>
      <c r="AH453" s="85" t="s">
        <v>107</v>
      </c>
      <c r="AI453" s="85" t="s">
        <v>107</v>
      </c>
      <c r="AJ453" s="85" t="s">
        <v>107</v>
      </c>
      <c r="AK453" s="86">
        <v>43167</v>
      </c>
      <c r="AL453" s="85" t="s">
        <v>107</v>
      </c>
      <c r="AM453" s="85" t="s">
        <v>107</v>
      </c>
      <c r="AN453" s="86">
        <v>43405</v>
      </c>
      <c r="AO453" s="86">
        <v>43207</v>
      </c>
      <c r="AP453" s="86">
        <v>43160</v>
      </c>
      <c r="AQ453" s="86">
        <v>42795</v>
      </c>
      <c r="AR453" s="86">
        <v>43160</v>
      </c>
      <c r="AS453" s="86">
        <v>43193</v>
      </c>
      <c r="AT453" s="86">
        <v>43160</v>
      </c>
      <c r="AU453" s="86">
        <v>43160</v>
      </c>
      <c r="AV453" s="86">
        <v>43160</v>
      </c>
      <c r="AW453" s="86">
        <v>43160</v>
      </c>
    </row>
    <row r="454" spans="1:49" x14ac:dyDescent="0.2">
      <c r="A454" s="85" t="s">
        <v>1376</v>
      </c>
      <c r="B454" s="85" t="s">
        <v>1377</v>
      </c>
      <c r="C454" s="85" t="s">
        <v>1378</v>
      </c>
      <c r="D454" s="85" t="s">
        <v>226</v>
      </c>
      <c r="E454" s="85" t="s">
        <v>141</v>
      </c>
      <c r="F454" s="85" t="s">
        <v>122</v>
      </c>
      <c r="G454" s="85" t="s">
        <v>4</v>
      </c>
      <c r="H454" s="85" t="s">
        <v>5</v>
      </c>
      <c r="I454" s="86">
        <v>43504</v>
      </c>
      <c r="J454" s="86">
        <v>43167</v>
      </c>
      <c r="K454" s="86">
        <v>43479</v>
      </c>
      <c r="L454" s="85" t="s">
        <v>99</v>
      </c>
      <c r="M454" s="86">
        <v>43010</v>
      </c>
      <c r="N454" s="85" t="s">
        <v>107</v>
      </c>
      <c r="O454" s="86">
        <v>43167</v>
      </c>
      <c r="P454" s="86">
        <v>43186</v>
      </c>
      <c r="Q454" s="86">
        <v>43844</v>
      </c>
      <c r="R454" s="85" t="s">
        <v>1652</v>
      </c>
      <c r="S454" s="86">
        <v>43739</v>
      </c>
      <c r="T454" s="85" t="s">
        <v>1652</v>
      </c>
      <c r="U454" s="86">
        <v>43445</v>
      </c>
      <c r="V454" s="86">
        <v>43646</v>
      </c>
      <c r="W454" s="85" t="s">
        <v>1655</v>
      </c>
      <c r="X454" s="85" t="s">
        <v>114</v>
      </c>
      <c r="Y454" s="85">
        <v>1</v>
      </c>
      <c r="Z454" s="85" t="s">
        <v>119</v>
      </c>
      <c r="AA454" s="85"/>
      <c r="AB454" s="85" t="s">
        <v>114</v>
      </c>
      <c r="AC454" s="85" t="s">
        <v>114</v>
      </c>
      <c r="AD454" s="85" t="s">
        <v>119</v>
      </c>
      <c r="AE454" s="85" t="s">
        <v>1661</v>
      </c>
      <c r="AF454" s="85"/>
      <c r="AG454" s="86">
        <v>43479</v>
      </c>
      <c r="AH454" s="85" t="s">
        <v>107</v>
      </c>
      <c r="AI454" s="85"/>
      <c r="AJ454" s="86">
        <v>43431</v>
      </c>
      <c r="AK454" s="86">
        <v>43167</v>
      </c>
      <c r="AL454" s="85" t="s">
        <v>107</v>
      </c>
      <c r="AM454" s="85" t="s">
        <v>107</v>
      </c>
      <c r="AN454" s="86">
        <v>43467</v>
      </c>
      <c r="AO454" s="86">
        <v>43467</v>
      </c>
      <c r="AP454" s="86">
        <v>43467</v>
      </c>
      <c r="AQ454" s="86">
        <v>43467</v>
      </c>
      <c r="AR454" s="86">
        <v>43467</v>
      </c>
      <c r="AS454" s="86">
        <v>43467</v>
      </c>
      <c r="AT454" s="86">
        <v>43467</v>
      </c>
      <c r="AU454" s="86">
        <v>43467</v>
      </c>
      <c r="AV454" s="86">
        <v>43467</v>
      </c>
      <c r="AW454" s="86">
        <v>43467</v>
      </c>
    </row>
    <row r="455" spans="1:49" x14ac:dyDescent="0.2">
      <c r="A455" s="85" t="s">
        <v>1379</v>
      </c>
      <c r="B455" s="85" t="s">
        <v>1380</v>
      </c>
      <c r="C455" s="85" t="s">
        <v>1381</v>
      </c>
      <c r="D455" s="85" t="s">
        <v>990</v>
      </c>
      <c r="E455" s="85" t="s">
        <v>149</v>
      </c>
      <c r="F455" s="85" t="s">
        <v>113</v>
      </c>
      <c r="G455" s="85" t="s">
        <v>4</v>
      </c>
      <c r="H455" s="85" t="s">
        <v>8</v>
      </c>
      <c r="I455" s="86">
        <v>43457</v>
      </c>
      <c r="J455" s="86">
        <v>43297</v>
      </c>
      <c r="K455" s="86">
        <v>43199</v>
      </c>
      <c r="L455" s="85" t="s">
        <v>99</v>
      </c>
      <c r="M455" s="86">
        <v>43457</v>
      </c>
      <c r="N455" s="85" t="s">
        <v>107</v>
      </c>
      <c r="O455" s="86">
        <v>43469</v>
      </c>
      <c r="P455" s="86">
        <v>43299</v>
      </c>
      <c r="Q455" s="86">
        <v>43564</v>
      </c>
      <c r="R455" s="85" t="s">
        <v>1652</v>
      </c>
      <c r="S455" s="86">
        <v>43586</v>
      </c>
      <c r="T455" s="85" t="s">
        <v>1652</v>
      </c>
      <c r="U455" s="86">
        <v>43265</v>
      </c>
      <c r="V455" s="86">
        <v>43646</v>
      </c>
      <c r="W455" s="85" t="s">
        <v>1653</v>
      </c>
      <c r="X455" s="85" t="s">
        <v>114</v>
      </c>
      <c r="Y455" s="85">
        <v>1</v>
      </c>
      <c r="Z455" s="85" t="s">
        <v>114</v>
      </c>
      <c r="AA455" s="85"/>
      <c r="AB455" s="85" t="s">
        <v>114</v>
      </c>
      <c r="AC455" s="85" t="s">
        <v>114</v>
      </c>
      <c r="AD455" s="85" t="s">
        <v>114</v>
      </c>
      <c r="AE455" s="85"/>
      <c r="AF455" s="85"/>
      <c r="AG455" s="86">
        <v>43469</v>
      </c>
      <c r="AH455" s="85" t="s">
        <v>107</v>
      </c>
      <c r="AI455" s="86">
        <v>42333</v>
      </c>
      <c r="AJ455" s="86">
        <v>43101</v>
      </c>
      <c r="AK455" s="86">
        <v>42962</v>
      </c>
      <c r="AL455" s="85" t="s">
        <v>107</v>
      </c>
      <c r="AM455" s="85" t="s">
        <v>107</v>
      </c>
      <c r="AN455" s="86">
        <v>43375</v>
      </c>
      <c r="AO455" s="86">
        <v>43207</v>
      </c>
      <c r="AP455" s="86">
        <v>43046</v>
      </c>
      <c r="AQ455" s="86">
        <v>42348</v>
      </c>
      <c r="AR455" s="86">
        <v>43187</v>
      </c>
      <c r="AS455" s="86">
        <v>43199</v>
      </c>
      <c r="AT455" s="86">
        <v>43199</v>
      </c>
      <c r="AU455" s="86">
        <v>43187</v>
      </c>
      <c r="AV455" s="86">
        <v>43187</v>
      </c>
      <c r="AW455" s="86">
        <v>43187</v>
      </c>
    </row>
    <row r="456" spans="1:49" x14ac:dyDescent="0.2">
      <c r="A456" s="85" t="s">
        <v>1382</v>
      </c>
      <c r="B456" s="85" t="s">
        <v>1383</v>
      </c>
      <c r="C456" s="85" t="s">
        <v>1384</v>
      </c>
      <c r="D456" s="85" t="s">
        <v>262</v>
      </c>
      <c r="E456" s="85" t="s">
        <v>141</v>
      </c>
      <c r="F456" s="85" t="s">
        <v>113</v>
      </c>
      <c r="G456" s="85" t="s">
        <v>4</v>
      </c>
      <c r="H456" s="85" t="s">
        <v>12</v>
      </c>
      <c r="I456" s="86">
        <v>43456</v>
      </c>
      <c r="J456" s="86">
        <v>43485</v>
      </c>
      <c r="K456" s="86">
        <v>43125</v>
      </c>
      <c r="L456" s="85" t="s">
        <v>99</v>
      </c>
      <c r="M456" s="86">
        <v>43147</v>
      </c>
      <c r="N456" s="85" t="s">
        <v>107</v>
      </c>
      <c r="O456" s="86">
        <v>43121</v>
      </c>
      <c r="P456" s="86">
        <v>43214</v>
      </c>
      <c r="Q456" s="86">
        <v>43490</v>
      </c>
      <c r="R456" s="85" t="s">
        <v>1652</v>
      </c>
      <c r="S456" s="86">
        <v>43525</v>
      </c>
      <c r="T456" s="85" t="s">
        <v>1652</v>
      </c>
      <c r="U456" s="86">
        <v>43336</v>
      </c>
      <c r="V456" s="86">
        <v>43524</v>
      </c>
      <c r="W456" s="85" t="s">
        <v>1655</v>
      </c>
      <c r="X456" s="85" t="s">
        <v>114</v>
      </c>
      <c r="Y456" s="85">
        <v>1</v>
      </c>
      <c r="Z456" s="85" t="s">
        <v>211</v>
      </c>
      <c r="AA456" s="85"/>
      <c r="AB456" s="85" t="s">
        <v>114</v>
      </c>
      <c r="AC456" s="85" t="s">
        <v>114</v>
      </c>
      <c r="AD456" s="85" t="s">
        <v>211</v>
      </c>
      <c r="AE456" s="85" t="s">
        <v>1661</v>
      </c>
      <c r="AF456" s="86">
        <v>43538</v>
      </c>
      <c r="AG456" s="86">
        <v>43178</v>
      </c>
      <c r="AH456" s="85" t="s">
        <v>107</v>
      </c>
      <c r="AI456" s="86">
        <v>42826</v>
      </c>
      <c r="AJ456" s="86">
        <v>43219</v>
      </c>
      <c r="AK456" s="86">
        <v>43199</v>
      </c>
      <c r="AL456" s="85" t="s">
        <v>107</v>
      </c>
      <c r="AM456" s="85" t="s">
        <v>107</v>
      </c>
      <c r="AN456" s="86">
        <v>43376</v>
      </c>
      <c r="AO456" s="86">
        <v>43227</v>
      </c>
      <c r="AP456" s="86">
        <v>43157</v>
      </c>
      <c r="AQ456" s="86">
        <v>42844</v>
      </c>
      <c r="AR456" s="86">
        <v>43125</v>
      </c>
      <c r="AS456" s="86">
        <v>43241</v>
      </c>
      <c r="AT456" s="86">
        <v>43125</v>
      </c>
      <c r="AU456" s="86">
        <v>43125</v>
      </c>
      <c r="AV456" s="86">
        <v>43125</v>
      </c>
      <c r="AW456" s="86">
        <v>43125</v>
      </c>
    </row>
    <row r="457" spans="1:49" x14ac:dyDescent="0.2">
      <c r="A457" s="85" t="s">
        <v>1385</v>
      </c>
      <c r="B457" s="85" t="s">
        <v>1386</v>
      </c>
      <c r="C457" s="85" t="s">
        <v>1387</v>
      </c>
      <c r="D457" s="85" t="s">
        <v>239</v>
      </c>
      <c r="E457" s="85" t="s">
        <v>291</v>
      </c>
      <c r="F457" s="85" t="s">
        <v>100</v>
      </c>
      <c r="G457" s="85" t="s">
        <v>4</v>
      </c>
      <c r="H457" s="85" t="s">
        <v>12</v>
      </c>
      <c r="I457" s="86">
        <v>43370</v>
      </c>
      <c r="J457" s="86">
        <v>43283</v>
      </c>
      <c r="K457" s="86">
        <v>43270</v>
      </c>
      <c r="L457" s="85" t="s">
        <v>99</v>
      </c>
      <c r="M457" s="86">
        <v>43270</v>
      </c>
      <c r="N457" s="86">
        <v>43456</v>
      </c>
      <c r="O457" s="86">
        <v>42696</v>
      </c>
      <c r="P457" s="86">
        <v>43284</v>
      </c>
      <c r="Q457" s="86">
        <v>43490</v>
      </c>
      <c r="R457" s="85" t="s">
        <v>1652</v>
      </c>
      <c r="S457" s="86">
        <v>43525</v>
      </c>
      <c r="T457" s="85" t="s">
        <v>1652</v>
      </c>
      <c r="U457" s="85" t="s">
        <v>107</v>
      </c>
      <c r="V457" s="85" t="s">
        <v>107</v>
      </c>
      <c r="W457" s="85" t="s">
        <v>107</v>
      </c>
      <c r="X457" s="85" t="s">
        <v>107</v>
      </c>
      <c r="Y457" s="85" t="s">
        <v>107</v>
      </c>
      <c r="Z457" s="85" t="s">
        <v>107</v>
      </c>
      <c r="AA457" s="85" t="s">
        <v>107</v>
      </c>
      <c r="AB457" s="85" t="s">
        <v>107</v>
      </c>
      <c r="AC457" s="85" t="s">
        <v>107</v>
      </c>
      <c r="AD457" s="85" t="s">
        <v>107</v>
      </c>
      <c r="AE457" s="85" t="s">
        <v>107</v>
      </c>
      <c r="AF457" s="85" t="s">
        <v>107</v>
      </c>
      <c r="AG457" s="86">
        <v>43178</v>
      </c>
      <c r="AH457" s="85" t="s">
        <v>107</v>
      </c>
      <c r="AI457" s="85" t="s">
        <v>107</v>
      </c>
      <c r="AJ457" s="85" t="s">
        <v>107</v>
      </c>
      <c r="AK457" s="86">
        <v>42116</v>
      </c>
      <c r="AL457" s="85" t="s">
        <v>107</v>
      </c>
      <c r="AM457" s="85" t="s">
        <v>107</v>
      </c>
      <c r="AN457" s="86">
        <v>43376</v>
      </c>
      <c r="AO457" s="86">
        <v>43214</v>
      </c>
      <c r="AP457" s="86">
        <v>43157</v>
      </c>
      <c r="AQ457" s="86">
        <v>41533</v>
      </c>
      <c r="AR457" s="86">
        <v>43122</v>
      </c>
      <c r="AS457" s="86">
        <v>43200</v>
      </c>
      <c r="AT457" s="86">
        <v>43122</v>
      </c>
      <c r="AU457" s="86">
        <v>43122</v>
      </c>
      <c r="AV457" s="86">
        <v>43122</v>
      </c>
      <c r="AW457" s="86">
        <v>43122</v>
      </c>
    </row>
    <row r="458" spans="1:49" x14ac:dyDescent="0.2">
      <c r="A458" s="85" t="s">
        <v>1388</v>
      </c>
      <c r="B458" s="85" t="s">
        <v>1389</v>
      </c>
      <c r="C458" s="85" t="s">
        <v>1390</v>
      </c>
      <c r="D458" s="85" t="s">
        <v>862</v>
      </c>
      <c r="E458" s="85" t="s">
        <v>222</v>
      </c>
      <c r="F458" s="85" t="s">
        <v>122</v>
      </c>
      <c r="G458" s="85" t="s">
        <v>4</v>
      </c>
      <c r="H458" s="85" t="s">
        <v>10</v>
      </c>
      <c r="I458" s="86">
        <v>43497</v>
      </c>
      <c r="J458" s="86">
        <v>43381</v>
      </c>
      <c r="K458" s="86">
        <v>43334</v>
      </c>
      <c r="L458" s="85" t="s">
        <v>99</v>
      </c>
      <c r="M458" s="86">
        <v>42769</v>
      </c>
      <c r="N458" s="85" t="s">
        <v>107</v>
      </c>
      <c r="O458" s="86">
        <v>42709</v>
      </c>
      <c r="P458" s="86">
        <v>43172</v>
      </c>
      <c r="Q458" s="86">
        <v>43392</v>
      </c>
      <c r="R458" s="85" t="s">
        <v>1658</v>
      </c>
      <c r="S458" s="86">
        <v>43617</v>
      </c>
      <c r="T458" s="85" t="s">
        <v>1652</v>
      </c>
      <c r="U458" s="86">
        <v>43399</v>
      </c>
      <c r="V458" s="86">
        <v>43585</v>
      </c>
      <c r="W458" s="85" t="s">
        <v>1657</v>
      </c>
      <c r="X458" s="85" t="s">
        <v>114</v>
      </c>
      <c r="Y458" s="85">
        <v>1</v>
      </c>
      <c r="Z458" s="85" t="s">
        <v>114</v>
      </c>
      <c r="AA458" s="85"/>
      <c r="AB458" s="85" t="s">
        <v>114</v>
      </c>
      <c r="AC458" s="85" t="s">
        <v>114</v>
      </c>
      <c r="AD458" s="85" t="s">
        <v>211</v>
      </c>
      <c r="AE458" s="85" t="s">
        <v>1654</v>
      </c>
      <c r="AF458" s="86">
        <v>43525</v>
      </c>
      <c r="AG458" s="85" t="s">
        <v>59</v>
      </c>
      <c r="AH458" s="85" t="s">
        <v>107</v>
      </c>
      <c r="AI458" s="86">
        <v>43377</v>
      </c>
      <c r="AJ458" s="86">
        <v>43377</v>
      </c>
      <c r="AK458" s="86">
        <v>42769</v>
      </c>
      <c r="AL458" s="85" t="s">
        <v>107</v>
      </c>
      <c r="AM458" s="85" t="s">
        <v>107</v>
      </c>
      <c r="AN458" s="86">
        <v>43403</v>
      </c>
      <c r="AO458" s="85"/>
      <c r="AP458" s="86">
        <v>43048</v>
      </c>
      <c r="AQ458" s="86">
        <v>42788</v>
      </c>
      <c r="AR458" s="86">
        <v>43158</v>
      </c>
      <c r="AS458" s="86">
        <v>43158</v>
      </c>
      <c r="AT458" s="86">
        <v>42788</v>
      </c>
      <c r="AU458" s="86">
        <v>43158</v>
      </c>
      <c r="AV458" s="86">
        <v>43158</v>
      </c>
      <c r="AW458" s="86">
        <v>43158</v>
      </c>
    </row>
    <row r="459" spans="1:49" x14ac:dyDescent="0.2">
      <c r="A459" s="85" t="s">
        <v>1391</v>
      </c>
      <c r="B459" s="85" t="s">
        <v>1392</v>
      </c>
      <c r="C459" s="85" t="s">
        <v>1393</v>
      </c>
      <c r="D459" s="85" t="s">
        <v>1394</v>
      </c>
      <c r="E459" s="85"/>
      <c r="F459" s="85" t="s">
        <v>144</v>
      </c>
      <c r="G459" s="85" t="s">
        <v>4</v>
      </c>
      <c r="H459" s="85" t="s">
        <v>7</v>
      </c>
      <c r="I459" s="86">
        <v>43469</v>
      </c>
      <c r="J459" s="86">
        <v>43502</v>
      </c>
      <c r="K459" s="86">
        <v>43164</v>
      </c>
      <c r="L459" s="85" t="s">
        <v>99</v>
      </c>
      <c r="M459" s="86">
        <v>43240</v>
      </c>
      <c r="N459" s="85" t="s">
        <v>107</v>
      </c>
      <c r="O459" s="86">
        <v>43164</v>
      </c>
      <c r="P459" s="86">
        <v>43213</v>
      </c>
      <c r="Q459" s="86">
        <v>43532</v>
      </c>
      <c r="R459" s="85" t="s">
        <v>1658</v>
      </c>
      <c r="S459" s="86">
        <v>43800</v>
      </c>
      <c r="T459" s="85" t="s">
        <v>1652</v>
      </c>
      <c r="U459" s="86">
        <v>43507</v>
      </c>
      <c r="V459" s="86">
        <v>43890</v>
      </c>
      <c r="W459" s="85" t="s">
        <v>1653</v>
      </c>
      <c r="X459" s="85" t="s">
        <v>114</v>
      </c>
      <c r="Y459" s="85">
        <v>1</v>
      </c>
      <c r="Z459" s="85" t="s">
        <v>114</v>
      </c>
      <c r="AA459" s="85"/>
      <c r="AB459" s="85" t="s">
        <v>114</v>
      </c>
      <c r="AC459" s="85" t="s">
        <v>114</v>
      </c>
      <c r="AD459" s="85" t="s">
        <v>211</v>
      </c>
      <c r="AE459" s="85" t="s">
        <v>2031</v>
      </c>
      <c r="AF459" s="86">
        <v>43525</v>
      </c>
      <c r="AG459" s="86">
        <v>43167</v>
      </c>
      <c r="AH459" s="85" t="s">
        <v>2032</v>
      </c>
      <c r="AI459" s="85"/>
      <c r="AJ459" s="85"/>
      <c r="AK459" s="86">
        <v>43164</v>
      </c>
      <c r="AL459" s="85" t="s">
        <v>107</v>
      </c>
      <c r="AM459" s="85" t="s">
        <v>107</v>
      </c>
      <c r="AN459" s="85"/>
      <c r="AO459" s="86">
        <v>43224</v>
      </c>
      <c r="AP459" s="86">
        <v>43202</v>
      </c>
      <c r="AQ459" s="86">
        <v>43202</v>
      </c>
      <c r="AR459" s="86">
        <v>43202</v>
      </c>
      <c r="AS459" s="86">
        <v>43118</v>
      </c>
      <c r="AT459" s="86">
        <v>43202</v>
      </c>
      <c r="AU459" s="86">
        <v>43202</v>
      </c>
      <c r="AV459" s="86">
        <v>43202</v>
      </c>
      <c r="AW459" s="86">
        <v>43202</v>
      </c>
    </row>
    <row r="460" spans="1:49" x14ac:dyDescent="0.2">
      <c r="A460" s="85" t="s">
        <v>1395</v>
      </c>
      <c r="B460" s="85" t="s">
        <v>1396</v>
      </c>
      <c r="C460" s="85" t="s">
        <v>1393</v>
      </c>
      <c r="D460" s="85" t="s">
        <v>383</v>
      </c>
      <c r="E460" s="85" t="s">
        <v>105</v>
      </c>
      <c r="F460" s="85" t="s">
        <v>113</v>
      </c>
      <c r="G460" s="85" t="s">
        <v>4</v>
      </c>
      <c r="H460" s="85" t="s">
        <v>7</v>
      </c>
      <c r="I460" s="86">
        <v>43481</v>
      </c>
      <c r="J460" s="86">
        <v>43502</v>
      </c>
      <c r="K460" s="86">
        <v>43164</v>
      </c>
      <c r="L460" s="85" t="s">
        <v>99</v>
      </c>
      <c r="M460" s="86">
        <v>43112</v>
      </c>
      <c r="N460" s="85" t="s">
        <v>107</v>
      </c>
      <c r="O460" s="86">
        <v>43164</v>
      </c>
      <c r="P460" s="86">
        <v>43377</v>
      </c>
      <c r="Q460" s="86">
        <v>43532</v>
      </c>
      <c r="R460" s="85" t="s">
        <v>1652</v>
      </c>
      <c r="S460" s="86">
        <v>43647</v>
      </c>
      <c r="T460" s="85" t="s">
        <v>1652</v>
      </c>
      <c r="U460" s="86">
        <v>43507</v>
      </c>
      <c r="V460" s="86">
        <v>43708</v>
      </c>
      <c r="W460" s="85" t="s">
        <v>1655</v>
      </c>
      <c r="X460" s="85" t="s">
        <v>114</v>
      </c>
      <c r="Y460" s="85">
        <v>1</v>
      </c>
      <c r="Z460" s="85" t="s">
        <v>114</v>
      </c>
      <c r="AA460" s="85"/>
      <c r="AB460" s="85" t="s">
        <v>114</v>
      </c>
      <c r="AC460" s="85" t="s">
        <v>114</v>
      </c>
      <c r="AD460" s="85" t="s">
        <v>114</v>
      </c>
      <c r="AE460" s="85"/>
      <c r="AF460" s="85"/>
      <c r="AG460" s="86">
        <v>43167</v>
      </c>
      <c r="AH460" s="85" t="s">
        <v>107</v>
      </c>
      <c r="AI460" s="86">
        <v>42370</v>
      </c>
      <c r="AJ460" s="86">
        <v>43411</v>
      </c>
      <c r="AK460" s="86">
        <v>43164</v>
      </c>
      <c r="AL460" s="85" t="s">
        <v>107</v>
      </c>
      <c r="AM460" s="85" t="s">
        <v>107</v>
      </c>
      <c r="AN460" s="86">
        <v>43398</v>
      </c>
      <c r="AO460" s="86">
        <v>43325</v>
      </c>
      <c r="AP460" s="86">
        <v>43398</v>
      </c>
      <c r="AQ460" s="86">
        <v>41941</v>
      </c>
      <c r="AR460" s="86">
        <v>43398</v>
      </c>
      <c r="AS460" s="86">
        <v>43398</v>
      </c>
      <c r="AT460" s="86">
        <v>43398</v>
      </c>
      <c r="AU460" s="86">
        <v>43398</v>
      </c>
      <c r="AV460" s="86">
        <v>43398</v>
      </c>
      <c r="AW460" s="86">
        <v>43398</v>
      </c>
    </row>
    <row r="461" spans="1:49" x14ac:dyDescent="0.2">
      <c r="A461" s="85" t="s">
        <v>1397</v>
      </c>
      <c r="B461" s="85" t="s">
        <v>1398</v>
      </c>
      <c r="C461" s="85" t="s">
        <v>1399</v>
      </c>
      <c r="D461" s="85" t="s">
        <v>882</v>
      </c>
      <c r="E461" s="85" t="s">
        <v>149</v>
      </c>
      <c r="F461" s="85" t="s">
        <v>144</v>
      </c>
      <c r="G461" s="85" t="s">
        <v>4</v>
      </c>
      <c r="H461" s="85" t="s">
        <v>11</v>
      </c>
      <c r="I461" s="86">
        <v>43473</v>
      </c>
      <c r="J461" s="86">
        <v>43409</v>
      </c>
      <c r="K461" s="86">
        <v>43371</v>
      </c>
      <c r="L461" s="85" t="s">
        <v>99</v>
      </c>
      <c r="M461" s="86">
        <v>43371</v>
      </c>
      <c r="N461" s="85" t="s">
        <v>107</v>
      </c>
      <c r="O461" s="86">
        <v>42973</v>
      </c>
      <c r="P461" s="86">
        <v>43243</v>
      </c>
      <c r="Q461" s="86">
        <v>43352</v>
      </c>
      <c r="R461" s="85" t="s">
        <v>1652</v>
      </c>
      <c r="S461" s="86">
        <v>43891</v>
      </c>
      <c r="T461" s="85" t="s">
        <v>1652</v>
      </c>
      <c r="U461" s="86">
        <v>43356</v>
      </c>
      <c r="V461" s="86">
        <v>43555</v>
      </c>
      <c r="W461" s="85" t="s">
        <v>1655</v>
      </c>
      <c r="X461" s="85" t="s">
        <v>114</v>
      </c>
      <c r="Y461" s="85">
        <v>1</v>
      </c>
      <c r="Z461" s="85" t="s">
        <v>114</v>
      </c>
      <c r="AA461" s="85"/>
      <c r="AB461" s="85" t="s">
        <v>114</v>
      </c>
      <c r="AC461" s="85" t="s">
        <v>114</v>
      </c>
      <c r="AD461" s="85" t="s">
        <v>114</v>
      </c>
      <c r="AE461" s="85"/>
      <c r="AF461" s="85"/>
      <c r="AG461" s="86">
        <v>43518</v>
      </c>
      <c r="AH461" s="85" t="s">
        <v>107</v>
      </c>
      <c r="AI461" s="86">
        <v>41865</v>
      </c>
      <c r="AJ461" s="86">
        <v>43375</v>
      </c>
      <c r="AK461" s="86">
        <v>42111</v>
      </c>
      <c r="AL461" s="85" t="s">
        <v>107</v>
      </c>
      <c r="AM461" s="85" t="s">
        <v>107</v>
      </c>
      <c r="AN461" s="86">
        <v>43375</v>
      </c>
      <c r="AO461" s="86">
        <v>43311</v>
      </c>
      <c r="AP461" s="86">
        <v>43311</v>
      </c>
      <c r="AQ461" s="86">
        <v>43311</v>
      </c>
      <c r="AR461" s="86">
        <v>43311</v>
      </c>
      <c r="AS461" s="86">
        <v>43311</v>
      </c>
      <c r="AT461" s="86">
        <v>43311</v>
      </c>
      <c r="AU461" s="86">
        <v>43311</v>
      </c>
      <c r="AV461" s="86">
        <v>43311</v>
      </c>
      <c r="AW461" s="86">
        <v>43311</v>
      </c>
    </row>
    <row r="462" spans="1:49" x14ac:dyDescent="0.2">
      <c r="A462" s="85" t="s">
        <v>1400</v>
      </c>
      <c r="B462" s="85" t="s">
        <v>1401</v>
      </c>
      <c r="C462" s="85" t="s">
        <v>1402</v>
      </c>
      <c r="D462" s="85" t="s">
        <v>1403</v>
      </c>
      <c r="E462" s="85" t="s">
        <v>291</v>
      </c>
      <c r="F462" s="85" t="s">
        <v>122</v>
      </c>
      <c r="G462" s="85" t="s">
        <v>4</v>
      </c>
      <c r="H462" s="85" t="s">
        <v>8</v>
      </c>
      <c r="I462" s="86">
        <v>43497</v>
      </c>
      <c r="J462" s="86">
        <v>43167</v>
      </c>
      <c r="K462" s="86">
        <v>43167</v>
      </c>
      <c r="L462" s="85" t="s">
        <v>99</v>
      </c>
      <c r="M462" s="86">
        <v>43158</v>
      </c>
      <c r="N462" s="85" t="s">
        <v>107</v>
      </c>
      <c r="O462" s="86">
        <v>43167</v>
      </c>
      <c r="P462" s="86">
        <v>43172</v>
      </c>
      <c r="Q462" s="86">
        <v>43532</v>
      </c>
      <c r="R462" s="85" t="s">
        <v>1652</v>
      </c>
      <c r="S462" s="86">
        <v>43952</v>
      </c>
      <c r="T462" s="85" t="s">
        <v>1652</v>
      </c>
      <c r="U462" s="86">
        <v>43444</v>
      </c>
      <c r="V462" s="86">
        <v>43646</v>
      </c>
      <c r="W462" s="85" t="s">
        <v>1655</v>
      </c>
      <c r="X462" s="85" t="s">
        <v>114</v>
      </c>
      <c r="Y462" s="85">
        <v>1</v>
      </c>
      <c r="Z462" s="85" t="s">
        <v>114</v>
      </c>
      <c r="AA462" s="85"/>
      <c r="AB462" s="85" t="s">
        <v>114</v>
      </c>
      <c r="AC462" s="85" t="s">
        <v>114</v>
      </c>
      <c r="AD462" s="85" t="s">
        <v>114</v>
      </c>
      <c r="AE462" s="85"/>
      <c r="AF462" s="85"/>
      <c r="AG462" s="86">
        <v>43354</v>
      </c>
      <c r="AH462" s="85" t="s">
        <v>107</v>
      </c>
      <c r="AI462" s="86">
        <v>42437</v>
      </c>
      <c r="AJ462" s="86">
        <v>43176</v>
      </c>
      <c r="AK462" s="86">
        <v>43167</v>
      </c>
      <c r="AL462" s="85" t="s">
        <v>107</v>
      </c>
      <c r="AM462" s="85" t="s">
        <v>107</v>
      </c>
      <c r="AN462" s="86">
        <v>43405</v>
      </c>
      <c r="AO462" s="86">
        <v>43209</v>
      </c>
      <c r="AP462" s="86">
        <v>43125</v>
      </c>
      <c r="AQ462" s="86">
        <v>43125</v>
      </c>
      <c r="AR462" s="86">
        <v>43125</v>
      </c>
      <c r="AS462" s="86">
        <v>43160</v>
      </c>
      <c r="AT462" s="86">
        <v>43125</v>
      </c>
      <c r="AU462" s="86">
        <v>43125</v>
      </c>
      <c r="AV462" s="86">
        <v>43125</v>
      </c>
      <c r="AW462" s="86">
        <v>43125</v>
      </c>
    </row>
    <row r="463" spans="1:49" x14ac:dyDescent="0.2">
      <c r="A463" s="85" t="s">
        <v>1404</v>
      </c>
      <c r="B463" s="85" t="s">
        <v>1405</v>
      </c>
      <c r="C463" s="85" t="s">
        <v>1406</v>
      </c>
      <c r="D463" s="85" t="s">
        <v>1407</v>
      </c>
      <c r="E463" s="85" t="s">
        <v>231</v>
      </c>
      <c r="F463" s="85" t="s">
        <v>257</v>
      </c>
      <c r="G463" s="85" t="s">
        <v>4</v>
      </c>
      <c r="H463" s="85" t="s">
        <v>12</v>
      </c>
      <c r="I463" s="86">
        <v>43451</v>
      </c>
      <c r="J463" s="86">
        <v>43509</v>
      </c>
      <c r="K463" s="86">
        <v>43168</v>
      </c>
      <c r="L463" s="85" t="s">
        <v>99</v>
      </c>
      <c r="M463" s="86">
        <v>42852</v>
      </c>
      <c r="N463" s="85" t="s">
        <v>107</v>
      </c>
      <c r="O463" s="86">
        <v>42849</v>
      </c>
      <c r="P463" s="86">
        <v>43227</v>
      </c>
      <c r="Q463" s="86">
        <v>43214</v>
      </c>
      <c r="R463" s="85" t="s">
        <v>1658</v>
      </c>
      <c r="S463" s="86">
        <v>44470</v>
      </c>
      <c r="T463" s="85" t="s">
        <v>1652</v>
      </c>
      <c r="U463" s="86">
        <v>43500</v>
      </c>
      <c r="V463" s="86">
        <v>43708</v>
      </c>
      <c r="W463" s="85" t="s">
        <v>1655</v>
      </c>
      <c r="X463" s="85" t="s">
        <v>114</v>
      </c>
      <c r="Y463" s="85">
        <v>1</v>
      </c>
      <c r="Z463" s="85" t="s">
        <v>114</v>
      </c>
      <c r="AA463" s="85"/>
      <c r="AB463" s="85" t="s">
        <v>114</v>
      </c>
      <c r="AC463" s="85" t="s">
        <v>114</v>
      </c>
      <c r="AD463" s="85" t="s">
        <v>114</v>
      </c>
      <c r="AE463" s="85"/>
      <c r="AF463" s="85"/>
      <c r="AG463" s="85" t="s">
        <v>59</v>
      </c>
      <c r="AH463" s="85" t="s">
        <v>107</v>
      </c>
      <c r="AI463" s="86">
        <v>41852</v>
      </c>
      <c r="AJ463" s="86">
        <v>43219</v>
      </c>
      <c r="AK463" s="86">
        <v>42112</v>
      </c>
      <c r="AL463" s="85" t="s">
        <v>107</v>
      </c>
      <c r="AM463" s="85" t="s">
        <v>107</v>
      </c>
      <c r="AN463" s="85"/>
      <c r="AO463" s="86">
        <v>43213</v>
      </c>
      <c r="AP463" s="86">
        <v>43157</v>
      </c>
      <c r="AQ463" s="86">
        <v>43157</v>
      </c>
      <c r="AR463" s="86">
        <v>43157</v>
      </c>
      <c r="AS463" s="86">
        <v>43186</v>
      </c>
      <c r="AT463" s="86">
        <v>43157</v>
      </c>
      <c r="AU463" s="86">
        <v>43157</v>
      </c>
      <c r="AV463" s="86">
        <v>43157</v>
      </c>
      <c r="AW463" s="86">
        <v>43157</v>
      </c>
    </row>
    <row r="464" spans="1:49" x14ac:dyDescent="0.2">
      <c r="A464" s="85" t="s">
        <v>1408</v>
      </c>
      <c r="B464" s="85" t="s">
        <v>1409</v>
      </c>
      <c r="C464" s="85" t="s">
        <v>1410</v>
      </c>
      <c r="D464" s="85" t="s">
        <v>1411</v>
      </c>
      <c r="E464" s="85" t="s">
        <v>291</v>
      </c>
      <c r="F464" s="85" t="s">
        <v>122</v>
      </c>
      <c r="G464" s="85" t="s">
        <v>4</v>
      </c>
      <c r="H464" s="85" t="s">
        <v>13</v>
      </c>
      <c r="I464" s="86">
        <v>43199</v>
      </c>
      <c r="J464" s="86">
        <v>43505</v>
      </c>
      <c r="K464" s="86">
        <v>43137</v>
      </c>
      <c r="L464" s="85" t="s">
        <v>99</v>
      </c>
      <c r="M464" s="86">
        <v>43138</v>
      </c>
      <c r="N464" s="85" t="s">
        <v>107</v>
      </c>
      <c r="O464" s="86">
        <v>43199</v>
      </c>
      <c r="P464" s="86">
        <v>43158</v>
      </c>
      <c r="Q464" s="86">
        <v>43564</v>
      </c>
      <c r="R464" s="85" t="s">
        <v>1652</v>
      </c>
      <c r="S464" s="86">
        <v>43891</v>
      </c>
      <c r="T464" s="85" t="s">
        <v>1652</v>
      </c>
      <c r="U464" s="86">
        <v>43307</v>
      </c>
      <c r="V464" s="86">
        <v>43677</v>
      </c>
      <c r="W464" s="85" t="s">
        <v>1653</v>
      </c>
      <c r="X464" s="85" t="s">
        <v>114</v>
      </c>
      <c r="Y464" s="85">
        <v>1</v>
      </c>
      <c r="Z464" s="85" t="s">
        <v>114</v>
      </c>
      <c r="AA464" s="85"/>
      <c r="AB464" s="85" t="s">
        <v>114</v>
      </c>
      <c r="AC464" s="85" t="s">
        <v>114</v>
      </c>
      <c r="AD464" s="85" t="s">
        <v>114</v>
      </c>
      <c r="AE464" s="85"/>
      <c r="AF464" s="85"/>
      <c r="AG464" s="86">
        <v>43168</v>
      </c>
      <c r="AH464" s="85" t="s">
        <v>107</v>
      </c>
      <c r="AI464" s="86">
        <v>43201</v>
      </c>
      <c r="AJ464" s="86">
        <v>43201</v>
      </c>
      <c r="AK464" s="86">
        <v>43137</v>
      </c>
      <c r="AL464" s="85" t="s">
        <v>107</v>
      </c>
      <c r="AM464" s="85" t="s">
        <v>107</v>
      </c>
      <c r="AN464" s="86">
        <v>43507</v>
      </c>
      <c r="AO464" s="86">
        <v>43207</v>
      </c>
      <c r="AP464" s="86">
        <v>43507</v>
      </c>
      <c r="AQ464" s="86">
        <v>43139</v>
      </c>
      <c r="AR464" s="86">
        <v>43507</v>
      </c>
      <c r="AS464" s="86">
        <v>43507</v>
      </c>
      <c r="AT464" s="86">
        <v>43507</v>
      </c>
      <c r="AU464" s="86">
        <v>43507</v>
      </c>
      <c r="AV464" s="86">
        <v>43507</v>
      </c>
      <c r="AW464" s="86">
        <v>43507</v>
      </c>
    </row>
    <row r="465" spans="1:49" x14ac:dyDescent="0.2">
      <c r="A465" s="85" t="s">
        <v>1412</v>
      </c>
      <c r="B465" s="85" t="s">
        <v>1413</v>
      </c>
      <c r="C465" s="85" t="s">
        <v>1414</v>
      </c>
      <c r="D465" s="85" t="s">
        <v>379</v>
      </c>
      <c r="E465" s="85" t="s">
        <v>119</v>
      </c>
      <c r="F465" s="85" t="s">
        <v>106</v>
      </c>
      <c r="G465" s="85" t="s">
        <v>4</v>
      </c>
      <c r="H465" s="85" t="s">
        <v>5</v>
      </c>
      <c r="I465" s="85" t="s">
        <v>107</v>
      </c>
      <c r="J465" s="86">
        <v>43238</v>
      </c>
      <c r="K465" s="86">
        <v>43434</v>
      </c>
      <c r="L465" s="85" t="s">
        <v>107</v>
      </c>
      <c r="M465" s="85" t="s">
        <v>107</v>
      </c>
      <c r="N465" s="85" t="s">
        <v>107</v>
      </c>
      <c r="O465" s="85" t="s">
        <v>107</v>
      </c>
      <c r="P465" s="85" t="s">
        <v>107</v>
      </c>
      <c r="Q465" s="86">
        <v>43847</v>
      </c>
      <c r="R465" s="85" t="s">
        <v>107</v>
      </c>
      <c r="S465" s="85" t="s">
        <v>107</v>
      </c>
      <c r="T465" s="85" t="s">
        <v>107</v>
      </c>
      <c r="U465" s="85" t="s">
        <v>107</v>
      </c>
      <c r="V465" s="85" t="s">
        <v>107</v>
      </c>
      <c r="W465" s="85" t="s">
        <v>107</v>
      </c>
      <c r="X465" s="85" t="s">
        <v>107</v>
      </c>
      <c r="Y465" s="85" t="s">
        <v>107</v>
      </c>
      <c r="Z465" s="85" t="s">
        <v>107</v>
      </c>
      <c r="AA465" s="85" t="s">
        <v>107</v>
      </c>
      <c r="AB465" s="85" t="s">
        <v>107</v>
      </c>
      <c r="AC465" s="85" t="s">
        <v>107</v>
      </c>
      <c r="AD465" s="85" t="s">
        <v>107</v>
      </c>
      <c r="AE465" s="85" t="s">
        <v>107</v>
      </c>
      <c r="AF465" s="85" t="s">
        <v>107</v>
      </c>
      <c r="AG465" s="86">
        <v>43238</v>
      </c>
      <c r="AH465" s="85" t="s">
        <v>107</v>
      </c>
      <c r="AI465" s="85" t="s">
        <v>107</v>
      </c>
      <c r="AJ465" s="85" t="s">
        <v>107</v>
      </c>
      <c r="AK465" s="85" t="s">
        <v>107</v>
      </c>
      <c r="AL465" s="85" t="s">
        <v>107</v>
      </c>
      <c r="AM465" s="85" t="s">
        <v>107</v>
      </c>
      <c r="AN465" s="86">
        <v>43375</v>
      </c>
      <c r="AO465" s="86">
        <v>43235</v>
      </c>
      <c r="AP465" s="86">
        <v>43235</v>
      </c>
      <c r="AQ465" s="86">
        <v>43235</v>
      </c>
      <c r="AR465" s="86">
        <v>43235</v>
      </c>
      <c r="AS465" s="86">
        <v>43235</v>
      </c>
      <c r="AT465" s="86">
        <v>43235</v>
      </c>
      <c r="AU465" s="86" t="s">
        <v>107</v>
      </c>
      <c r="AV465" s="86">
        <v>43235</v>
      </c>
      <c r="AW465" s="86">
        <v>43235</v>
      </c>
    </row>
    <row r="466" spans="1:49" x14ac:dyDescent="0.2">
      <c r="A466" s="85" t="s">
        <v>1415</v>
      </c>
      <c r="B466" s="85" t="s">
        <v>1416</v>
      </c>
      <c r="C466" s="85" t="s">
        <v>1417</v>
      </c>
      <c r="D466" s="85" t="s">
        <v>180</v>
      </c>
      <c r="E466" s="85" t="s">
        <v>149</v>
      </c>
      <c r="F466" s="85" t="s">
        <v>106</v>
      </c>
      <c r="G466" s="85" t="s">
        <v>4</v>
      </c>
      <c r="H466" s="85" t="s">
        <v>12</v>
      </c>
      <c r="I466" s="85" t="s">
        <v>107</v>
      </c>
      <c r="J466" s="86">
        <v>43250</v>
      </c>
      <c r="K466" s="86">
        <v>43250</v>
      </c>
      <c r="L466" s="85" t="s">
        <v>107</v>
      </c>
      <c r="M466" s="85" t="s">
        <v>107</v>
      </c>
      <c r="N466" s="85" t="s">
        <v>107</v>
      </c>
      <c r="O466" s="85" t="s">
        <v>107</v>
      </c>
      <c r="P466" s="85" t="s">
        <v>107</v>
      </c>
      <c r="Q466" s="86">
        <v>43847</v>
      </c>
      <c r="R466" s="85" t="s">
        <v>107</v>
      </c>
      <c r="S466" s="85" t="s">
        <v>107</v>
      </c>
      <c r="T466" s="85" t="s">
        <v>107</v>
      </c>
      <c r="U466" s="85" t="s">
        <v>107</v>
      </c>
      <c r="V466" s="85" t="s">
        <v>107</v>
      </c>
      <c r="W466" s="85" t="s">
        <v>107</v>
      </c>
      <c r="X466" s="85" t="s">
        <v>107</v>
      </c>
      <c r="Y466" s="85" t="s">
        <v>107</v>
      </c>
      <c r="Z466" s="85" t="s">
        <v>107</v>
      </c>
      <c r="AA466" s="85" t="s">
        <v>107</v>
      </c>
      <c r="AB466" s="85" t="s">
        <v>107</v>
      </c>
      <c r="AC466" s="85" t="s">
        <v>107</v>
      </c>
      <c r="AD466" s="85" t="s">
        <v>107</v>
      </c>
      <c r="AE466" s="85" t="s">
        <v>107</v>
      </c>
      <c r="AF466" s="85" t="s">
        <v>107</v>
      </c>
      <c r="AG466" s="86">
        <v>43178</v>
      </c>
      <c r="AH466" s="85" t="s">
        <v>107</v>
      </c>
      <c r="AI466" s="85" t="s">
        <v>107</v>
      </c>
      <c r="AJ466" s="85" t="s">
        <v>107</v>
      </c>
      <c r="AK466" s="85" t="s">
        <v>107</v>
      </c>
      <c r="AL466" s="85" t="s">
        <v>107</v>
      </c>
      <c r="AM466" s="85" t="s">
        <v>107</v>
      </c>
      <c r="AN466" s="86">
        <v>43480</v>
      </c>
      <c r="AO466" s="86">
        <v>43213</v>
      </c>
      <c r="AP466" s="86">
        <v>43480</v>
      </c>
      <c r="AQ466" s="86">
        <v>41533</v>
      </c>
      <c r="AR466" s="86">
        <v>43480</v>
      </c>
      <c r="AS466" s="86">
        <v>43480</v>
      </c>
      <c r="AT466" s="86">
        <v>43480</v>
      </c>
      <c r="AU466" s="85" t="s">
        <v>107</v>
      </c>
      <c r="AV466" s="86">
        <v>43480</v>
      </c>
      <c r="AW466" s="86">
        <v>43480</v>
      </c>
    </row>
    <row r="467" spans="1:49" x14ac:dyDescent="0.2">
      <c r="A467" s="85" t="s">
        <v>1418</v>
      </c>
      <c r="B467" s="85" t="s">
        <v>1419</v>
      </c>
      <c r="C467" s="85" t="s">
        <v>1420</v>
      </c>
      <c r="D467" s="85" t="s">
        <v>1421</v>
      </c>
      <c r="E467" s="85" t="s">
        <v>114</v>
      </c>
      <c r="F467" s="85" t="s">
        <v>106</v>
      </c>
      <c r="G467" s="85" t="s">
        <v>4</v>
      </c>
      <c r="H467" s="85" t="s">
        <v>12</v>
      </c>
      <c r="I467" s="85" t="s">
        <v>107</v>
      </c>
      <c r="J467" s="86">
        <v>43125</v>
      </c>
      <c r="K467" s="86">
        <v>43125</v>
      </c>
      <c r="L467" s="85" t="s">
        <v>107</v>
      </c>
      <c r="M467" s="85" t="s">
        <v>107</v>
      </c>
      <c r="N467" s="85" t="s">
        <v>107</v>
      </c>
      <c r="O467" s="85" t="s">
        <v>107</v>
      </c>
      <c r="P467" s="85" t="s">
        <v>107</v>
      </c>
      <c r="Q467" s="86">
        <v>43490</v>
      </c>
      <c r="R467" s="85" t="s">
        <v>107</v>
      </c>
      <c r="S467" s="85" t="s">
        <v>107</v>
      </c>
      <c r="T467" s="85" t="s">
        <v>107</v>
      </c>
      <c r="U467" s="85" t="s">
        <v>107</v>
      </c>
      <c r="V467" s="85" t="s">
        <v>107</v>
      </c>
      <c r="W467" s="85" t="s">
        <v>107</v>
      </c>
      <c r="X467" s="85" t="s">
        <v>107</v>
      </c>
      <c r="Y467" s="85" t="s">
        <v>107</v>
      </c>
      <c r="Z467" s="85" t="s">
        <v>107</v>
      </c>
      <c r="AA467" s="85" t="s">
        <v>107</v>
      </c>
      <c r="AB467" s="85" t="s">
        <v>107</v>
      </c>
      <c r="AC467" s="85" t="s">
        <v>107</v>
      </c>
      <c r="AD467" s="85" t="s">
        <v>107</v>
      </c>
      <c r="AE467" s="85" t="s">
        <v>107</v>
      </c>
      <c r="AF467" s="85" t="s">
        <v>107</v>
      </c>
      <c r="AG467" s="86">
        <v>43513</v>
      </c>
      <c r="AH467" s="85" t="s">
        <v>107</v>
      </c>
      <c r="AI467" s="85" t="s">
        <v>107</v>
      </c>
      <c r="AJ467" s="85" t="s">
        <v>107</v>
      </c>
      <c r="AK467" s="85" t="s">
        <v>107</v>
      </c>
      <c r="AL467" s="85" t="s">
        <v>107</v>
      </c>
      <c r="AM467" s="85" t="s">
        <v>107</v>
      </c>
      <c r="AN467" s="86">
        <v>43376</v>
      </c>
      <c r="AO467" s="86">
        <v>43213</v>
      </c>
      <c r="AP467" s="86">
        <v>43157</v>
      </c>
      <c r="AQ467" s="86">
        <v>42587</v>
      </c>
      <c r="AR467" s="86">
        <v>43125</v>
      </c>
      <c r="AS467" s="86">
        <v>43010</v>
      </c>
      <c r="AT467" s="86">
        <v>43125</v>
      </c>
      <c r="AU467" s="85" t="s">
        <v>107</v>
      </c>
      <c r="AV467" s="86">
        <v>43125</v>
      </c>
      <c r="AW467" s="86">
        <v>43125</v>
      </c>
    </row>
    <row r="468" spans="1:49" x14ac:dyDescent="0.2">
      <c r="A468" s="85" t="s">
        <v>1422</v>
      </c>
      <c r="B468" s="85" t="s">
        <v>1423</v>
      </c>
      <c r="C468" s="85" t="s">
        <v>1424</v>
      </c>
      <c r="D468" s="85" t="s">
        <v>1425</v>
      </c>
      <c r="E468" s="85" t="s">
        <v>823</v>
      </c>
      <c r="F468" s="85" t="s">
        <v>122</v>
      </c>
      <c r="G468" s="85" t="s">
        <v>4</v>
      </c>
      <c r="H468" s="85" t="s">
        <v>5</v>
      </c>
      <c r="I468" s="86">
        <v>43491</v>
      </c>
      <c r="J468" s="86">
        <v>43506</v>
      </c>
      <c r="K468" s="86">
        <v>43167</v>
      </c>
      <c r="L468" s="85" t="s">
        <v>99</v>
      </c>
      <c r="M468" s="86">
        <v>42761</v>
      </c>
      <c r="N468" s="85" t="s">
        <v>107</v>
      </c>
      <c r="O468" s="86">
        <v>43167</v>
      </c>
      <c r="P468" s="86">
        <v>43377</v>
      </c>
      <c r="Q468" s="86">
        <v>43532</v>
      </c>
      <c r="R468" s="85" t="s">
        <v>1652</v>
      </c>
      <c r="S468" s="86">
        <v>43739</v>
      </c>
      <c r="T468" s="85" t="s">
        <v>1652</v>
      </c>
      <c r="U468" s="86">
        <v>43293</v>
      </c>
      <c r="V468" s="86">
        <v>43677</v>
      </c>
      <c r="W468" s="85" t="s">
        <v>1653</v>
      </c>
      <c r="X468" s="85" t="s">
        <v>114</v>
      </c>
      <c r="Y468" s="85">
        <v>2</v>
      </c>
      <c r="Z468" s="85" t="s">
        <v>114</v>
      </c>
      <c r="AA468" s="85"/>
      <c r="AB468" s="85" t="s">
        <v>114</v>
      </c>
      <c r="AC468" s="85" t="s">
        <v>114</v>
      </c>
      <c r="AD468" s="85" t="s">
        <v>114</v>
      </c>
      <c r="AE468" s="85"/>
      <c r="AF468" s="85"/>
      <c r="AG468" s="86">
        <v>43171</v>
      </c>
      <c r="AH468" s="85" t="s">
        <v>2000</v>
      </c>
      <c r="AI468" s="85"/>
      <c r="AJ468" s="86">
        <v>43431</v>
      </c>
      <c r="AK468" s="86">
        <v>43167</v>
      </c>
      <c r="AL468" s="85" t="s">
        <v>107</v>
      </c>
      <c r="AM468" s="85" t="s">
        <v>107</v>
      </c>
      <c r="AN468" s="86">
        <v>43375</v>
      </c>
      <c r="AO468" s="86">
        <v>43207</v>
      </c>
      <c r="AP468" s="86">
        <v>43160</v>
      </c>
      <c r="AQ468" s="86">
        <v>42738</v>
      </c>
      <c r="AR468" s="86">
        <v>43171</v>
      </c>
      <c r="AS468" s="86">
        <v>43213</v>
      </c>
      <c r="AT468" s="86">
        <v>43171</v>
      </c>
      <c r="AU468" s="86">
        <v>43171</v>
      </c>
      <c r="AV468" s="86">
        <v>43171</v>
      </c>
      <c r="AW468" s="86">
        <v>43171</v>
      </c>
    </row>
    <row r="469" spans="1:49" x14ac:dyDescent="0.2">
      <c r="A469" s="85" t="s">
        <v>1426</v>
      </c>
      <c r="B469" s="85" t="s">
        <v>1427</v>
      </c>
      <c r="C469" s="85" t="s">
        <v>1428</v>
      </c>
      <c r="D469" s="85" t="s">
        <v>532</v>
      </c>
      <c r="E469" s="85" t="s">
        <v>158</v>
      </c>
      <c r="F469" s="85" t="s">
        <v>122</v>
      </c>
      <c r="G469" s="85" t="s">
        <v>4</v>
      </c>
      <c r="H469" s="85" t="s">
        <v>12</v>
      </c>
      <c r="I469" s="86">
        <v>43432</v>
      </c>
      <c r="J469" s="86">
        <v>43419</v>
      </c>
      <c r="K469" s="86">
        <v>43482</v>
      </c>
      <c r="L469" s="85" t="s">
        <v>99</v>
      </c>
      <c r="M469" s="86">
        <v>42753</v>
      </c>
      <c r="N469" s="85" t="s">
        <v>107</v>
      </c>
      <c r="O469" s="86">
        <v>42753</v>
      </c>
      <c r="P469" s="86">
        <v>43243</v>
      </c>
      <c r="Q469" s="86">
        <v>43490</v>
      </c>
      <c r="R469" s="85" t="s">
        <v>1652</v>
      </c>
      <c r="S469" s="86">
        <v>43770</v>
      </c>
      <c r="T469" s="85" t="s">
        <v>1652</v>
      </c>
      <c r="U469" s="86">
        <v>43410</v>
      </c>
      <c r="V469" s="86">
        <v>43616</v>
      </c>
      <c r="W469" s="85" t="s">
        <v>1655</v>
      </c>
      <c r="X469" s="85" t="s">
        <v>114</v>
      </c>
      <c r="Y469" s="85">
        <v>1</v>
      </c>
      <c r="Z469" s="85" t="s">
        <v>114</v>
      </c>
      <c r="AA469" s="85"/>
      <c r="AB469" s="85" t="s">
        <v>211</v>
      </c>
      <c r="AC469" s="85" t="s">
        <v>114</v>
      </c>
      <c r="AD469" s="85" t="s">
        <v>211</v>
      </c>
      <c r="AE469" s="85" t="s">
        <v>2033</v>
      </c>
      <c r="AF469" s="86">
        <v>43525</v>
      </c>
      <c r="AG469" s="86">
        <v>43174</v>
      </c>
      <c r="AH469" s="85" t="s">
        <v>107</v>
      </c>
      <c r="AI469" s="86">
        <v>42828</v>
      </c>
      <c r="AJ469" s="86">
        <v>43396</v>
      </c>
      <c r="AK469" s="86">
        <v>42744</v>
      </c>
      <c r="AL469" s="85" t="s">
        <v>107</v>
      </c>
      <c r="AM469" s="85" t="s">
        <v>107</v>
      </c>
      <c r="AN469" s="86">
        <v>43480</v>
      </c>
      <c r="AO469" s="86">
        <v>43215</v>
      </c>
      <c r="AP469" s="86">
        <v>43480</v>
      </c>
      <c r="AQ469" s="86">
        <v>42738</v>
      </c>
      <c r="AR469" s="86">
        <v>43480</v>
      </c>
      <c r="AS469" s="86">
        <v>43480</v>
      </c>
      <c r="AT469" s="86">
        <v>43480</v>
      </c>
      <c r="AU469" s="86">
        <v>43480</v>
      </c>
      <c r="AV469" s="86">
        <v>43480</v>
      </c>
      <c r="AW469" s="86">
        <v>43480</v>
      </c>
    </row>
    <row r="470" spans="1:49" x14ac:dyDescent="0.2">
      <c r="A470" s="85" t="s">
        <v>1429</v>
      </c>
      <c r="B470" s="85" t="s">
        <v>1430</v>
      </c>
      <c r="C470" s="85" t="s">
        <v>1431</v>
      </c>
      <c r="D470" s="85" t="s">
        <v>1432</v>
      </c>
      <c r="E470" s="85" t="s">
        <v>141</v>
      </c>
      <c r="F470" s="85" t="s">
        <v>172</v>
      </c>
      <c r="G470" s="85" t="s">
        <v>4</v>
      </c>
      <c r="H470" s="85" t="s">
        <v>11</v>
      </c>
      <c r="I470" s="86">
        <v>43451</v>
      </c>
      <c r="J470" s="86">
        <v>43474</v>
      </c>
      <c r="K470" s="86">
        <v>43129</v>
      </c>
      <c r="L470" s="85" t="s">
        <v>99</v>
      </c>
      <c r="M470" s="86">
        <v>43474</v>
      </c>
      <c r="N470" s="85" t="s">
        <v>107</v>
      </c>
      <c r="O470" s="86">
        <v>43129</v>
      </c>
      <c r="P470" s="86">
        <v>43305</v>
      </c>
      <c r="Q470" s="86">
        <v>43679</v>
      </c>
      <c r="R470" s="85" t="s">
        <v>1652</v>
      </c>
      <c r="S470" s="86">
        <v>43922</v>
      </c>
      <c r="T470" s="85" t="s">
        <v>1652</v>
      </c>
      <c r="U470" s="86">
        <v>43360</v>
      </c>
      <c r="V470" s="86">
        <v>43738</v>
      </c>
      <c r="W470" s="85" t="s">
        <v>1653</v>
      </c>
      <c r="X470" s="85" t="s">
        <v>114</v>
      </c>
      <c r="Y470" s="85">
        <v>1</v>
      </c>
      <c r="Z470" s="85" t="s">
        <v>114</v>
      </c>
      <c r="AA470" s="85"/>
      <c r="AB470" s="85" t="s">
        <v>114</v>
      </c>
      <c r="AC470" s="85" t="s">
        <v>114</v>
      </c>
      <c r="AD470" s="85" t="s">
        <v>114</v>
      </c>
      <c r="AE470" s="85"/>
      <c r="AF470" s="85"/>
      <c r="AG470" s="86">
        <v>43284</v>
      </c>
      <c r="AH470" s="85" t="s">
        <v>2034</v>
      </c>
      <c r="AI470" s="85"/>
      <c r="AJ470" s="85"/>
      <c r="AK470" s="86">
        <v>42496</v>
      </c>
      <c r="AL470" s="85" t="s">
        <v>107</v>
      </c>
      <c r="AM470" s="85" t="s">
        <v>107</v>
      </c>
      <c r="AN470" s="86">
        <v>43474</v>
      </c>
      <c r="AO470" s="86">
        <v>43300</v>
      </c>
      <c r="AP470" s="86">
        <v>43474</v>
      </c>
      <c r="AQ470" s="86">
        <v>42886</v>
      </c>
      <c r="AR470" s="86">
        <v>43474</v>
      </c>
      <c r="AS470" s="86">
        <v>43474</v>
      </c>
      <c r="AT470" s="86">
        <v>43474</v>
      </c>
      <c r="AU470" s="86">
        <v>43474</v>
      </c>
      <c r="AV470" s="86">
        <v>43474</v>
      </c>
      <c r="AW470" s="86">
        <v>43474</v>
      </c>
    </row>
    <row r="471" spans="1:49" x14ac:dyDescent="0.2">
      <c r="A471" s="85" t="s">
        <v>1433</v>
      </c>
      <c r="B471" s="85" t="s">
        <v>1434</v>
      </c>
      <c r="C471" s="85" t="s">
        <v>1435</v>
      </c>
      <c r="D471" s="85" t="s">
        <v>1436</v>
      </c>
      <c r="E471" s="85" t="s">
        <v>222</v>
      </c>
      <c r="F471" s="85" t="s">
        <v>106</v>
      </c>
      <c r="G471" s="85" t="s">
        <v>4</v>
      </c>
      <c r="H471" s="85" t="s">
        <v>7</v>
      </c>
      <c r="I471" s="85" t="s">
        <v>107</v>
      </c>
      <c r="J471" s="86">
        <v>43167</v>
      </c>
      <c r="K471" s="86">
        <v>43254</v>
      </c>
      <c r="L471" s="85" t="s">
        <v>107</v>
      </c>
      <c r="M471" s="85" t="s">
        <v>107</v>
      </c>
      <c r="N471" s="85" t="s">
        <v>107</v>
      </c>
      <c r="O471" s="85" t="s">
        <v>107</v>
      </c>
      <c r="P471" s="85" t="s">
        <v>107</v>
      </c>
      <c r="Q471" s="85" t="s">
        <v>59</v>
      </c>
      <c r="R471" s="85" t="s">
        <v>107</v>
      </c>
      <c r="S471" s="85" t="s">
        <v>107</v>
      </c>
      <c r="T471" s="85" t="s">
        <v>107</v>
      </c>
      <c r="U471" s="85" t="s">
        <v>107</v>
      </c>
      <c r="V471" s="85" t="s">
        <v>107</v>
      </c>
      <c r="W471" s="85" t="s">
        <v>107</v>
      </c>
      <c r="X471" s="85" t="s">
        <v>107</v>
      </c>
      <c r="Y471" s="85" t="s">
        <v>107</v>
      </c>
      <c r="Z471" s="85" t="s">
        <v>107</v>
      </c>
      <c r="AA471" s="85" t="s">
        <v>107</v>
      </c>
      <c r="AB471" s="85" t="s">
        <v>107</v>
      </c>
      <c r="AC471" s="85" t="s">
        <v>107</v>
      </c>
      <c r="AD471" s="85" t="s">
        <v>107</v>
      </c>
      <c r="AE471" s="85" t="s">
        <v>107</v>
      </c>
      <c r="AF471" s="85" t="s">
        <v>107</v>
      </c>
      <c r="AG471" s="86">
        <v>43271</v>
      </c>
      <c r="AH471" s="85" t="s">
        <v>107</v>
      </c>
      <c r="AI471" s="85" t="s">
        <v>107</v>
      </c>
      <c r="AJ471" s="85" t="s">
        <v>107</v>
      </c>
      <c r="AK471" s="85" t="s">
        <v>107</v>
      </c>
      <c r="AL471" s="85" t="s">
        <v>107</v>
      </c>
      <c r="AM471" s="85" t="s">
        <v>107</v>
      </c>
      <c r="AN471" s="86">
        <v>43398</v>
      </c>
      <c r="AO471" s="86">
        <v>43207</v>
      </c>
      <c r="AP471" s="86">
        <v>43398</v>
      </c>
      <c r="AQ471" s="86">
        <v>43056</v>
      </c>
      <c r="AR471" s="86">
        <v>43398</v>
      </c>
      <c r="AS471" s="86">
        <v>43398</v>
      </c>
      <c r="AT471" s="86">
        <v>43398</v>
      </c>
      <c r="AU471" s="85" t="s">
        <v>107</v>
      </c>
      <c r="AV471" s="86">
        <v>43398</v>
      </c>
      <c r="AW471" s="86">
        <v>43398</v>
      </c>
    </row>
    <row r="472" spans="1:49" x14ac:dyDescent="0.2">
      <c r="A472" s="85" t="s">
        <v>1437</v>
      </c>
      <c r="B472" s="85" t="s">
        <v>1438</v>
      </c>
      <c r="C472" s="85" t="s">
        <v>1439</v>
      </c>
      <c r="D472" s="85" t="s">
        <v>982</v>
      </c>
      <c r="E472" s="85" t="s">
        <v>126</v>
      </c>
      <c r="F472" s="85" t="s">
        <v>122</v>
      </c>
      <c r="G472" s="85" t="s">
        <v>4</v>
      </c>
      <c r="H472" s="85" t="s">
        <v>7</v>
      </c>
      <c r="I472" s="86">
        <v>43474</v>
      </c>
      <c r="J472" s="86">
        <v>43496</v>
      </c>
      <c r="K472" s="86">
        <v>43504</v>
      </c>
      <c r="L472" s="85" t="s">
        <v>99</v>
      </c>
      <c r="M472" s="86">
        <v>43122</v>
      </c>
      <c r="N472" s="85" t="s">
        <v>107</v>
      </c>
      <c r="O472" s="86">
        <v>43273</v>
      </c>
      <c r="P472" s="86">
        <v>43269</v>
      </c>
      <c r="Q472" s="86">
        <v>43634</v>
      </c>
      <c r="R472" s="85" t="s">
        <v>1652</v>
      </c>
      <c r="S472" s="86">
        <v>43709</v>
      </c>
      <c r="T472" s="85" t="s">
        <v>1652</v>
      </c>
      <c r="U472" s="86">
        <v>43420</v>
      </c>
      <c r="V472" s="86">
        <v>43616</v>
      </c>
      <c r="W472" s="85" t="s">
        <v>1655</v>
      </c>
      <c r="X472" s="85" t="s">
        <v>114</v>
      </c>
      <c r="Y472" s="85">
        <v>2</v>
      </c>
      <c r="Z472" s="85" t="s">
        <v>114</v>
      </c>
      <c r="AA472" s="85"/>
      <c r="AB472" s="85" t="s">
        <v>114</v>
      </c>
      <c r="AC472" s="85" t="s">
        <v>114</v>
      </c>
      <c r="AD472" s="85" t="s">
        <v>114</v>
      </c>
      <c r="AE472" s="85"/>
      <c r="AF472" s="85"/>
      <c r="AG472" s="86">
        <v>43417</v>
      </c>
      <c r="AH472" s="85" t="s">
        <v>107</v>
      </c>
      <c r="AI472" s="86">
        <v>43136</v>
      </c>
      <c r="AJ472" s="86">
        <v>43136</v>
      </c>
      <c r="AK472" s="86">
        <v>43111</v>
      </c>
      <c r="AL472" s="85" t="s">
        <v>107</v>
      </c>
      <c r="AM472" s="85" t="s">
        <v>107</v>
      </c>
      <c r="AN472" s="86">
        <v>43398</v>
      </c>
      <c r="AO472" s="86">
        <v>43207</v>
      </c>
      <c r="AP472" s="86">
        <v>43102</v>
      </c>
      <c r="AQ472" s="86">
        <v>43109</v>
      </c>
      <c r="AR472" s="86">
        <v>43109</v>
      </c>
      <c r="AS472" s="86">
        <v>43109</v>
      </c>
      <c r="AT472" s="86">
        <v>43109</v>
      </c>
      <c r="AU472" s="86">
        <v>43109</v>
      </c>
      <c r="AV472" s="86">
        <v>43109</v>
      </c>
      <c r="AW472" s="86">
        <v>43109</v>
      </c>
    </row>
    <row r="473" spans="1:49" x14ac:dyDescent="0.2">
      <c r="A473" s="85" t="s">
        <v>1440</v>
      </c>
      <c r="B473" s="85" t="s">
        <v>1441</v>
      </c>
      <c r="C473" s="85" t="s">
        <v>1442</v>
      </c>
      <c r="D473" s="85" t="s">
        <v>1443</v>
      </c>
      <c r="E473" s="85"/>
      <c r="F473" s="85" t="s">
        <v>106</v>
      </c>
      <c r="G473" s="85" t="s">
        <v>4</v>
      </c>
      <c r="H473" s="85" t="s">
        <v>12</v>
      </c>
      <c r="I473" s="85" t="s">
        <v>107</v>
      </c>
      <c r="J473" s="86">
        <v>43227</v>
      </c>
      <c r="K473" s="86">
        <v>43227</v>
      </c>
      <c r="L473" s="85" t="s">
        <v>107</v>
      </c>
      <c r="M473" s="85" t="s">
        <v>107</v>
      </c>
      <c r="N473" s="85" t="s">
        <v>107</v>
      </c>
      <c r="O473" s="85" t="s">
        <v>107</v>
      </c>
      <c r="P473" s="85" t="s">
        <v>107</v>
      </c>
      <c r="Q473" s="86">
        <v>43638</v>
      </c>
      <c r="R473" s="85" t="s">
        <v>107</v>
      </c>
      <c r="S473" s="85" t="s">
        <v>107</v>
      </c>
      <c r="T473" s="85" t="s">
        <v>107</v>
      </c>
      <c r="U473" s="85" t="s">
        <v>107</v>
      </c>
      <c r="V473" s="85" t="s">
        <v>107</v>
      </c>
      <c r="W473" s="85" t="s">
        <v>107</v>
      </c>
      <c r="X473" s="85" t="s">
        <v>107</v>
      </c>
      <c r="Y473" s="85" t="s">
        <v>107</v>
      </c>
      <c r="Z473" s="85" t="s">
        <v>107</v>
      </c>
      <c r="AA473" s="85" t="s">
        <v>107</v>
      </c>
      <c r="AB473" s="85" t="s">
        <v>107</v>
      </c>
      <c r="AC473" s="85" t="s">
        <v>107</v>
      </c>
      <c r="AD473" s="85" t="s">
        <v>107</v>
      </c>
      <c r="AE473" s="85" t="s">
        <v>107</v>
      </c>
      <c r="AF473" s="85" t="s">
        <v>107</v>
      </c>
      <c r="AG473" s="86">
        <v>43178</v>
      </c>
      <c r="AH473" s="85" t="s">
        <v>107</v>
      </c>
      <c r="AI473" s="85" t="s">
        <v>107</v>
      </c>
      <c r="AJ473" s="85" t="s">
        <v>107</v>
      </c>
      <c r="AK473" s="85" t="s">
        <v>107</v>
      </c>
      <c r="AL473" s="85" t="s">
        <v>107</v>
      </c>
      <c r="AM473" s="85" t="s">
        <v>107</v>
      </c>
      <c r="AN473" s="86">
        <v>43405</v>
      </c>
      <c r="AO473" s="86">
        <v>43217</v>
      </c>
      <c r="AP473" s="86">
        <v>43217</v>
      </c>
      <c r="AQ473" s="86">
        <v>43217</v>
      </c>
      <c r="AR473" s="86">
        <v>43217</v>
      </c>
      <c r="AS473" s="86">
        <v>43217</v>
      </c>
      <c r="AT473" s="86">
        <v>43217</v>
      </c>
      <c r="AU473" s="86" t="s">
        <v>107</v>
      </c>
      <c r="AV473" s="86">
        <v>43217</v>
      </c>
      <c r="AW473" s="86">
        <v>43217</v>
      </c>
    </row>
    <row r="474" spans="1:49" x14ac:dyDescent="0.2">
      <c r="A474" s="85" t="s">
        <v>1444</v>
      </c>
      <c r="B474" s="85" t="s">
        <v>1445</v>
      </c>
      <c r="C474" s="85" t="s">
        <v>1446</v>
      </c>
      <c r="D474" s="85" t="s">
        <v>1447</v>
      </c>
      <c r="E474" s="85" t="s">
        <v>291</v>
      </c>
      <c r="F474" s="85" t="s">
        <v>245</v>
      </c>
      <c r="G474" s="85" t="s">
        <v>4</v>
      </c>
      <c r="H474" s="85" t="s">
        <v>8</v>
      </c>
      <c r="I474" s="86">
        <v>43381</v>
      </c>
      <c r="J474" s="86">
        <v>43488</v>
      </c>
      <c r="K474" s="86">
        <v>43144</v>
      </c>
      <c r="L474" s="85" t="s">
        <v>99</v>
      </c>
      <c r="M474" s="86">
        <v>43143</v>
      </c>
      <c r="N474" s="85" t="s">
        <v>107</v>
      </c>
      <c r="O474" s="86">
        <v>43144</v>
      </c>
      <c r="P474" s="86">
        <v>43377</v>
      </c>
      <c r="Q474" s="86">
        <v>43834</v>
      </c>
      <c r="R474" s="85" t="s">
        <v>1652</v>
      </c>
      <c r="S474" s="86">
        <v>43617</v>
      </c>
      <c r="T474" s="85" t="s">
        <v>1652</v>
      </c>
      <c r="U474" s="86">
        <v>43374</v>
      </c>
      <c r="V474" s="86">
        <v>43585</v>
      </c>
      <c r="W474" s="85" t="s">
        <v>1657</v>
      </c>
      <c r="X474" s="85" t="s">
        <v>114</v>
      </c>
      <c r="Y474" s="85">
        <v>1</v>
      </c>
      <c r="Z474" s="85" t="s">
        <v>114</v>
      </c>
      <c r="AA474" s="85"/>
      <c r="AB474" s="85" t="s">
        <v>114</v>
      </c>
      <c r="AC474" s="85" t="s">
        <v>114</v>
      </c>
      <c r="AD474" s="85" t="s">
        <v>114</v>
      </c>
      <c r="AE474" s="85"/>
      <c r="AF474" s="85"/>
      <c r="AG474" s="86">
        <v>43469</v>
      </c>
      <c r="AH474" s="85" t="s">
        <v>107</v>
      </c>
      <c r="AI474" s="86">
        <v>41850</v>
      </c>
      <c r="AJ474" s="86">
        <v>43377</v>
      </c>
      <c r="AK474" s="86">
        <v>43144</v>
      </c>
      <c r="AL474" s="85" t="s">
        <v>107</v>
      </c>
      <c r="AM474" s="85" t="s">
        <v>107</v>
      </c>
      <c r="AN474" s="86">
        <v>43502</v>
      </c>
      <c r="AO474" s="86">
        <v>43328</v>
      </c>
      <c r="AP474" s="86">
        <v>43502</v>
      </c>
      <c r="AQ474" s="86">
        <v>43328</v>
      </c>
      <c r="AR474" s="86">
        <v>43502</v>
      </c>
      <c r="AS474" s="86">
        <v>43502</v>
      </c>
      <c r="AT474" s="86">
        <v>43502</v>
      </c>
      <c r="AU474" s="86">
        <v>43502</v>
      </c>
      <c r="AV474" s="86">
        <v>43502</v>
      </c>
      <c r="AW474" s="86">
        <v>43502</v>
      </c>
    </row>
    <row r="475" spans="1:49" x14ac:dyDescent="0.2">
      <c r="A475" s="85" t="s">
        <v>1619</v>
      </c>
      <c r="B475" s="85" t="s">
        <v>1620</v>
      </c>
      <c r="C475" s="85" t="s">
        <v>1621</v>
      </c>
      <c r="D475" s="85" t="s">
        <v>1622</v>
      </c>
      <c r="E475" s="85" t="s">
        <v>141</v>
      </c>
      <c r="F475" s="85" t="s">
        <v>106</v>
      </c>
      <c r="G475" s="85" t="s">
        <v>4</v>
      </c>
      <c r="H475" s="85" t="s">
        <v>12</v>
      </c>
      <c r="I475" s="85" t="s">
        <v>107</v>
      </c>
      <c r="J475" s="86">
        <v>43350</v>
      </c>
      <c r="K475" s="86">
        <v>43371</v>
      </c>
      <c r="L475" s="85" t="s">
        <v>107</v>
      </c>
      <c r="M475" s="85" t="s">
        <v>107</v>
      </c>
      <c r="N475" s="85" t="s">
        <v>107</v>
      </c>
      <c r="O475" s="85" t="s">
        <v>107</v>
      </c>
      <c r="P475" s="85" t="s">
        <v>107</v>
      </c>
      <c r="Q475" s="86">
        <v>43706</v>
      </c>
      <c r="R475" s="85" t="s">
        <v>107</v>
      </c>
      <c r="S475" s="85" t="s">
        <v>107</v>
      </c>
      <c r="T475" s="85" t="s">
        <v>107</v>
      </c>
      <c r="U475" s="85" t="s">
        <v>107</v>
      </c>
      <c r="V475" s="85" t="s">
        <v>107</v>
      </c>
      <c r="W475" s="85" t="s">
        <v>107</v>
      </c>
      <c r="X475" s="85" t="s">
        <v>107</v>
      </c>
      <c r="Y475" s="85" t="s">
        <v>107</v>
      </c>
      <c r="Z475" s="85" t="s">
        <v>107</v>
      </c>
      <c r="AA475" s="85" t="s">
        <v>107</v>
      </c>
      <c r="AB475" s="85" t="s">
        <v>107</v>
      </c>
      <c r="AC475" s="85" t="s">
        <v>107</v>
      </c>
      <c r="AD475" s="85" t="s">
        <v>107</v>
      </c>
      <c r="AE475" s="85" t="s">
        <v>107</v>
      </c>
      <c r="AF475" s="85" t="s">
        <v>107</v>
      </c>
      <c r="AG475" s="86">
        <v>43342</v>
      </c>
      <c r="AH475" s="85" t="s">
        <v>2035</v>
      </c>
      <c r="AI475" s="85" t="s">
        <v>107</v>
      </c>
      <c r="AJ475" s="85" t="s">
        <v>107</v>
      </c>
      <c r="AK475" s="85" t="s">
        <v>107</v>
      </c>
      <c r="AL475" s="85" t="s">
        <v>107</v>
      </c>
      <c r="AM475" s="85" t="s">
        <v>107</v>
      </c>
      <c r="AN475" s="85"/>
      <c r="AO475" s="86">
        <v>43340</v>
      </c>
      <c r="AP475" s="86">
        <v>43340</v>
      </c>
      <c r="AQ475" s="86">
        <v>43340</v>
      </c>
      <c r="AR475" s="86">
        <v>43340</v>
      </c>
      <c r="AS475" s="86">
        <v>43340</v>
      </c>
      <c r="AT475" s="86">
        <v>43340</v>
      </c>
      <c r="AU475" s="85" t="s">
        <v>107</v>
      </c>
      <c r="AV475" s="86">
        <v>43340</v>
      </c>
      <c r="AW475" s="86">
        <v>43340</v>
      </c>
    </row>
    <row r="476" spans="1:49" x14ac:dyDescent="0.2">
      <c r="A476" s="85" t="s">
        <v>1448</v>
      </c>
      <c r="B476" s="85" t="s">
        <v>1449</v>
      </c>
      <c r="C476" s="85" t="s">
        <v>1450</v>
      </c>
      <c r="D476" s="85" t="s">
        <v>1451</v>
      </c>
      <c r="E476" s="85" t="s">
        <v>126</v>
      </c>
      <c r="F476" s="85" t="s">
        <v>106</v>
      </c>
      <c r="G476" s="85" t="s">
        <v>4</v>
      </c>
      <c r="H476" s="85" t="s">
        <v>5</v>
      </c>
      <c r="I476" s="85" t="s">
        <v>107</v>
      </c>
      <c r="J476" s="86">
        <v>43167</v>
      </c>
      <c r="K476" s="86">
        <v>43167</v>
      </c>
      <c r="L476" s="85" t="s">
        <v>107</v>
      </c>
      <c r="M476" s="85" t="s">
        <v>107</v>
      </c>
      <c r="N476" s="85" t="s">
        <v>107</v>
      </c>
      <c r="O476" s="85" t="s">
        <v>107</v>
      </c>
      <c r="P476" s="85" t="s">
        <v>107</v>
      </c>
      <c r="Q476" s="86">
        <v>43847</v>
      </c>
      <c r="R476" s="85" t="s">
        <v>107</v>
      </c>
      <c r="S476" s="85" t="s">
        <v>107</v>
      </c>
      <c r="T476" s="85" t="s">
        <v>107</v>
      </c>
      <c r="U476" s="85" t="s">
        <v>107</v>
      </c>
      <c r="V476" s="85" t="s">
        <v>107</v>
      </c>
      <c r="W476" s="85" t="s">
        <v>107</v>
      </c>
      <c r="X476" s="85" t="s">
        <v>107</v>
      </c>
      <c r="Y476" s="85" t="s">
        <v>107</v>
      </c>
      <c r="Z476" s="85" t="s">
        <v>107</v>
      </c>
      <c r="AA476" s="85" t="s">
        <v>107</v>
      </c>
      <c r="AB476" s="85" t="s">
        <v>107</v>
      </c>
      <c r="AC476" s="85" t="s">
        <v>107</v>
      </c>
      <c r="AD476" s="85" t="s">
        <v>107</v>
      </c>
      <c r="AE476" s="85" t="s">
        <v>107</v>
      </c>
      <c r="AF476" s="85" t="s">
        <v>107</v>
      </c>
      <c r="AG476" s="86">
        <v>43167</v>
      </c>
      <c r="AH476" s="85" t="s">
        <v>2036</v>
      </c>
      <c r="AI476" s="85" t="s">
        <v>107</v>
      </c>
      <c r="AJ476" s="85" t="s">
        <v>107</v>
      </c>
      <c r="AK476" s="85" t="s">
        <v>107</v>
      </c>
      <c r="AL476" s="85" t="s">
        <v>107</v>
      </c>
      <c r="AM476" s="85" t="s">
        <v>107</v>
      </c>
      <c r="AN476" s="86">
        <v>43467</v>
      </c>
      <c r="AO476" s="86">
        <v>43467</v>
      </c>
      <c r="AP476" s="86">
        <v>43467</v>
      </c>
      <c r="AQ476" s="86">
        <v>43467</v>
      </c>
      <c r="AR476" s="86">
        <v>43467</v>
      </c>
      <c r="AS476" s="86">
        <v>43467</v>
      </c>
      <c r="AT476" s="86">
        <v>43467</v>
      </c>
      <c r="AU476" s="85" t="s">
        <v>107</v>
      </c>
      <c r="AV476" s="86">
        <v>43467</v>
      </c>
      <c r="AW476" s="86">
        <v>43467</v>
      </c>
    </row>
    <row r="477" spans="1:49" x14ac:dyDescent="0.2">
      <c r="A477" s="85" t="s">
        <v>1452</v>
      </c>
      <c r="B477" s="85" t="s">
        <v>1453</v>
      </c>
      <c r="C477" s="85" t="s">
        <v>1454</v>
      </c>
      <c r="D477" s="85" t="s">
        <v>1455</v>
      </c>
      <c r="E477" s="85"/>
      <c r="F477" s="85" t="s">
        <v>106</v>
      </c>
      <c r="G477" s="85" t="s">
        <v>4</v>
      </c>
      <c r="H477" s="85" t="s">
        <v>7</v>
      </c>
      <c r="I477" s="85" t="s">
        <v>107</v>
      </c>
      <c r="J477" s="86">
        <v>43167</v>
      </c>
      <c r="K477" s="86">
        <v>43164</v>
      </c>
      <c r="L477" s="85" t="s">
        <v>107</v>
      </c>
      <c r="M477" s="85" t="s">
        <v>107</v>
      </c>
      <c r="N477" s="85" t="s">
        <v>107</v>
      </c>
      <c r="O477" s="85" t="s">
        <v>107</v>
      </c>
      <c r="P477" s="85" t="s">
        <v>107</v>
      </c>
      <c r="Q477" s="86">
        <v>43532</v>
      </c>
      <c r="R477" s="85" t="s">
        <v>107</v>
      </c>
      <c r="S477" s="85" t="s">
        <v>107</v>
      </c>
      <c r="T477" s="85" t="s">
        <v>107</v>
      </c>
      <c r="U477" s="85" t="s">
        <v>107</v>
      </c>
      <c r="V477" s="85" t="s">
        <v>107</v>
      </c>
      <c r="W477" s="85" t="s">
        <v>107</v>
      </c>
      <c r="X477" s="85" t="s">
        <v>107</v>
      </c>
      <c r="Y477" s="85" t="s">
        <v>107</v>
      </c>
      <c r="Z477" s="85" t="s">
        <v>107</v>
      </c>
      <c r="AA477" s="85" t="s">
        <v>107</v>
      </c>
      <c r="AB477" s="85" t="s">
        <v>107</v>
      </c>
      <c r="AC477" s="85" t="s">
        <v>107</v>
      </c>
      <c r="AD477" s="85" t="s">
        <v>107</v>
      </c>
      <c r="AE477" s="85" t="s">
        <v>107</v>
      </c>
      <c r="AF477" s="85" t="s">
        <v>107</v>
      </c>
      <c r="AG477" s="86">
        <v>43507</v>
      </c>
      <c r="AH477" s="85" t="s">
        <v>107</v>
      </c>
      <c r="AI477" s="85" t="s">
        <v>107</v>
      </c>
      <c r="AJ477" s="85" t="s">
        <v>107</v>
      </c>
      <c r="AK477" s="85" t="s">
        <v>107</v>
      </c>
      <c r="AL477" s="85" t="s">
        <v>107</v>
      </c>
      <c r="AM477" s="85" t="s">
        <v>107</v>
      </c>
      <c r="AN477" s="86">
        <v>43398</v>
      </c>
      <c r="AO477" s="86">
        <v>43207</v>
      </c>
      <c r="AP477" s="86">
        <v>43315</v>
      </c>
      <c r="AQ477" s="86">
        <v>43315</v>
      </c>
      <c r="AR477" s="86">
        <v>43315</v>
      </c>
      <c r="AS477" s="86">
        <v>43315</v>
      </c>
      <c r="AT477" s="86">
        <v>43315</v>
      </c>
      <c r="AU477" s="85" t="s">
        <v>107</v>
      </c>
      <c r="AV477" s="86">
        <v>43315</v>
      </c>
      <c r="AW477" s="86">
        <v>43315</v>
      </c>
    </row>
    <row r="478" spans="1:49" x14ac:dyDescent="0.2">
      <c r="A478" s="85" t="s">
        <v>1456</v>
      </c>
      <c r="B478" s="85" t="s">
        <v>1457</v>
      </c>
      <c r="C478" s="85" t="s">
        <v>1458</v>
      </c>
      <c r="D478" s="85" t="s">
        <v>1421</v>
      </c>
      <c r="E478" s="85" t="s">
        <v>126</v>
      </c>
      <c r="F478" s="85" t="s">
        <v>106</v>
      </c>
      <c r="G478" s="85" t="s">
        <v>4</v>
      </c>
      <c r="H478" s="85" t="s">
        <v>7</v>
      </c>
      <c r="I478" s="85" t="s">
        <v>107</v>
      </c>
      <c r="J478" s="86">
        <v>43167</v>
      </c>
      <c r="K478" s="86">
        <v>43164</v>
      </c>
      <c r="L478" s="85" t="s">
        <v>107</v>
      </c>
      <c r="M478" s="85" t="s">
        <v>107</v>
      </c>
      <c r="N478" s="85" t="s">
        <v>107</v>
      </c>
      <c r="O478" s="85" t="s">
        <v>107</v>
      </c>
      <c r="P478" s="85" t="s">
        <v>107</v>
      </c>
      <c r="Q478" s="86">
        <v>43532</v>
      </c>
      <c r="R478" s="85" t="s">
        <v>107</v>
      </c>
      <c r="S478" s="85" t="s">
        <v>107</v>
      </c>
      <c r="T478" s="85" t="s">
        <v>107</v>
      </c>
      <c r="U478" s="85" t="s">
        <v>107</v>
      </c>
      <c r="V478" s="85" t="s">
        <v>107</v>
      </c>
      <c r="W478" s="85" t="s">
        <v>107</v>
      </c>
      <c r="X478" s="85" t="s">
        <v>107</v>
      </c>
      <c r="Y478" s="85" t="s">
        <v>107</v>
      </c>
      <c r="Z478" s="85" t="s">
        <v>107</v>
      </c>
      <c r="AA478" s="85" t="s">
        <v>107</v>
      </c>
      <c r="AB478" s="85" t="s">
        <v>107</v>
      </c>
      <c r="AC478" s="85" t="s">
        <v>107</v>
      </c>
      <c r="AD478" s="85" t="s">
        <v>107</v>
      </c>
      <c r="AE478" s="85" t="s">
        <v>107</v>
      </c>
      <c r="AF478" s="85" t="s">
        <v>107</v>
      </c>
      <c r="AG478" s="86">
        <v>43507</v>
      </c>
      <c r="AH478" s="85" t="s">
        <v>107</v>
      </c>
      <c r="AI478" s="85" t="s">
        <v>107</v>
      </c>
      <c r="AJ478" s="85" t="s">
        <v>107</v>
      </c>
      <c r="AK478" s="85" t="s">
        <v>107</v>
      </c>
      <c r="AL478" s="85" t="s">
        <v>107</v>
      </c>
      <c r="AM478" s="85" t="s">
        <v>107</v>
      </c>
      <c r="AN478" s="86">
        <v>43398</v>
      </c>
      <c r="AO478" s="86">
        <v>43207</v>
      </c>
      <c r="AP478" s="86">
        <v>43048</v>
      </c>
      <c r="AQ478" s="86">
        <v>41648</v>
      </c>
      <c r="AR478" s="86">
        <v>43075</v>
      </c>
      <c r="AS478" s="86">
        <v>43075</v>
      </c>
      <c r="AT478" s="86">
        <v>43075</v>
      </c>
      <c r="AU478" s="85" t="s">
        <v>107</v>
      </c>
      <c r="AV478" s="86">
        <v>43075</v>
      </c>
      <c r="AW478" s="86">
        <v>43075</v>
      </c>
    </row>
    <row r="479" spans="1:49" x14ac:dyDescent="0.2">
      <c r="A479" s="85" t="s">
        <v>1459</v>
      </c>
      <c r="B479" s="85" t="s">
        <v>1460</v>
      </c>
      <c r="C479" s="85" t="s">
        <v>1461</v>
      </c>
      <c r="D479" s="85" t="s">
        <v>1462</v>
      </c>
      <c r="E479" s="85" t="s">
        <v>143</v>
      </c>
      <c r="F479" s="85" t="s">
        <v>106</v>
      </c>
      <c r="G479" s="85" t="s">
        <v>4</v>
      </c>
      <c r="H479" s="85" t="s">
        <v>12</v>
      </c>
      <c r="I479" s="85" t="s">
        <v>107</v>
      </c>
      <c r="J479" s="85" t="s">
        <v>59</v>
      </c>
      <c r="K479" s="85" t="s">
        <v>59</v>
      </c>
      <c r="L479" s="85" t="s">
        <v>107</v>
      </c>
      <c r="M479" s="85" t="s">
        <v>107</v>
      </c>
      <c r="N479" s="85" t="s">
        <v>107</v>
      </c>
      <c r="O479" s="85" t="s">
        <v>107</v>
      </c>
      <c r="P479" s="85" t="s">
        <v>107</v>
      </c>
      <c r="Q479" s="86">
        <v>43490</v>
      </c>
      <c r="R479" s="85" t="s">
        <v>107</v>
      </c>
      <c r="S479" s="85" t="s">
        <v>107</v>
      </c>
      <c r="T479" s="85" t="s">
        <v>107</v>
      </c>
      <c r="U479" s="85" t="s">
        <v>107</v>
      </c>
      <c r="V479" s="85" t="s">
        <v>107</v>
      </c>
      <c r="W479" s="85" t="s">
        <v>107</v>
      </c>
      <c r="X479" s="85" t="s">
        <v>107</v>
      </c>
      <c r="Y479" s="85" t="s">
        <v>107</v>
      </c>
      <c r="Z479" s="85" t="s">
        <v>107</v>
      </c>
      <c r="AA479" s="85" t="s">
        <v>107</v>
      </c>
      <c r="AB479" s="85" t="s">
        <v>107</v>
      </c>
      <c r="AC479" s="85" t="s">
        <v>107</v>
      </c>
      <c r="AD479" s="85" t="s">
        <v>107</v>
      </c>
      <c r="AE479" s="85" t="s">
        <v>107</v>
      </c>
      <c r="AF479" s="85" t="s">
        <v>107</v>
      </c>
      <c r="AG479" s="86">
        <v>43434</v>
      </c>
      <c r="AH479" s="85" t="s">
        <v>2037</v>
      </c>
      <c r="AI479" s="85" t="s">
        <v>107</v>
      </c>
      <c r="AJ479" s="85" t="s">
        <v>107</v>
      </c>
      <c r="AK479" s="85" t="s">
        <v>107</v>
      </c>
      <c r="AL479" s="85" t="s">
        <v>107</v>
      </c>
      <c r="AM479" s="85" t="s">
        <v>107</v>
      </c>
      <c r="AN479" s="86">
        <v>43480</v>
      </c>
      <c r="AO479" s="86">
        <v>43259</v>
      </c>
      <c r="AP479" s="86">
        <v>43480</v>
      </c>
      <c r="AQ479" s="86">
        <v>42741</v>
      </c>
      <c r="AR479" s="86">
        <v>43480</v>
      </c>
      <c r="AS479" s="86">
        <v>43480</v>
      </c>
      <c r="AT479" s="86">
        <v>43480</v>
      </c>
      <c r="AU479" s="85" t="s">
        <v>107</v>
      </c>
      <c r="AV479" s="86">
        <v>43480</v>
      </c>
      <c r="AW479" s="86">
        <v>43480</v>
      </c>
    </row>
    <row r="480" spans="1:49" x14ac:dyDescent="0.2">
      <c r="A480" s="85" t="s">
        <v>1762</v>
      </c>
      <c r="B480" s="85" t="s">
        <v>1763</v>
      </c>
      <c r="C480" s="85" t="s">
        <v>1461</v>
      </c>
      <c r="D480" s="85" t="s">
        <v>1764</v>
      </c>
      <c r="E480" s="85" t="s">
        <v>121</v>
      </c>
      <c r="F480" s="85" t="s">
        <v>245</v>
      </c>
      <c r="G480" s="85" t="s">
        <v>4</v>
      </c>
      <c r="H480" s="85" t="s">
        <v>5</v>
      </c>
      <c r="I480" s="86">
        <v>43379</v>
      </c>
      <c r="J480" s="86">
        <v>43453</v>
      </c>
      <c r="K480" s="85"/>
      <c r="L480" s="85" t="s">
        <v>99</v>
      </c>
      <c r="M480" s="85"/>
      <c r="N480" s="85" t="s">
        <v>107</v>
      </c>
      <c r="O480" s="86">
        <v>43469</v>
      </c>
      <c r="P480" s="86">
        <v>43455</v>
      </c>
      <c r="Q480" s="86">
        <v>43834</v>
      </c>
      <c r="R480" s="85" t="s">
        <v>1658</v>
      </c>
      <c r="S480" s="86">
        <v>44958</v>
      </c>
      <c r="T480" s="85" t="s">
        <v>1658</v>
      </c>
      <c r="U480" s="86">
        <v>43462</v>
      </c>
      <c r="V480" s="86">
        <v>43646</v>
      </c>
      <c r="W480" s="85" t="s">
        <v>1657</v>
      </c>
      <c r="X480" s="85" t="s">
        <v>114</v>
      </c>
      <c r="Y480" s="85">
        <v>2</v>
      </c>
      <c r="Z480" s="85" t="s">
        <v>114</v>
      </c>
      <c r="AA480" s="85"/>
      <c r="AB480" s="85" t="s">
        <v>114</v>
      </c>
      <c r="AC480" s="85" t="s">
        <v>114</v>
      </c>
      <c r="AD480" s="85" t="s">
        <v>114</v>
      </c>
      <c r="AE480" s="85"/>
      <c r="AF480" s="85"/>
      <c r="AG480" s="86">
        <v>43469</v>
      </c>
      <c r="AH480" s="85" t="s">
        <v>107</v>
      </c>
      <c r="AI480" s="85"/>
      <c r="AJ480" s="85"/>
      <c r="AK480" s="85"/>
      <c r="AL480" s="85" t="s">
        <v>107</v>
      </c>
      <c r="AM480" s="85" t="s">
        <v>107</v>
      </c>
      <c r="AN480" s="86">
        <v>43433</v>
      </c>
      <c r="AO480" s="86">
        <v>43433</v>
      </c>
      <c r="AP480" s="86">
        <v>43433</v>
      </c>
      <c r="AQ480" s="86">
        <v>43433</v>
      </c>
      <c r="AR480" s="86">
        <v>43433</v>
      </c>
      <c r="AS480" s="86">
        <v>43433</v>
      </c>
      <c r="AT480" s="86">
        <v>43433</v>
      </c>
      <c r="AU480" s="86">
        <v>43433</v>
      </c>
      <c r="AV480" s="86">
        <v>43433</v>
      </c>
      <c r="AW480" s="86">
        <v>43433</v>
      </c>
    </row>
    <row r="481" spans="1:49" x14ac:dyDescent="0.2">
      <c r="A481" s="85" t="s">
        <v>1463</v>
      </c>
      <c r="B481" s="85" t="s">
        <v>1464</v>
      </c>
      <c r="C481" s="85" t="s">
        <v>1461</v>
      </c>
      <c r="D481" s="85" t="s">
        <v>379</v>
      </c>
      <c r="E481" s="85" t="s">
        <v>141</v>
      </c>
      <c r="F481" s="85" t="s">
        <v>249</v>
      </c>
      <c r="G481" s="85" t="s">
        <v>4</v>
      </c>
      <c r="H481" s="85" t="s">
        <v>5</v>
      </c>
      <c r="I481" s="86">
        <v>43505</v>
      </c>
      <c r="J481" s="86">
        <v>43505</v>
      </c>
      <c r="K481" s="86">
        <v>43505</v>
      </c>
      <c r="L481" s="85" t="s">
        <v>99</v>
      </c>
      <c r="M481" s="86">
        <v>43025</v>
      </c>
      <c r="N481" s="85" t="s">
        <v>107</v>
      </c>
      <c r="O481" s="86">
        <v>43167</v>
      </c>
      <c r="P481" s="86">
        <v>43325</v>
      </c>
      <c r="Q481" s="86">
        <v>43532</v>
      </c>
      <c r="R481" s="85" t="s">
        <v>1652</v>
      </c>
      <c r="S481" s="86">
        <v>43556</v>
      </c>
      <c r="T481" s="85" t="s">
        <v>1652</v>
      </c>
      <c r="U481" s="86">
        <v>43370</v>
      </c>
      <c r="V481" s="86">
        <v>43555</v>
      </c>
      <c r="W481" s="85" t="s">
        <v>1655</v>
      </c>
      <c r="X481" s="85" t="s">
        <v>114</v>
      </c>
      <c r="Y481" s="85">
        <v>1</v>
      </c>
      <c r="Z481" s="85" t="s">
        <v>114</v>
      </c>
      <c r="AA481" s="85"/>
      <c r="AB481" s="85" t="s">
        <v>114</v>
      </c>
      <c r="AC481" s="85" t="s">
        <v>114</v>
      </c>
      <c r="AD481" s="85" t="s">
        <v>114</v>
      </c>
      <c r="AE481" s="85"/>
      <c r="AF481" s="85"/>
      <c r="AG481" s="86">
        <v>43507</v>
      </c>
      <c r="AH481" s="85" t="s">
        <v>107</v>
      </c>
      <c r="AI481" s="85"/>
      <c r="AJ481" s="86">
        <v>43431</v>
      </c>
      <c r="AK481" s="86">
        <v>43167</v>
      </c>
      <c r="AL481" s="85" t="s">
        <v>107</v>
      </c>
      <c r="AM481" s="85" t="s">
        <v>107</v>
      </c>
      <c r="AN481" s="86">
        <v>43467</v>
      </c>
      <c r="AO481" s="86">
        <v>43467</v>
      </c>
      <c r="AP481" s="86">
        <v>43467</v>
      </c>
      <c r="AQ481" s="86">
        <v>43467</v>
      </c>
      <c r="AR481" s="86">
        <v>43467</v>
      </c>
      <c r="AS481" s="86">
        <v>43467</v>
      </c>
      <c r="AT481" s="86">
        <v>43467</v>
      </c>
      <c r="AU481" s="86">
        <v>43467</v>
      </c>
      <c r="AV481" s="86">
        <v>43467</v>
      </c>
      <c r="AW481" s="86">
        <v>43467</v>
      </c>
    </row>
    <row r="482" spans="1:49" x14ac:dyDescent="0.2">
      <c r="A482" s="85" t="s">
        <v>1465</v>
      </c>
      <c r="B482" s="85" t="s">
        <v>1466</v>
      </c>
      <c r="C482" s="85" t="s">
        <v>1467</v>
      </c>
      <c r="D482" s="85" t="s">
        <v>660</v>
      </c>
      <c r="E482" s="85" t="s">
        <v>119</v>
      </c>
      <c r="F482" s="85" t="s">
        <v>122</v>
      </c>
      <c r="G482" s="85" t="s">
        <v>4</v>
      </c>
      <c r="H482" s="85" t="s">
        <v>7</v>
      </c>
      <c r="I482" s="86">
        <v>43314</v>
      </c>
      <c r="J482" s="86">
        <v>43502</v>
      </c>
      <c r="K482" s="86">
        <v>43254</v>
      </c>
      <c r="L482" s="85" t="s">
        <v>99</v>
      </c>
      <c r="M482" s="86">
        <v>43137</v>
      </c>
      <c r="N482" s="85" t="s">
        <v>107</v>
      </c>
      <c r="O482" s="86">
        <v>43271</v>
      </c>
      <c r="P482" s="86">
        <v>43228</v>
      </c>
      <c r="Q482" s="86">
        <v>43636</v>
      </c>
      <c r="R482" s="85" t="s">
        <v>1652</v>
      </c>
      <c r="S482" s="86">
        <v>43952</v>
      </c>
      <c r="T482" s="85" t="s">
        <v>1652</v>
      </c>
      <c r="U482" s="86">
        <v>43452</v>
      </c>
      <c r="V482" s="86">
        <v>43830</v>
      </c>
      <c r="W482" s="85" t="s">
        <v>1653</v>
      </c>
      <c r="X482" s="85" t="s">
        <v>114</v>
      </c>
      <c r="Y482" s="85">
        <v>1</v>
      </c>
      <c r="Z482" s="85" t="s">
        <v>114</v>
      </c>
      <c r="AA482" s="85"/>
      <c r="AB482" s="85" t="s">
        <v>114</v>
      </c>
      <c r="AC482" s="85" t="s">
        <v>114</v>
      </c>
      <c r="AD482" s="85" t="s">
        <v>114</v>
      </c>
      <c r="AE482" s="85"/>
      <c r="AF482" s="85"/>
      <c r="AG482" s="86">
        <v>43271</v>
      </c>
      <c r="AH482" s="85" t="s">
        <v>107</v>
      </c>
      <c r="AI482" s="86">
        <v>43314</v>
      </c>
      <c r="AJ482" s="86">
        <v>43314</v>
      </c>
      <c r="AK482" s="86">
        <v>43136</v>
      </c>
      <c r="AL482" s="85" t="s">
        <v>107</v>
      </c>
      <c r="AM482" s="85" t="s">
        <v>107</v>
      </c>
      <c r="AN482" s="85"/>
      <c r="AO482" s="86">
        <v>43207</v>
      </c>
      <c r="AP482" s="86">
        <v>43130</v>
      </c>
      <c r="AQ482" s="86">
        <v>43130</v>
      </c>
      <c r="AR482" s="86">
        <v>43130</v>
      </c>
      <c r="AS482" s="86">
        <v>43132</v>
      </c>
      <c r="AT482" s="86">
        <v>43130</v>
      </c>
      <c r="AU482" s="86">
        <v>43130</v>
      </c>
      <c r="AV482" s="86">
        <v>43130</v>
      </c>
      <c r="AW482" s="86">
        <v>43130</v>
      </c>
    </row>
    <row r="483" spans="1:49" x14ac:dyDescent="0.2">
      <c r="A483" s="85" t="s">
        <v>1468</v>
      </c>
      <c r="B483" s="85" t="s">
        <v>1469</v>
      </c>
      <c r="C483" s="85" t="s">
        <v>1470</v>
      </c>
      <c r="D483" s="85" t="s">
        <v>252</v>
      </c>
      <c r="E483" s="85" t="s">
        <v>163</v>
      </c>
      <c r="F483" s="85" t="s">
        <v>144</v>
      </c>
      <c r="G483" s="85" t="s">
        <v>4</v>
      </c>
      <c r="H483" s="85" t="s">
        <v>8</v>
      </c>
      <c r="I483" s="86">
        <v>43455</v>
      </c>
      <c r="J483" s="86">
        <v>43503</v>
      </c>
      <c r="K483" s="86">
        <v>43167</v>
      </c>
      <c r="L483" s="85" t="s">
        <v>99</v>
      </c>
      <c r="M483" s="86">
        <v>43455</v>
      </c>
      <c r="N483" s="85" t="s">
        <v>107</v>
      </c>
      <c r="O483" s="86">
        <v>43241</v>
      </c>
      <c r="P483" s="85"/>
      <c r="Q483" s="86">
        <v>43532</v>
      </c>
      <c r="R483" s="85" t="s">
        <v>1652</v>
      </c>
      <c r="S483" s="86">
        <v>43525</v>
      </c>
      <c r="T483" s="85" t="s">
        <v>1652</v>
      </c>
      <c r="U483" s="86">
        <v>43154</v>
      </c>
      <c r="V483" s="86">
        <v>43524</v>
      </c>
      <c r="W483" s="85" t="s">
        <v>1653</v>
      </c>
      <c r="X483" s="85" t="s">
        <v>114</v>
      </c>
      <c r="Y483" s="85">
        <v>1</v>
      </c>
      <c r="Z483" s="85" t="s">
        <v>114</v>
      </c>
      <c r="AA483" s="85"/>
      <c r="AB483" s="85" t="s">
        <v>114</v>
      </c>
      <c r="AC483" s="85" t="s">
        <v>114</v>
      </c>
      <c r="AD483" s="85" t="s">
        <v>114</v>
      </c>
      <c r="AE483" s="85" t="s">
        <v>1677</v>
      </c>
      <c r="AF483" s="85"/>
      <c r="AG483" s="86">
        <v>43199</v>
      </c>
      <c r="AH483" s="85" t="s">
        <v>107</v>
      </c>
      <c r="AI483" s="85"/>
      <c r="AJ483" s="85" t="s">
        <v>1771</v>
      </c>
      <c r="AK483" s="86">
        <v>43167</v>
      </c>
      <c r="AL483" s="85" t="s">
        <v>107</v>
      </c>
      <c r="AM483" s="85" t="s">
        <v>107</v>
      </c>
      <c r="AN483" s="86">
        <v>43417</v>
      </c>
      <c r="AO483" s="86">
        <v>43417</v>
      </c>
      <c r="AP483" s="86">
        <v>43201</v>
      </c>
      <c r="AQ483" s="86">
        <v>43201</v>
      </c>
      <c r="AR483" s="86">
        <v>43201</v>
      </c>
      <c r="AS483" s="86">
        <v>43201</v>
      </c>
      <c r="AT483" s="86">
        <v>43201</v>
      </c>
      <c r="AU483" s="86">
        <v>43201</v>
      </c>
      <c r="AV483" s="86">
        <v>43201</v>
      </c>
      <c r="AW483" s="86">
        <v>43201</v>
      </c>
    </row>
    <row r="484" spans="1:49" x14ac:dyDescent="0.2">
      <c r="A484" s="85" t="s">
        <v>1471</v>
      </c>
      <c r="B484" s="85" t="s">
        <v>1472</v>
      </c>
      <c r="C484" s="85" t="s">
        <v>1473</v>
      </c>
      <c r="D484" s="85" t="s">
        <v>290</v>
      </c>
      <c r="E484" s="85" t="s">
        <v>141</v>
      </c>
      <c r="F484" s="85" t="s">
        <v>106</v>
      </c>
      <c r="G484" s="85" t="s">
        <v>4</v>
      </c>
      <c r="H484" s="85" t="s">
        <v>8</v>
      </c>
      <c r="I484" s="85" t="s">
        <v>107</v>
      </c>
      <c r="J484" s="86">
        <v>43167</v>
      </c>
      <c r="K484" s="86">
        <v>43167</v>
      </c>
      <c r="L484" s="85" t="s">
        <v>107</v>
      </c>
      <c r="M484" s="85" t="s">
        <v>107</v>
      </c>
      <c r="N484" s="85" t="s">
        <v>107</v>
      </c>
      <c r="O484" s="85" t="s">
        <v>107</v>
      </c>
      <c r="P484" s="85" t="s">
        <v>107</v>
      </c>
      <c r="Q484" s="86">
        <v>43532</v>
      </c>
      <c r="R484" s="85" t="s">
        <v>107</v>
      </c>
      <c r="S484" s="85" t="s">
        <v>107</v>
      </c>
      <c r="T484" s="85" t="s">
        <v>107</v>
      </c>
      <c r="U484" s="85" t="s">
        <v>107</v>
      </c>
      <c r="V484" s="85" t="s">
        <v>107</v>
      </c>
      <c r="W484" s="85" t="s">
        <v>107</v>
      </c>
      <c r="X484" s="85" t="s">
        <v>107</v>
      </c>
      <c r="Y484" s="85" t="s">
        <v>107</v>
      </c>
      <c r="Z484" s="85" t="s">
        <v>107</v>
      </c>
      <c r="AA484" s="85" t="s">
        <v>107</v>
      </c>
      <c r="AB484" s="85" t="s">
        <v>107</v>
      </c>
      <c r="AC484" s="85" t="s">
        <v>107</v>
      </c>
      <c r="AD484" s="85" t="s">
        <v>107</v>
      </c>
      <c r="AE484" s="85" t="s">
        <v>107</v>
      </c>
      <c r="AF484" s="85" t="s">
        <v>107</v>
      </c>
      <c r="AG484" s="86">
        <v>43167</v>
      </c>
      <c r="AH484" s="85" t="s">
        <v>1936</v>
      </c>
      <c r="AI484" s="85" t="s">
        <v>107</v>
      </c>
      <c r="AJ484" s="85" t="s">
        <v>107</v>
      </c>
      <c r="AK484" s="85" t="s">
        <v>107</v>
      </c>
      <c r="AL484" s="85" t="s">
        <v>107</v>
      </c>
      <c r="AM484" s="85" t="s">
        <v>107</v>
      </c>
      <c r="AN484" s="86">
        <v>43502</v>
      </c>
      <c r="AO484" s="86">
        <v>43209</v>
      </c>
      <c r="AP484" s="86">
        <v>43502</v>
      </c>
      <c r="AQ484" s="86">
        <v>42789</v>
      </c>
      <c r="AR484" s="86">
        <v>43502</v>
      </c>
      <c r="AS484" s="86">
        <v>43502</v>
      </c>
      <c r="AT484" s="86">
        <v>43502</v>
      </c>
      <c r="AU484" s="85" t="s">
        <v>107</v>
      </c>
      <c r="AV484" s="86">
        <v>43502</v>
      </c>
      <c r="AW484" s="86">
        <v>43502</v>
      </c>
    </row>
    <row r="485" spans="1:49" x14ac:dyDescent="0.2">
      <c r="A485" s="85" t="s">
        <v>1474</v>
      </c>
      <c r="B485" s="85" t="s">
        <v>1475</v>
      </c>
      <c r="C485" s="85" t="s">
        <v>1476</v>
      </c>
      <c r="D485" s="85" t="s">
        <v>927</v>
      </c>
      <c r="E485" s="85" t="s">
        <v>119</v>
      </c>
      <c r="F485" s="85" t="s">
        <v>122</v>
      </c>
      <c r="G485" s="85" t="s">
        <v>4</v>
      </c>
      <c r="H485" s="85" t="s">
        <v>5</v>
      </c>
      <c r="I485" s="86">
        <v>43421</v>
      </c>
      <c r="J485" s="86">
        <v>43123</v>
      </c>
      <c r="K485" s="86">
        <v>43497</v>
      </c>
      <c r="L485" s="85" t="s">
        <v>99</v>
      </c>
      <c r="M485" s="86">
        <v>43124</v>
      </c>
      <c r="N485" s="85" t="s">
        <v>107</v>
      </c>
      <c r="O485" s="86">
        <v>43254</v>
      </c>
      <c r="P485" s="86">
        <v>43213</v>
      </c>
      <c r="Q485" s="86">
        <v>43619</v>
      </c>
      <c r="R485" s="85" t="s">
        <v>1652</v>
      </c>
      <c r="S485" s="86">
        <v>43739</v>
      </c>
      <c r="T485" s="85" t="s">
        <v>1652</v>
      </c>
      <c r="U485" s="86">
        <v>43339</v>
      </c>
      <c r="V485" s="86">
        <v>43524</v>
      </c>
      <c r="W485" s="85" t="s">
        <v>1657</v>
      </c>
      <c r="X485" s="85" t="s">
        <v>114</v>
      </c>
      <c r="Y485" s="85">
        <v>1</v>
      </c>
      <c r="Z485" s="85" t="s">
        <v>114</v>
      </c>
      <c r="AA485" s="85"/>
      <c r="AB485" s="85" t="s">
        <v>114</v>
      </c>
      <c r="AC485" s="85" t="s">
        <v>114</v>
      </c>
      <c r="AD485" s="85" t="s">
        <v>114</v>
      </c>
      <c r="AE485" s="85"/>
      <c r="AF485" s="85"/>
      <c r="AG485" s="86">
        <v>43507</v>
      </c>
      <c r="AH485" s="85" t="s">
        <v>107</v>
      </c>
      <c r="AI485" s="86">
        <v>43136</v>
      </c>
      <c r="AJ485" s="86">
        <v>43136</v>
      </c>
      <c r="AK485" s="86">
        <v>43119</v>
      </c>
      <c r="AL485" s="85" t="s">
        <v>107</v>
      </c>
      <c r="AM485" s="85" t="s">
        <v>107</v>
      </c>
      <c r="AN485" s="86">
        <v>43507</v>
      </c>
      <c r="AO485" s="86">
        <v>43207</v>
      </c>
      <c r="AP485" s="86">
        <v>43507</v>
      </c>
      <c r="AQ485" s="86">
        <v>43109</v>
      </c>
      <c r="AR485" s="86">
        <v>43507</v>
      </c>
      <c r="AS485" s="86">
        <v>43507</v>
      </c>
      <c r="AT485" s="86">
        <v>43507</v>
      </c>
      <c r="AU485" s="86">
        <v>43507</v>
      </c>
      <c r="AV485" s="86">
        <v>43507</v>
      </c>
      <c r="AW485" s="86">
        <v>43507</v>
      </c>
    </row>
    <row r="486" spans="1:49" x14ac:dyDescent="0.2">
      <c r="A486" s="85" t="s">
        <v>1477</v>
      </c>
      <c r="B486" s="85" t="s">
        <v>1478</v>
      </c>
      <c r="C486" s="85" t="s">
        <v>1479</v>
      </c>
      <c r="D486" s="85" t="s">
        <v>1480</v>
      </c>
      <c r="E486" s="85" t="s">
        <v>141</v>
      </c>
      <c r="F486" s="85" t="s">
        <v>113</v>
      </c>
      <c r="G486" s="85" t="s">
        <v>4</v>
      </c>
      <c r="H486" s="85" t="s">
        <v>5</v>
      </c>
      <c r="I486" s="86">
        <v>43421</v>
      </c>
      <c r="J486" s="86">
        <v>43167</v>
      </c>
      <c r="K486" s="86">
        <v>43167</v>
      </c>
      <c r="L486" s="85" t="s">
        <v>99</v>
      </c>
      <c r="M486" s="86">
        <v>42481</v>
      </c>
      <c r="N486" s="85" t="s">
        <v>107</v>
      </c>
      <c r="O486" s="86">
        <v>43167</v>
      </c>
      <c r="P486" s="86">
        <v>43271</v>
      </c>
      <c r="Q486" s="86">
        <v>43532</v>
      </c>
      <c r="R486" s="85" t="s">
        <v>1652</v>
      </c>
      <c r="S486" s="86">
        <v>44958</v>
      </c>
      <c r="T486" s="85" t="s">
        <v>1652</v>
      </c>
      <c r="U486" s="86">
        <v>43418</v>
      </c>
      <c r="V486" s="86">
        <v>43799</v>
      </c>
      <c r="W486" s="85" t="s">
        <v>1653</v>
      </c>
      <c r="X486" s="85" t="s">
        <v>114</v>
      </c>
      <c r="Y486" s="85">
        <v>1</v>
      </c>
      <c r="Z486" s="85" t="s">
        <v>114</v>
      </c>
      <c r="AA486" s="85"/>
      <c r="AB486" s="85" t="s">
        <v>114</v>
      </c>
      <c r="AC486" s="85" t="s">
        <v>114</v>
      </c>
      <c r="AD486" s="85" t="s">
        <v>114</v>
      </c>
      <c r="AE486" s="85"/>
      <c r="AF486" s="85"/>
      <c r="AG486" s="86">
        <v>43488</v>
      </c>
      <c r="AH486" s="85" t="s">
        <v>107</v>
      </c>
      <c r="AI486" s="85"/>
      <c r="AJ486" s="86">
        <v>43431</v>
      </c>
      <c r="AK486" s="86">
        <v>43167</v>
      </c>
      <c r="AL486" s="85" t="s">
        <v>107</v>
      </c>
      <c r="AM486" s="85" t="s">
        <v>107</v>
      </c>
      <c r="AN486" s="86">
        <v>43467</v>
      </c>
      <c r="AO486" s="86">
        <v>43467</v>
      </c>
      <c r="AP486" s="86">
        <v>43467</v>
      </c>
      <c r="AQ486" s="86">
        <v>43467</v>
      </c>
      <c r="AR486" s="86">
        <v>43467</v>
      </c>
      <c r="AS486" s="86">
        <v>43467</v>
      </c>
      <c r="AT486" s="86">
        <v>43467</v>
      </c>
      <c r="AU486" s="86">
        <v>43467</v>
      </c>
      <c r="AV486" s="86">
        <v>43467</v>
      </c>
      <c r="AW486" s="86">
        <v>43467</v>
      </c>
    </row>
    <row r="487" spans="1:49" x14ac:dyDescent="0.2">
      <c r="A487" s="85" t="s">
        <v>1481</v>
      </c>
      <c r="B487" s="85" t="s">
        <v>1482</v>
      </c>
      <c r="C487" s="85" t="s">
        <v>1483</v>
      </c>
      <c r="D487" s="85" t="s">
        <v>1280</v>
      </c>
      <c r="E487" s="85" t="s">
        <v>141</v>
      </c>
      <c r="F487" s="85" t="s">
        <v>113</v>
      </c>
      <c r="G487" s="85" t="s">
        <v>4</v>
      </c>
      <c r="H487" s="85" t="s">
        <v>8</v>
      </c>
      <c r="I487" s="86">
        <v>43499</v>
      </c>
      <c r="J487" s="86">
        <v>43508</v>
      </c>
      <c r="K487" s="86">
        <v>43167</v>
      </c>
      <c r="L487" s="85" t="s">
        <v>99</v>
      </c>
      <c r="M487" s="86">
        <v>43499</v>
      </c>
      <c r="N487" s="85" t="s">
        <v>107</v>
      </c>
      <c r="O487" s="86">
        <v>43167</v>
      </c>
      <c r="P487" s="86">
        <v>43172</v>
      </c>
      <c r="Q487" s="86">
        <v>43532</v>
      </c>
      <c r="R487" s="85" t="s">
        <v>1652</v>
      </c>
      <c r="S487" s="86">
        <v>44075</v>
      </c>
      <c r="T487" s="85" t="s">
        <v>1652</v>
      </c>
      <c r="U487" s="86">
        <v>43446</v>
      </c>
      <c r="V487" s="86">
        <v>43646</v>
      </c>
      <c r="W487" s="85" t="s">
        <v>1657</v>
      </c>
      <c r="X487" s="85" t="s">
        <v>114</v>
      </c>
      <c r="Y487" s="85">
        <v>2</v>
      </c>
      <c r="Z487" s="85" t="s">
        <v>114</v>
      </c>
      <c r="AA487" s="85"/>
      <c r="AB487" s="85" t="s">
        <v>114</v>
      </c>
      <c r="AC487" s="85" t="s">
        <v>114</v>
      </c>
      <c r="AD487" s="85" t="s">
        <v>114</v>
      </c>
      <c r="AE487" s="85"/>
      <c r="AF487" s="85"/>
      <c r="AG487" s="86">
        <v>43167</v>
      </c>
      <c r="AH487" s="85" t="s">
        <v>107</v>
      </c>
      <c r="AI487" s="86">
        <v>42335</v>
      </c>
      <c r="AJ487" s="86">
        <v>43203</v>
      </c>
      <c r="AK487" s="86">
        <v>43167</v>
      </c>
      <c r="AL487" s="85" t="s">
        <v>107</v>
      </c>
      <c r="AM487" s="85" t="s">
        <v>107</v>
      </c>
      <c r="AN487" s="86">
        <v>43502</v>
      </c>
      <c r="AO487" s="86">
        <v>43209</v>
      </c>
      <c r="AP487" s="86">
        <v>43502</v>
      </c>
      <c r="AQ487" s="86">
        <v>43158</v>
      </c>
      <c r="AR487" s="86">
        <v>43502</v>
      </c>
      <c r="AS487" s="86">
        <v>43502</v>
      </c>
      <c r="AT487" s="86">
        <v>43502</v>
      </c>
      <c r="AU487" s="86">
        <v>43502</v>
      </c>
      <c r="AV487" s="86">
        <v>43502</v>
      </c>
      <c r="AW487" s="86">
        <v>43502</v>
      </c>
    </row>
    <row r="488" spans="1:49" x14ac:dyDescent="0.2">
      <c r="A488" s="85" t="s">
        <v>1484</v>
      </c>
      <c r="B488" s="85" t="s">
        <v>1485</v>
      </c>
      <c r="C488" s="85" t="s">
        <v>1486</v>
      </c>
      <c r="D488" s="85" t="s">
        <v>463</v>
      </c>
      <c r="E488" s="85" t="s">
        <v>291</v>
      </c>
      <c r="F488" s="85" t="s">
        <v>122</v>
      </c>
      <c r="G488" s="85" t="s">
        <v>4</v>
      </c>
      <c r="H488" s="85" t="s">
        <v>10</v>
      </c>
      <c r="I488" s="86">
        <v>43206</v>
      </c>
      <c r="J488" s="86">
        <v>43255</v>
      </c>
      <c r="K488" s="86">
        <v>43467</v>
      </c>
      <c r="L488" s="85" t="s">
        <v>99</v>
      </c>
      <c r="M488" s="86">
        <v>42717</v>
      </c>
      <c r="N488" s="85" t="s">
        <v>107</v>
      </c>
      <c r="O488" s="86">
        <v>42569</v>
      </c>
      <c r="P488" s="86">
        <v>43292</v>
      </c>
      <c r="Q488" s="85"/>
      <c r="R488" s="85" t="s">
        <v>1652</v>
      </c>
      <c r="S488" s="86">
        <v>43862</v>
      </c>
      <c r="T488" s="85" t="s">
        <v>1652</v>
      </c>
      <c r="U488" s="86">
        <v>43434</v>
      </c>
      <c r="V488" s="86">
        <v>43616</v>
      </c>
      <c r="W488" s="85" t="s">
        <v>1655</v>
      </c>
      <c r="X488" s="85" t="s">
        <v>114</v>
      </c>
      <c r="Y488" s="85">
        <v>1</v>
      </c>
      <c r="Z488" s="85" t="s">
        <v>114</v>
      </c>
      <c r="AA488" s="85"/>
      <c r="AB488" s="85" t="s">
        <v>114</v>
      </c>
      <c r="AC488" s="85" t="s">
        <v>114</v>
      </c>
      <c r="AD488" s="85" t="s">
        <v>114</v>
      </c>
      <c r="AE488" s="85"/>
      <c r="AF488" s="85"/>
      <c r="AG488" s="86">
        <v>43193</v>
      </c>
      <c r="AH488" s="85" t="s">
        <v>107</v>
      </c>
      <c r="AI488" s="86">
        <v>43376</v>
      </c>
      <c r="AJ488" s="86">
        <v>43376</v>
      </c>
      <c r="AK488" s="86">
        <v>42962</v>
      </c>
      <c r="AL488" s="85" t="s">
        <v>107</v>
      </c>
      <c r="AM488" s="85" t="s">
        <v>107</v>
      </c>
      <c r="AN488" s="86">
        <v>43403</v>
      </c>
      <c r="AO488" s="86">
        <v>43209</v>
      </c>
      <c r="AP488" s="86">
        <v>43048</v>
      </c>
      <c r="AQ488" s="86">
        <v>42786</v>
      </c>
      <c r="AR488" s="86">
        <v>43215</v>
      </c>
      <c r="AS488" s="86">
        <v>43215</v>
      </c>
      <c r="AT488" s="86">
        <v>42786</v>
      </c>
      <c r="AU488" s="86">
        <v>43215</v>
      </c>
      <c r="AV488" s="86">
        <v>43215</v>
      </c>
      <c r="AW488" s="86">
        <v>43215</v>
      </c>
    </row>
    <row r="489" spans="1:49" x14ac:dyDescent="0.2">
      <c r="A489" s="85" t="s">
        <v>1588</v>
      </c>
      <c r="B489" s="85" t="s">
        <v>1589</v>
      </c>
      <c r="C489" s="85" t="s">
        <v>1590</v>
      </c>
      <c r="D489" s="85" t="s">
        <v>244</v>
      </c>
      <c r="E489" s="85" t="s">
        <v>158</v>
      </c>
      <c r="F489" s="85" t="s">
        <v>144</v>
      </c>
      <c r="G489" s="85" t="s">
        <v>4</v>
      </c>
      <c r="H489" s="85" t="s">
        <v>13</v>
      </c>
      <c r="I489" s="86">
        <v>43465</v>
      </c>
      <c r="J489" s="86">
        <v>43203</v>
      </c>
      <c r="K489" s="86">
        <v>43203</v>
      </c>
      <c r="L489" s="85" t="s">
        <v>99</v>
      </c>
      <c r="M489" s="86">
        <v>43319</v>
      </c>
      <c r="N489" s="85" t="s">
        <v>107</v>
      </c>
      <c r="O489" s="86">
        <v>42912</v>
      </c>
      <c r="P489" s="86">
        <v>43328</v>
      </c>
      <c r="Q489" s="86">
        <v>43568</v>
      </c>
      <c r="R489" s="85" t="s">
        <v>1652</v>
      </c>
      <c r="S489" s="86">
        <v>43952</v>
      </c>
      <c r="T489" s="85" t="s">
        <v>1658</v>
      </c>
      <c r="U489" s="86">
        <v>43482</v>
      </c>
      <c r="V489" s="86">
        <v>43861</v>
      </c>
      <c r="W489" s="85" t="s">
        <v>1653</v>
      </c>
      <c r="X489" s="85" t="s">
        <v>114</v>
      </c>
      <c r="Y489" s="85">
        <v>1</v>
      </c>
      <c r="Z489" s="85" t="s">
        <v>114</v>
      </c>
      <c r="AA489" s="85"/>
      <c r="AB489" s="85" t="s">
        <v>114</v>
      </c>
      <c r="AC489" s="85" t="s">
        <v>114</v>
      </c>
      <c r="AD489" s="85" t="s">
        <v>114</v>
      </c>
      <c r="AE489" s="85"/>
      <c r="AF489" s="85"/>
      <c r="AG489" s="86">
        <v>43203</v>
      </c>
      <c r="AH489" s="85" t="s">
        <v>107</v>
      </c>
      <c r="AI489" s="86">
        <v>42521</v>
      </c>
      <c r="AJ489" s="86">
        <v>43208</v>
      </c>
      <c r="AK489" s="86">
        <v>42124</v>
      </c>
      <c r="AL489" s="85" t="s">
        <v>107</v>
      </c>
      <c r="AM489" s="85" t="s">
        <v>107</v>
      </c>
      <c r="AN489" s="86">
        <v>43507</v>
      </c>
      <c r="AO489" s="86">
        <v>43221</v>
      </c>
      <c r="AP489" s="86">
        <v>43507</v>
      </c>
      <c r="AQ489" s="86">
        <v>42115</v>
      </c>
      <c r="AR489" s="86">
        <v>43507</v>
      </c>
      <c r="AS489" s="86">
        <v>43507</v>
      </c>
      <c r="AT489" s="86">
        <v>43507</v>
      </c>
      <c r="AU489" s="86">
        <v>43507</v>
      </c>
      <c r="AV489" s="86">
        <v>43507</v>
      </c>
      <c r="AW489" s="86">
        <v>43507</v>
      </c>
    </row>
    <row r="490" spans="1:49" x14ac:dyDescent="0.2">
      <c r="A490" s="85" t="s">
        <v>1912</v>
      </c>
      <c r="B490" s="85" t="s">
        <v>1913</v>
      </c>
      <c r="C490" s="85" t="s">
        <v>1914</v>
      </c>
      <c r="D490" s="85" t="s">
        <v>1915</v>
      </c>
      <c r="E490" s="85" t="s">
        <v>119</v>
      </c>
      <c r="F490" s="85" t="s">
        <v>113</v>
      </c>
      <c r="G490" s="85" t="s">
        <v>4</v>
      </c>
      <c r="H490" s="85" t="s">
        <v>12</v>
      </c>
      <c r="I490" s="86">
        <v>43486</v>
      </c>
      <c r="J490" s="86">
        <v>43138</v>
      </c>
      <c r="K490" s="86">
        <v>43431</v>
      </c>
      <c r="L490" s="85" t="s">
        <v>99</v>
      </c>
      <c r="M490" s="86">
        <v>43054</v>
      </c>
      <c r="N490" s="85" t="s">
        <v>107</v>
      </c>
      <c r="O490" s="86">
        <v>42813</v>
      </c>
      <c r="P490" s="86">
        <v>43308</v>
      </c>
      <c r="Q490" s="85" t="s">
        <v>59</v>
      </c>
      <c r="R490" s="85" t="s">
        <v>1652</v>
      </c>
      <c r="S490" s="85" t="s">
        <v>59</v>
      </c>
      <c r="T490" s="85" t="s">
        <v>59</v>
      </c>
      <c r="U490" s="86">
        <v>43334</v>
      </c>
      <c r="V490" s="86">
        <v>43708</v>
      </c>
      <c r="W490" s="85" t="s">
        <v>1653</v>
      </c>
      <c r="X490" s="85" t="s">
        <v>114</v>
      </c>
      <c r="Y490" s="85">
        <v>1</v>
      </c>
      <c r="Z490" s="85" t="s">
        <v>114</v>
      </c>
      <c r="AA490" s="85"/>
      <c r="AB490" s="85" t="s">
        <v>119</v>
      </c>
      <c r="AC490" s="85" t="s">
        <v>114</v>
      </c>
      <c r="AD490" s="85" t="s">
        <v>119</v>
      </c>
      <c r="AE490" s="85" t="s">
        <v>1666</v>
      </c>
      <c r="AF490" s="85"/>
      <c r="AG490" s="86">
        <v>43503</v>
      </c>
      <c r="AH490" s="85" t="s">
        <v>107</v>
      </c>
      <c r="AI490" s="85" t="s">
        <v>59</v>
      </c>
      <c r="AJ490" s="85" t="s">
        <v>59</v>
      </c>
      <c r="AK490" s="85" t="s">
        <v>59</v>
      </c>
      <c r="AL490" s="85" t="s">
        <v>107</v>
      </c>
      <c r="AM490" s="85" t="s">
        <v>107</v>
      </c>
      <c r="AN490" s="86">
        <v>43489</v>
      </c>
      <c r="AO490" s="86">
        <v>43489</v>
      </c>
      <c r="AP490" s="86">
        <v>43489</v>
      </c>
      <c r="AQ490" s="86">
        <v>43489</v>
      </c>
      <c r="AR490" s="86">
        <v>43489</v>
      </c>
      <c r="AS490" s="86">
        <v>43489</v>
      </c>
      <c r="AT490" s="86">
        <v>43489</v>
      </c>
      <c r="AU490" s="86">
        <v>43489</v>
      </c>
      <c r="AV490" s="86">
        <v>43489</v>
      </c>
      <c r="AW490" s="86">
        <v>43489</v>
      </c>
    </row>
    <row r="491" spans="1:49" x14ac:dyDescent="0.2">
      <c r="A491" s="85" t="s">
        <v>1487</v>
      </c>
      <c r="B491" s="85" t="s">
        <v>1488</v>
      </c>
      <c r="C491" s="85" t="s">
        <v>1489</v>
      </c>
      <c r="D491" s="85" t="s">
        <v>239</v>
      </c>
      <c r="E491" s="85" t="s">
        <v>112</v>
      </c>
      <c r="F491" s="85" t="s">
        <v>100</v>
      </c>
      <c r="G491" s="85" t="s">
        <v>4</v>
      </c>
      <c r="H491" s="85" t="s">
        <v>5</v>
      </c>
      <c r="I491" s="86">
        <v>43407</v>
      </c>
      <c r="J491" s="86">
        <v>43431</v>
      </c>
      <c r="K491" s="86">
        <v>43482</v>
      </c>
      <c r="L491" s="85" t="s">
        <v>99</v>
      </c>
      <c r="M491" s="86">
        <v>43407</v>
      </c>
      <c r="N491" s="86">
        <v>43486</v>
      </c>
      <c r="O491" s="86">
        <v>43407</v>
      </c>
      <c r="P491" s="86">
        <v>43172</v>
      </c>
      <c r="Q491" s="86">
        <v>43491</v>
      </c>
      <c r="R491" s="85" t="s">
        <v>1652</v>
      </c>
      <c r="S491" s="86">
        <v>43647</v>
      </c>
      <c r="T491" s="85" t="s">
        <v>1652</v>
      </c>
      <c r="U491" s="85" t="s">
        <v>107</v>
      </c>
      <c r="V491" s="85" t="s">
        <v>107</v>
      </c>
      <c r="W491" s="85" t="s">
        <v>107</v>
      </c>
      <c r="X491" s="85" t="s">
        <v>107</v>
      </c>
      <c r="Y491" s="85" t="s">
        <v>107</v>
      </c>
      <c r="Z491" s="85" t="s">
        <v>107</v>
      </c>
      <c r="AA491" s="85" t="s">
        <v>107</v>
      </c>
      <c r="AB491" s="85" t="s">
        <v>107</v>
      </c>
      <c r="AC491" s="85" t="s">
        <v>107</v>
      </c>
      <c r="AD491" s="85" t="s">
        <v>107</v>
      </c>
      <c r="AE491" s="85" t="s">
        <v>107</v>
      </c>
      <c r="AF491" s="85" t="s">
        <v>107</v>
      </c>
      <c r="AG491" s="86">
        <v>43180</v>
      </c>
      <c r="AH491" s="85" t="s">
        <v>107</v>
      </c>
      <c r="AI491" s="85" t="s">
        <v>107</v>
      </c>
      <c r="AJ491" s="85" t="s">
        <v>107</v>
      </c>
      <c r="AK491" s="86">
        <v>43365</v>
      </c>
      <c r="AL491" s="85" t="s">
        <v>107</v>
      </c>
      <c r="AM491" s="85" t="s">
        <v>107</v>
      </c>
      <c r="AN491" s="86">
        <v>43375</v>
      </c>
      <c r="AO491" s="86">
        <v>43209</v>
      </c>
      <c r="AP491" s="86">
        <v>43126</v>
      </c>
      <c r="AQ491" s="86">
        <v>42293</v>
      </c>
      <c r="AR491" s="86">
        <v>43125</v>
      </c>
      <c r="AS491" s="86">
        <v>43158</v>
      </c>
      <c r="AT491" s="86">
        <v>43126</v>
      </c>
      <c r="AU491" s="86">
        <v>43156</v>
      </c>
      <c r="AV491" s="86">
        <v>43125</v>
      </c>
      <c r="AW491" s="86">
        <v>43125</v>
      </c>
    </row>
    <row r="492" spans="1:49" x14ac:dyDescent="0.2">
      <c r="A492" s="85" t="s">
        <v>1490</v>
      </c>
      <c r="B492" s="85" t="s">
        <v>1491</v>
      </c>
      <c r="C492" s="85" t="s">
        <v>1492</v>
      </c>
      <c r="D492" s="85" t="s">
        <v>435</v>
      </c>
      <c r="E492" s="85" t="s">
        <v>143</v>
      </c>
      <c r="F492" s="85" t="s">
        <v>100</v>
      </c>
      <c r="G492" s="85" t="s">
        <v>4</v>
      </c>
      <c r="H492" s="85" t="s">
        <v>12</v>
      </c>
      <c r="I492" s="86">
        <v>43368</v>
      </c>
      <c r="J492" s="86">
        <v>43167</v>
      </c>
      <c r="K492" s="86">
        <v>43167</v>
      </c>
      <c r="L492" s="85"/>
      <c r="M492" s="86">
        <v>43222</v>
      </c>
      <c r="N492" s="86">
        <v>43222</v>
      </c>
      <c r="O492" s="86">
        <v>43222</v>
      </c>
      <c r="P492" s="86">
        <v>43292</v>
      </c>
      <c r="Q492" s="86">
        <v>43532</v>
      </c>
      <c r="R492" s="85" t="s">
        <v>1652</v>
      </c>
      <c r="S492" s="86">
        <v>43922</v>
      </c>
      <c r="T492" s="85" t="s">
        <v>1652</v>
      </c>
      <c r="U492" s="85" t="s">
        <v>107</v>
      </c>
      <c r="V492" s="85" t="s">
        <v>107</v>
      </c>
      <c r="W492" s="85" t="s">
        <v>107</v>
      </c>
      <c r="X492" s="85" t="s">
        <v>107</v>
      </c>
      <c r="Y492" s="85" t="s">
        <v>107</v>
      </c>
      <c r="Z492" s="85" t="s">
        <v>107</v>
      </c>
      <c r="AA492" s="85" t="s">
        <v>107</v>
      </c>
      <c r="AB492" s="85" t="s">
        <v>107</v>
      </c>
      <c r="AC492" s="85" t="s">
        <v>107</v>
      </c>
      <c r="AD492" s="85" t="s">
        <v>107</v>
      </c>
      <c r="AE492" s="85" t="s">
        <v>107</v>
      </c>
      <c r="AF492" s="85" t="s">
        <v>107</v>
      </c>
      <c r="AG492" s="86">
        <v>43167</v>
      </c>
      <c r="AH492" s="85" t="s">
        <v>107</v>
      </c>
      <c r="AI492" s="85" t="s">
        <v>107</v>
      </c>
      <c r="AJ492" s="85" t="s">
        <v>107</v>
      </c>
      <c r="AK492" s="85"/>
      <c r="AL492" s="85" t="s">
        <v>107</v>
      </c>
      <c r="AM492" s="85" t="s">
        <v>107</v>
      </c>
      <c r="AN492" s="86">
        <v>43480</v>
      </c>
      <c r="AO492" s="86">
        <v>43209</v>
      </c>
      <c r="AP492" s="86">
        <v>43480</v>
      </c>
      <c r="AQ492" s="86">
        <v>42684</v>
      </c>
      <c r="AR492" s="86">
        <v>43480</v>
      </c>
      <c r="AS492" s="86">
        <v>43480</v>
      </c>
      <c r="AT492" s="86">
        <v>43480</v>
      </c>
      <c r="AU492" s="86">
        <v>43480</v>
      </c>
      <c r="AV492" s="86">
        <v>43480</v>
      </c>
      <c r="AW492" s="86">
        <v>43480</v>
      </c>
    </row>
    <row r="493" spans="1:49" x14ac:dyDescent="0.2">
      <c r="A493" s="85" t="s">
        <v>1493</v>
      </c>
      <c r="B493" s="85" t="s">
        <v>1494</v>
      </c>
      <c r="C493" s="85" t="s">
        <v>1495</v>
      </c>
      <c r="D493" s="85" t="s">
        <v>1496</v>
      </c>
      <c r="E493" s="85" t="s">
        <v>158</v>
      </c>
      <c r="F493" s="85" t="s">
        <v>136</v>
      </c>
      <c r="G493" s="85" t="s">
        <v>4</v>
      </c>
      <c r="H493" s="85" t="s">
        <v>5</v>
      </c>
      <c r="I493" s="86">
        <v>43215</v>
      </c>
      <c r="J493" s="86">
        <v>43502</v>
      </c>
      <c r="K493" s="86">
        <v>43434</v>
      </c>
      <c r="L493" s="85" t="s">
        <v>99</v>
      </c>
      <c r="M493" s="86">
        <v>43315</v>
      </c>
      <c r="N493" s="85" t="s">
        <v>107</v>
      </c>
      <c r="O493" s="86">
        <v>43434</v>
      </c>
      <c r="P493" s="86">
        <v>43292</v>
      </c>
      <c r="Q493" s="86">
        <v>43532</v>
      </c>
      <c r="R493" s="85" t="s">
        <v>1652</v>
      </c>
      <c r="S493" s="86">
        <v>43525</v>
      </c>
      <c r="T493" s="85" t="s">
        <v>1652</v>
      </c>
      <c r="U493" s="86">
        <v>43433</v>
      </c>
      <c r="V493" s="86">
        <v>43616</v>
      </c>
      <c r="W493" s="85" t="s">
        <v>1657</v>
      </c>
      <c r="X493" s="85" t="s">
        <v>114</v>
      </c>
      <c r="Y493" s="85">
        <v>2</v>
      </c>
      <c r="Z493" s="85" t="s">
        <v>114</v>
      </c>
      <c r="AA493" s="85"/>
      <c r="AB493" s="85" t="s">
        <v>114</v>
      </c>
      <c r="AC493" s="85" t="s">
        <v>114</v>
      </c>
      <c r="AD493" s="85" t="s">
        <v>114</v>
      </c>
      <c r="AE493" s="85"/>
      <c r="AF493" s="85"/>
      <c r="AG493" s="86">
        <v>43490</v>
      </c>
      <c r="AH493" s="85" t="s">
        <v>107</v>
      </c>
      <c r="AI493" s="85"/>
      <c r="AJ493" s="85"/>
      <c r="AK493" s="86">
        <v>43167</v>
      </c>
      <c r="AL493" s="86">
        <v>41963</v>
      </c>
      <c r="AM493" s="86">
        <v>41963</v>
      </c>
      <c r="AN493" s="86">
        <v>43375</v>
      </c>
      <c r="AO493" s="86">
        <v>43213</v>
      </c>
      <c r="AP493" s="86">
        <v>43160</v>
      </c>
      <c r="AQ493" s="86">
        <v>42347</v>
      </c>
      <c r="AR493" s="86">
        <v>43172</v>
      </c>
      <c r="AS493" s="86">
        <v>43172</v>
      </c>
      <c r="AT493" s="86">
        <v>43172</v>
      </c>
      <c r="AU493" s="86">
        <v>43172</v>
      </c>
      <c r="AV493" s="86">
        <v>43172</v>
      </c>
      <c r="AW493" s="86">
        <v>43172</v>
      </c>
    </row>
    <row r="494" spans="1:49" x14ac:dyDescent="0.2">
      <c r="A494" s="85" t="s">
        <v>1497</v>
      </c>
      <c r="B494" s="85" t="s">
        <v>1498</v>
      </c>
      <c r="C494" s="85" t="s">
        <v>1495</v>
      </c>
      <c r="D494" s="85" t="s">
        <v>1499</v>
      </c>
      <c r="E494" s="85" t="s">
        <v>126</v>
      </c>
      <c r="F494" s="85" t="s">
        <v>122</v>
      </c>
      <c r="G494" s="85" t="s">
        <v>4</v>
      </c>
      <c r="H494" s="85" t="s">
        <v>7</v>
      </c>
      <c r="I494" s="86">
        <v>43314</v>
      </c>
      <c r="J494" s="86">
        <v>43411</v>
      </c>
      <c r="K494" s="86">
        <v>43434</v>
      </c>
      <c r="L494" s="85" t="s">
        <v>99</v>
      </c>
      <c r="M494" s="86">
        <v>43095</v>
      </c>
      <c r="N494" s="85" t="s">
        <v>107</v>
      </c>
      <c r="O494" s="86">
        <v>43090</v>
      </c>
      <c r="P494" s="86">
        <v>43365</v>
      </c>
      <c r="Q494" s="86">
        <v>43726</v>
      </c>
      <c r="R494" s="85" t="s">
        <v>1652</v>
      </c>
      <c r="S494" s="86">
        <v>44044</v>
      </c>
      <c r="T494" s="85" t="s">
        <v>1652</v>
      </c>
      <c r="U494" s="86">
        <v>43455</v>
      </c>
      <c r="V494" s="86">
        <v>43830</v>
      </c>
      <c r="W494" s="85" t="s">
        <v>1653</v>
      </c>
      <c r="X494" s="85" t="s">
        <v>114</v>
      </c>
      <c r="Y494" s="85">
        <v>1</v>
      </c>
      <c r="Z494" s="85" t="s">
        <v>114</v>
      </c>
      <c r="AA494" s="85"/>
      <c r="AB494" s="85" t="s">
        <v>114</v>
      </c>
      <c r="AC494" s="85" t="s">
        <v>114</v>
      </c>
      <c r="AD494" s="85" t="s">
        <v>114</v>
      </c>
      <c r="AE494" s="85"/>
      <c r="AF494" s="85"/>
      <c r="AG494" s="86">
        <v>43417</v>
      </c>
      <c r="AH494" s="85" t="s">
        <v>107</v>
      </c>
      <c r="AI494" s="86">
        <v>42807</v>
      </c>
      <c r="AJ494" s="86">
        <v>43411</v>
      </c>
      <c r="AK494" s="86">
        <v>42551</v>
      </c>
      <c r="AL494" s="85" t="s">
        <v>107</v>
      </c>
      <c r="AM494" s="85" t="s">
        <v>107</v>
      </c>
      <c r="AN494" s="86">
        <v>43398</v>
      </c>
      <c r="AO494" s="86">
        <v>43311</v>
      </c>
      <c r="AP494" s="86">
        <v>43047</v>
      </c>
      <c r="AQ494" s="86">
        <v>42548</v>
      </c>
      <c r="AR494" s="86">
        <v>43314</v>
      </c>
      <c r="AS494" s="86">
        <v>43314</v>
      </c>
      <c r="AT494" s="86">
        <v>43314</v>
      </c>
      <c r="AU494" s="86">
        <v>43314</v>
      </c>
      <c r="AV494" s="86">
        <v>43314</v>
      </c>
      <c r="AW494" s="86">
        <v>43314</v>
      </c>
    </row>
    <row r="495" spans="1:49" x14ac:dyDescent="0.2">
      <c r="A495" s="85" t="s">
        <v>1500</v>
      </c>
      <c r="B495" s="85" t="s">
        <v>1501</v>
      </c>
      <c r="C495" s="85" t="s">
        <v>1495</v>
      </c>
      <c r="D495" s="85" t="s">
        <v>1502</v>
      </c>
      <c r="E495" s="85" t="s">
        <v>231</v>
      </c>
      <c r="F495" s="85" t="s">
        <v>100</v>
      </c>
      <c r="G495" s="85" t="s">
        <v>4</v>
      </c>
      <c r="H495" s="85" t="s">
        <v>7</v>
      </c>
      <c r="I495" s="86">
        <v>43408</v>
      </c>
      <c r="J495" s="86">
        <v>43167</v>
      </c>
      <c r="K495" s="86">
        <v>43164</v>
      </c>
      <c r="L495" s="85" t="s">
        <v>99</v>
      </c>
      <c r="M495" s="86">
        <v>42725</v>
      </c>
      <c r="N495" s="86">
        <v>43408</v>
      </c>
      <c r="O495" s="86">
        <v>43164</v>
      </c>
      <c r="P495" s="86">
        <v>43244</v>
      </c>
      <c r="Q495" s="86">
        <v>43532</v>
      </c>
      <c r="R495" s="85" t="s">
        <v>1652</v>
      </c>
      <c r="S495" s="86">
        <v>43586</v>
      </c>
      <c r="T495" s="85" t="s">
        <v>1652</v>
      </c>
      <c r="U495" s="85" t="s">
        <v>107</v>
      </c>
      <c r="V495" s="85" t="s">
        <v>107</v>
      </c>
      <c r="W495" s="85" t="s">
        <v>107</v>
      </c>
      <c r="X495" s="85" t="s">
        <v>107</v>
      </c>
      <c r="Y495" s="85" t="s">
        <v>107</v>
      </c>
      <c r="Z495" s="85" t="s">
        <v>107</v>
      </c>
      <c r="AA495" s="85" t="s">
        <v>107</v>
      </c>
      <c r="AB495" s="85" t="s">
        <v>107</v>
      </c>
      <c r="AC495" s="85" t="s">
        <v>107</v>
      </c>
      <c r="AD495" s="85" t="s">
        <v>107</v>
      </c>
      <c r="AE495" s="85" t="s">
        <v>107</v>
      </c>
      <c r="AF495" s="85" t="s">
        <v>107</v>
      </c>
      <c r="AG495" s="86">
        <v>43167</v>
      </c>
      <c r="AH495" s="85" t="s">
        <v>107</v>
      </c>
      <c r="AI495" s="85" t="s">
        <v>107</v>
      </c>
      <c r="AJ495" s="85" t="s">
        <v>107</v>
      </c>
      <c r="AK495" s="86">
        <v>43164</v>
      </c>
      <c r="AL495" s="85" t="s">
        <v>107</v>
      </c>
      <c r="AM495" s="85" t="s">
        <v>107</v>
      </c>
      <c r="AN495" s="86">
        <v>43398</v>
      </c>
      <c r="AO495" s="86">
        <v>43207</v>
      </c>
      <c r="AP495" s="86">
        <v>43315</v>
      </c>
      <c r="AQ495" s="86">
        <v>43315</v>
      </c>
      <c r="AR495" s="86">
        <v>43315</v>
      </c>
      <c r="AS495" s="86">
        <v>43315</v>
      </c>
      <c r="AT495" s="86">
        <v>43315</v>
      </c>
      <c r="AU495" s="86">
        <v>43315</v>
      </c>
      <c r="AV495" s="86">
        <v>43315</v>
      </c>
      <c r="AW495" s="86">
        <v>43315</v>
      </c>
    </row>
    <row r="496" spans="1:49" x14ac:dyDescent="0.2">
      <c r="A496" s="85" t="s">
        <v>1503</v>
      </c>
      <c r="B496" s="85" t="s">
        <v>1504</v>
      </c>
      <c r="C496" s="85" t="s">
        <v>1505</v>
      </c>
      <c r="D496" s="85" t="s">
        <v>1506</v>
      </c>
      <c r="E496" s="85" t="s">
        <v>121</v>
      </c>
      <c r="F496" s="85" t="s">
        <v>122</v>
      </c>
      <c r="G496" s="85" t="s">
        <v>4</v>
      </c>
      <c r="H496" s="85" t="s">
        <v>10</v>
      </c>
      <c r="I496" s="86">
        <v>43451</v>
      </c>
      <c r="J496" s="86">
        <v>43235</v>
      </c>
      <c r="K496" s="86">
        <v>43497</v>
      </c>
      <c r="L496" s="85" t="s">
        <v>99</v>
      </c>
      <c r="M496" s="86">
        <v>42723</v>
      </c>
      <c r="N496" s="85" t="s">
        <v>107</v>
      </c>
      <c r="O496" s="86">
        <v>43251</v>
      </c>
      <c r="P496" s="85"/>
      <c r="Q496" s="86">
        <v>43862</v>
      </c>
      <c r="R496" s="85" t="s">
        <v>1658</v>
      </c>
      <c r="S496" s="86">
        <v>43617</v>
      </c>
      <c r="T496" s="85" t="s">
        <v>1652</v>
      </c>
      <c r="U496" s="86">
        <v>43453</v>
      </c>
      <c r="V496" s="86">
        <v>43548</v>
      </c>
      <c r="W496" s="85" t="s">
        <v>1662</v>
      </c>
      <c r="X496" s="85" t="s">
        <v>114</v>
      </c>
      <c r="Y496" s="85">
        <v>1</v>
      </c>
      <c r="Z496" s="85" t="s">
        <v>114</v>
      </c>
      <c r="AA496" s="85"/>
      <c r="AB496" s="85" t="s">
        <v>114</v>
      </c>
      <c r="AC496" s="85" t="s">
        <v>114</v>
      </c>
      <c r="AD496" s="85" t="s">
        <v>114</v>
      </c>
      <c r="AE496" s="85"/>
      <c r="AF496" s="85"/>
      <c r="AG496" s="86">
        <v>43165</v>
      </c>
      <c r="AH496" s="85" t="s">
        <v>107</v>
      </c>
      <c r="AI496" s="86">
        <v>43377</v>
      </c>
      <c r="AJ496" s="86">
        <v>43377</v>
      </c>
      <c r="AK496" s="86">
        <v>42975</v>
      </c>
      <c r="AL496" s="85" t="s">
        <v>107</v>
      </c>
      <c r="AM496" s="85" t="s">
        <v>107</v>
      </c>
      <c r="AN496" s="86">
        <v>43493</v>
      </c>
      <c r="AO496" s="86">
        <v>43210</v>
      </c>
      <c r="AP496" s="86">
        <v>43493</v>
      </c>
      <c r="AQ496" s="86">
        <v>42746</v>
      </c>
      <c r="AR496" s="86">
        <v>43493</v>
      </c>
      <c r="AS496" s="86">
        <v>43493</v>
      </c>
      <c r="AT496" s="86">
        <v>43493</v>
      </c>
      <c r="AU496" s="86">
        <v>43493</v>
      </c>
      <c r="AV496" s="86">
        <v>43493</v>
      </c>
      <c r="AW496" s="86">
        <v>43493</v>
      </c>
    </row>
    <row r="497" spans="1:49" x14ac:dyDescent="0.2">
      <c r="A497" s="85" t="s">
        <v>1507</v>
      </c>
      <c r="B497" s="85" t="s">
        <v>1508</v>
      </c>
      <c r="C497" s="85" t="s">
        <v>1509</v>
      </c>
      <c r="D497" s="85" t="s">
        <v>956</v>
      </c>
      <c r="E497" s="85" t="s">
        <v>126</v>
      </c>
      <c r="F497" s="85" t="s">
        <v>106</v>
      </c>
      <c r="G497" s="85" t="s">
        <v>4</v>
      </c>
      <c r="H497" s="85" t="s">
        <v>7</v>
      </c>
      <c r="I497" s="85" t="s">
        <v>107</v>
      </c>
      <c r="J497" s="86">
        <v>43167</v>
      </c>
      <c r="K497" s="86">
        <v>43164</v>
      </c>
      <c r="L497" s="85" t="s">
        <v>107</v>
      </c>
      <c r="M497" s="85" t="s">
        <v>107</v>
      </c>
      <c r="N497" s="85" t="s">
        <v>107</v>
      </c>
      <c r="O497" s="85" t="s">
        <v>107</v>
      </c>
      <c r="P497" s="85" t="s">
        <v>107</v>
      </c>
      <c r="Q497" s="86">
        <v>43532</v>
      </c>
      <c r="R497" s="85" t="s">
        <v>107</v>
      </c>
      <c r="S497" s="85" t="s">
        <v>107</v>
      </c>
      <c r="T497" s="85" t="s">
        <v>107</v>
      </c>
      <c r="U497" s="85" t="s">
        <v>107</v>
      </c>
      <c r="V497" s="85" t="s">
        <v>107</v>
      </c>
      <c r="W497" s="85" t="s">
        <v>107</v>
      </c>
      <c r="X497" s="85" t="s">
        <v>107</v>
      </c>
      <c r="Y497" s="85" t="s">
        <v>107</v>
      </c>
      <c r="Z497" s="85" t="s">
        <v>107</v>
      </c>
      <c r="AA497" s="85" t="s">
        <v>107</v>
      </c>
      <c r="AB497" s="85" t="s">
        <v>107</v>
      </c>
      <c r="AC497" s="85" t="s">
        <v>107</v>
      </c>
      <c r="AD497" s="85" t="s">
        <v>107</v>
      </c>
      <c r="AE497" s="85" t="s">
        <v>107</v>
      </c>
      <c r="AF497" s="85" t="s">
        <v>107</v>
      </c>
      <c r="AG497" s="86">
        <v>43510</v>
      </c>
      <c r="AH497" s="85" t="s">
        <v>107</v>
      </c>
      <c r="AI497" s="85" t="s">
        <v>107</v>
      </c>
      <c r="AJ497" s="85" t="s">
        <v>107</v>
      </c>
      <c r="AK497" s="85" t="s">
        <v>107</v>
      </c>
      <c r="AL497" s="85" t="s">
        <v>107</v>
      </c>
      <c r="AM497" s="85" t="s">
        <v>107</v>
      </c>
      <c r="AN497" s="86">
        <v>43398</v>
      </c>
      <c r="AO497" s="86">
        <v>43207</v>
      </c>
      <c r="AP497" s="86">
        <v>43315</v>
      </c>
      <c r="AQ497" s="86">
        <v>43315</v>
      </c>
      <c r="AR497" s="86">
        <v>43315</v>
      </c>
      <c r="AS497" s="86">
        <v>43315</v>
      </c>
      <c r="AT497" s="86">
        <v>43315</v>
      </c>
      <c r="AU497" s="85" t="s">
        <v>107</v>
      </c>
      <c r="AV497" s="86">
        <v>43315</v>
      </c>
      <c r="AW497" s="86">
        <v>43315</v>
      </c>
    </row>
    <row r="498" spans="1:49" x14ac:dyDescent="0.2">
      <c r="A498" s="85" t="s">
        <v>1510</v>
      </c>
      <c r="B498" s="85" t="s">
        <v>1511</v>
      </c>
      <c r="C498" s="85" t="s">
        <v>1512</v>
      </c>
      <c r="D498" s="85" t="s">
        <v>407</v>
      </c>
      <c r="E498" s="85" t="s">
        <v>222</v>
      </c>
      <c r="F498" s="85" t="s">
        <v>113</v>
      </c>
      <c r="G498" s="85" t="s">
        <v>4</v>
      </c>
      <c r="H498" s="85" t="s">
        <v>8</v>
      </c>
      <c r="I498" s="86">
        <v>43465</v>
      </c>
      <c r="J498" s="86">
        <v>43353</v>
      </c>
      <c r="K498" s="86">
        <v>43390</v>
      </c>
      <c r="L498" s="85" t="s">
        <v>99</v>
      </c>
      <c r="M498" s="86">
        <v>42991</v>
      </c>
      <c r="N498" s="85" t="s">
        <v>107</v>
      </c>
      <c r="O498" s="86">
        <v>42623</v>
      </c>
      <c r="P498" s="86">
        <v>43237</v>
      </c>
      <c r="Q498" s="86">
        <v>43736</v>
      </c>
      <c r="R498" s="85" t="s">
        <v>1652</v>
      </c>
      <c r="S498" s="86">
        <v>43525</v>
      </c>
      <c r="T498" s="85" t="s">
        <v>1652</v>
      </c>
      <c r="U498" s="86">
        <v>43167</v>
      </c>
      <c r="V498" s="86">
        <v>43555</v>
      </c>
      <c r="W498" s="85" t="s">
        <v>1653</v>
      </c>
      <c r="X498" s="85" t="s">
        <v>114</v>
      </c>
      <c r="Y498" s="85">
        <v>1</v>
      </c>
      <c r="Z498" s="85" t="s">
        <v>211</v>
      </c>
      <c r="AA498" s="85"/>
      <c r="AB498" s="85" t="s">
        <v>114</v>
      </c>
      <c r="AC498" s="85" t="s">
        <v>114</v>
      </c>
      <c r="AD498" s="85" t="s">
        <v>211</v>
      </c>
      <c r="AE498" s="85" t="s">
        <v>1661</v>
      </c>
      <c r="AF498" s="86">
        <v>43537</v>
      </c>
      <c r="AG498" s="86">
        <v>43238</v>
      </c>
      <c r="AH498" s="85" t="s">
        <v>107</v>
      </c>
      <c r="AI498" s="86">
        <v>43220</v>
      </c>
      <c r="AJ498" s="86">
        <v>43377</v>
      </c>
      <c r="AK498" s="86">
        <v>41967</v>
      </c>
      <c r="AL498" s="85" t="s">
        <v>107</v>
      </c>
      <c r="AM498" s="85" t="s">
        <v>107</v>
      </c>
      <c r="AN498" s="86">
        <v>43405</v>
      </c>
      <c r="AO498" s="86">
        <v>43220</v>
      </c>
      <c r="AP498" s="86">
        <v>43220</v>
      </c>
      <c r="AQ498" s="86">
        <v>43220</v>
      </c>
      <c r="AR498" s="86">
        <v>43220</v>
      </c>
      <c r="AS498" s="86">
        <v>43220</v>
      </c>
      <c r="AT498" s="86">
        <v>43220</v>
      </c>
      <c r="AU498" s="86">
        <v>43220</v>
      </c>
      <c r="AV498" s="86">
        <v>43220</v>
      </c>
      <c r="AW498" s="86">
        <v>43220</v>
      </c>
    </row>
    <row r="499" spans="1:49" x14ac:dyDescent="0.2">
      <c r="A499" s="85" t="s">
        <v>1740</v>
      </c>
      <c r="B499" s="85" t="s">
        <v>1741</v>
      </c>
      <c r="C499" s="85" t="s">
        <v>1513</v>
      </c>
      <c r="D499" s="85" t="s">
        <v>329</v>
      </c>
      <c r="E499" s="85" t="s">
        <v>121</v>
      </c>
      <c r="F499" s="85" t="s">
        <v>270</v>
      </c>
      <c r="G499" s="85" t="s">
        <v>4</v>
      </c>
      <c r="H499" s="85" t="s">
        <v>8</v>
      </c>
      <c r="I499" s="86">
        <v>43465</v>
      </c>
      <c r="J499" s="86">
        <v>43418</v>
      </c>
      <c r="K499" s="86">
        <v>43024</v>
      </c>
      <c r="L499" s="85" t="s">
        <v>99</v>
      </c>
      <c r="M499" s="86">
        <v>42305</v>
      </c>
      <c r="N499" s="85" t="s">
        <v>107</v>
      </c>
      <c r="O499" s="86">
        <v>43024</v>
      </c>
      <c r="P499" s="85"/>
      <c r="Q499" s="86">
        <v>365</v>
      </c>
      <c r="R499" s="85" t="s">
        <v>1652</v>
      </c>
      <c r="S499" s="85" t="s">
        <v>59</v>
      </c>
      <c r="T499" s="85" t="s">
        <v>59</v>
      </c>
      <c r="U499" s="86">
        <v>43160</v>
      </c>
      <c r="V499" s="86">
        <v>43555</v>
      </c>
      <c r="W499" s="85" t="s">
        <v>1653</v>
      </c>
      <c r="X499" s="85" t="s">
        <v>114</v>
      </c>
      <c r="Y499" s="85">
        <v>1</v>
      </c>
      <c r="Z499" s="85" t="s">
        <v>114</v>
      </c>
      <c r="AA499" s="85"/>
      <c r="AB499" s="85" t="s">
        <v>114</v>
      </c>
      <c r="AC499" s="85" t="s">
        <v>114</v>
      </c>
      <c r="AD499" s="85" t="s">
        <v>114</v>
      </c>
      <c r="AE499" s="85"/>
      <c r="AF499" s="85"/>
      <c r="AG499" s="86">
        <v>43430</v>
      </c>
      <c r="AH499" s="85" t="s">
        <v>107</v>
      </c>
      <c r="AI499" s="85"/>
      <c r="AJ499" s="85"/>
      <c r="AK499" s="85"/>
      <c r="AL499" s="85"/>
      <c r="AM499" s="85"/>
      <c r="AN499" s="86">
        <v>43424</v>
      </c>
      <c r="AO499" s="86">
        <v>43424</v>
      </c>
      <c r="AP499" s="86">
        <v>43424</v>
      </c>
      <c r="AQ499" s="86">
        <v>43424</v>
      </c>
      <c r="AR499" s="86">
        <v>43424</v>
      </c>
      <c r="AS499" s="86">
        <v>43424</v>
      </c>
      <c r="AT499" s="86">
        <v>43424</v>
      </c>
      <c r="AU499" s="86">
        <v>43424</v>
      </c>
      <c r="AV499" s="86">
        <v>43424</v>
      </c>
      <c r="AW499" s="86">
        <v>43424</v>
      </c>
    </row>
    <row r="500" spans="1:49" x14ac:dyDescent="0.2">
      <c r="A500" s="85" t="s">
        <v>1623</v>
      </c>
      <c r="B500" s="85" t="s">
        <v>1624</v>
      </c>
      <c r="C500" s="85" t="s">
        <v>1625</v>
      </c>
      <c r="D500" s="85" t="s">
        <v>623</v>
      </c>
      <c r="E500" s="85" t="s">
        <v>158</v>
      </c>
      <c r="F500" s="85" t="s">
        <v>144</v>
      </c>
      <c r="G500" s="85" t="s">
        <v>4</v>
      </c>
      <c r="H500" s="85" t="s">
        <v>8</v>
      </c>
      <c r="I500" s="86">
        <v>43475</v>
      </c>
      <c r="J500" s="86">
        <v>43234</v>
      </c>
      <c r="K500" s="86">
        <v>43207</v>
      </c>
      <c r="L500" s="85" t="s">
        <v>99</v>
      </c>
      <c r="M500" s="86">
        <v>42927</v>
      </c>
      <c r="N500" s="85" t="s">
        <v>107</v>
      </c>
      <c r="O500" s="86">
        <v>42627</v>
      </c>
      <c r="P500" s="86">
        <v>43377</v>
      </c>
      <c r="Q500" s="86">
        <v>365</v>
      </c>
      <c r="R500" s="85" t="s">
        <v>1652</v>
      </c>
      <c r="S500" s="86">
        <v>44105</v>
      </c>
      <c r="T500" s="85" t="s">
        <v>1652</v>
      </c>
      <c r="U500" s="86">
        <v>43490</v>
      </c>
      <c r="V500" s="86">
        <v>43677</v>
      </c>
      <c r="W500" s="85" t="s">
        <v>1657</v>
      </c>
      <c r="X500" s="85" t="s">
        <v>119</v>
      </c>
      <c r="Y500" s="85">
        <v>1</v>
      </c>
      <c r="Z500" s="85" t="s">
        <v>114</v>
      </c>
      <c r="AA500" s="85"/>
      <c r="AB500" s="85" t="s">
        <v>114</v>
      </c>
      <c r="AC500" s="85" t="s">
        <v>114</v>
      </c>
      <c r="AD500" s="85" t="s">
        <v>119</v>
      </c>
      <c r="AE500" s="85" t="s">
        <v>1664</v>
      </c>
      <c r="AF500" s="85"/>
      <c r="AG500" s="86">
        <v>43340</v>
      </c>
      <c r="AH500" s="85" t="s">
        <v>107</v>
      </c>
      <c r="AI500" s="85"/>
      <c r="AJ500" s="85" t="s">
        <v>1770</v>
      </c>
      <c r="AK500" s="86">
        <v>41604</v>
      </c>
      <c r="AL500" s="85"/>
      <c r="AM500" s="85"/>
      <c r="AN500" s="86">
        <v>43479</v>
      </c>
      <c r="AO500" s="86">
        <v>43314</v>
      </c>
      <c r="AP500" s="86">
        <v>43314</v>
      </c>
      <c r="AQ500" s="86">
        <v>43314</v>
      </c>
      <c r="AR500" s="86">
        <v>43314</v>
      </c>
      <c r="AS500" s="86">
        <v>43314</v>
      </c>
      <c r="AT500" s="86">
        <v>43314</v>
      </c>
      <c r="AU500" s="86">
        <v>43314</v>
      </c>
      <c r="AV500" s="86">
        <v>43314</v>
      </c>
      <c r="AW500" s="86">
        <v>43314</v>
      </c>
    </row>
    <row r="501" spans="1:49" x14ac:dyDescent="0.2">
      <c r="A501" s="85" t="s">
        <v>1514</v>
      </c>
      <c r="B501" s="85" t="s">
        <v>1515</v>
      </c>
      <c r="C501" s="85" t="s">
        <v>1516</v>
      </c>
      <c r="D501" s="85" t="s">
        <v>1192</v>
      </c>
      <c r="E501" s="85"/>
      <c r="F501" s="85" t="s">
        <v>106</v>
      </c>
      <c r="G501" s="85" t="s">
        <v>4</v>
      </c>
      <c r="H501" s="85" t="s">
        <v>5</v>
      </c>
      <c r="I501" s="85" t="s">
        <v>107</v>
      </c>
      <c r="J501" s="85" t="s">
        <v>59</v>
      </c>
      <c r="K501" s="85" t="s">
        <v>59</v>
      </c>
      <c r="L501" s="85" t="s">
        <v>107</v>
      </c>
      <c r="M501" s="85" t="s">
        <v>107</v>
      </c>
      <c r="N501" s="85" t="s">
        <v>107</v>
      </c>
      <c r="O501" s="85" t="s">
        <v>107</v>
      </c>
      <c r="P501" s="85" t="s">
        <v>107</v>
      </c>
      <c r="Q501" s="86">
        <v>43643</v>
      </c>
      <c r="R501" s="85" t="s">
        <v>107</v>
      </c>
      <c r="S501" s="85" t="s">
        <v>107</v>
      </c>
      <c r="T501" s="85" t="s">
        <v>107</v>
      </c>
      <c r="U501" s="85" t="s">
        <v>107</v>
      </c>
      <c r="V501" s="85" t="s">
        <v>107</v>
      </c>
      <c r="W501" s="85" t="s">
        <v>107</v>
      </c>
      <c r="X501" s="85" t="s">
        <v>107</v>
      </c>
      <c r="Y501" s="85" t="s">
        <v>107</v>
      </c>
      <c r="Z501" s="85" t="s">
        <v>107</v>
      </c>
      <c r="AA501" s="85" t="s">
        <v>107</v>
      </c>
      <c r="AB501" s="85" t="s">
        <v>107</v>
      </c>
      <c r="AC501" s="85" t="s">
        <v>107</v>
      </c>
      <c r="AD501" s="85" t="s">
        <v>107</v>
      </c>
      <c r="AE501" s="85" t="s">
        <v>107</v>
      </c>
      <c r="AF501" s="85" t="s">
        <v>107</v>
      </c>
      <c r="AG501" s="86">
        <v>43313</v>
      </c>
      <c r="AH501" s="85" t="s">
        <v>107</v>
      </c>
      <c r="AI501" s="85" t="s">
        <v>107</v>
      </c>
      <c r="AJ501" s="85" t="s">
        <v>107</v>
      </c>
      <c r="AK501" s="85" t="s">
        <v>107</v>
      </c>
      <c r="AL501" s="85" t="s">
        <v>107</v>
      </c>
      <c r="AM501" s="85" t="s">
        <v>107</v>
      </c>
      <c r="AN501" s="86">
        <v>43467</v>
      </c>
      <c r="AO501" s="86">
        <v>43467</v>
      </c>
      <c r="AP501" s="86">
        <v>43467</v>
      </c>
      <c r="AQ501" s="86">
        <v>43467</v>
      </c>
      <c r="AR501" s="86">
        <v>43467</v>
      </c>
      <c r="AS501" s="86">
        <v>43467</v>
      </c>
      <c r="AT501" s="86">
        <v>43467</v>
      </c>
      <c r="AU501" s="85" t="s">
        <v>107</v>
      </c>
      <c r="AV501" s="86">
        <v>43467</v>
      </c>
      <c r="AW501" s="86">
        <v>43467</v>
      </c>
    </row>
    <row r="502" spans="1:49" x14ac:dyDescent="0.2">
      <c r="A502" s="85" t="s">
        <v>1517</v>
      </c>
      <c r="B502" s="85" t="s">
        <v>1518</v>
      </c>
      <c r="C502" s="85" t="s">
        <v>1519</v>
      </c>
      <c r="D502" s="85" t="s">
        <v>532</v>
      </c>
      <c r="E502" s="85" t="s">
        <v>121</v>
      </c>
      <c r="F502" s="85" t="s">
        <v>113</v>
      </c>
      <c r="G502" s="85" t="s">
        <v>4</v>
      </c>
      <c r="H502" s="85" t="s">
        <v>12</v>
      </c>
      <c r="I502" s="86">
        <v>43368</v>
      </c>
      <c r="J502" s="86">
        <v>43484</v>
      </c>
      <c r="K502" s="86">
        <v>43121</v>
      </c>
      <c r="L502" s="85" t="s">
        <v>99</v>
      </c>
      <c r="M502" s="86">
        <v>42850</v>
      </c>
      <c r="N502" s="85" t="s">
        <v>107</v>
      </c>
      <c r="O502" s="86">
        <v>42650</v>
      </c>
      <c r="P502" s="86">
        <v>43329</v>
      </c>
      <c r="Q502" s="86">
        <v>43738</v>
      </c>
      <c r="R502" s="85" t="s">
        <v>1652</v>
      </c>
      <c r="S502" s="86">
        <v>43586</v>
      </c>
      <c r="T502" s="85" t="s">
        <v>1652</v>
      </c>
      <c r="U502" s="86">
        <v>43361</v>
      </c>
      <c r="V502" s="86">
        <v>43555</v>
      </c>
      <c r="W502" s="85" t="s">
        <v>1657</v>
      </c>
      <c r="X502" s="85" t="s">
        <v>114</v>
      </c>
      <c r="Y502" s="85">
        <v>1</v>
      </c>
      <c r="Z502" s="85" t="s">
        <v>114</v>
      </c>
      <c r="AA502" s="85"/>
      <c r="AB502" s="85" t="s">
        <v>114</v>
      </c>
      <c r="AC502" s="85" t="s">
        <v>114</v>
      </c>
      <c r="AD502" s="85" t="s">
        <v>114</v>
      </c>
      <c r="AE502" s="85"/>
      <c r="AF502" s="85"/>
      <c r="AG502" s="86">
        <v>43319</v>
      </c>
      <c r="AH502" s="85" t="s">
        <v>107</v>
      </c>
      <c r="AI502" s="86">
        <v>42520</v>
      </c>
      <c r="AJ502" s="86">
        <v>43396</v>
      </c>
      <c r="AK502" s="86">
        <v>42061</v>
      </c>
      <c r="AL502" s="85"/>
      <c r="AM502" s="85"/>
      <c r="AN502" s="86">
        <v>43480</v>
      </c>
      <c r="AO502" s="86">
        <v>43259</v>
      </c>
      <c r="AP502" s="86">
        <v>43480</v>
      </c>
      <c r="AQ502" s="86">
        <v>41943</v>
      </c>
      <c r="AR502" s="86">
        <v>43480</v>
      </c>
      <c r="AS502" s="86">
        <v>43480</v>
      </c>
      <c r="AT502" s="86">
        <v>43480</v>
      </c>
      <c r="AU502" s="86">
        <v>43480</v>
      </c>
      <c r="AV502" s="86">
        <v>43480</v>
      </c>
      <c r="AW502" s="86">
        <v>43480</v>
      </c>
    </row>
    <row r="503" spans="1:49" x14ac:dyDescent="0.2">
      <c r="A503" s="85" t="s">
        <v>1520</v>
      </c>
      <c r="B503" s="85" t="s">
        <v>1521</v>
      </c>
      <c r="C503" s="85" t="s">
        <v>1522</v>
      </c>
      <c r="D503" s="85" t="s">
        <v>1523</v>
      </c>
      <c r="E503" s="85"/>
      <c r="F503" s="85" t="s">
        <v>122</v>
      </c>
      <c r="G503" s="85" t="s">
        <v>4</v>
      </c>
      <c r="H503" s="85" t="s">
        <v>10</v>
      </c>
      <c r="I503" s="86">
        <v>43165</v>
      </c>
      <c r="J503" s="86">
        <v>43343</v>
      </c>
      <c r="K503" s="86">
        <v>43225</v>
      </c>
      <c r="L503" s="85" t="s">
        <v>99</v>
      </c>
      <c r="M503" s="86">
        <v>43225</v>
      </c>
      <c r="N503" s="85" t="s">
        <v>107</v>
      </c>
      <c r="O503" s="86">
        <v>43225</v>
      </c>
      <c r="P503" s="86">
        <v>43207</v>
      </c>
      <c r="Q503" s="86">
        <v>43393</v>
      </c>
      <c r="R503" s="85" t="s">
        <v>1658</v>
      </c>
      <c r="S503" s="86">
        <v>44440</v>
      </c>
      <c r="T503" s="85" t="s">
        <v>1652</v>
      </c>
      <c r="U503" s="86">
        <v>43216</v>
      </c>
      <c r="V503" s="86">
        <v>43585</v>
      </c>
      <c r="W503" s="85" t="s">
        <v>1653</v>
      </c>
      <c r="X503" s="85" t="s">
        <v>114</v>
      </c>
      <c r="Y503" s="85">
        <v>1</v>
      </c>
      <c r="Z503" s="85" t="s">
        <v>114</v>
      </c>
      <c r="AA503" s="85"/>
      <c r="AB503" s="85" t="s">
        <v>114</v>
      </c>
      <c r="AC503" s="85" t="s">
        <v>114</v>
      </c>
      <c r="AD503" s="85" t="s">
        <v>114</v>
      </c>
      <c r="AE503" s="85" t="s">
        <v>2038</v>
      </c>
      <c r="AF503" s="85"/>
      <c r="AG503" s="85" t="s">
        <v>59</v>
      </c>
      <c r="AH503" s="85" t="s">
        <v>107</v>
      </c>
      <c r="AI503" s="86">
        <v>42312</v>
      </c>
      <c r="AJ503" s="86">
        <v>43178</v>
      </c>
      <c r="AK503" s="86">
        <v>42341</v>
      </c>
      <c r="AL503" s="85" t="s">
        <v>107</v>
      </c>
      <c r="AM503" s="85" t="s">
        <v>107</v>
      </c>
      <c r="AN503" s="85"/>
      <c r="AO503" s="86">
        <v>43207</v>
      </c>
      <c r="AP503" s="86">
        <v>43048</v>
      </c>
      <c r="AQ503" s="86">
        <v>42341</v>
      </c>
      <c r="AR503" s="86">
        <v>43099</v>
      </c>
      <c r="AS503" s="86">
        <v>42923</v>
      </c>
      <c r="AT503" s="86">
        <v>43099</v>
      </c>
      <c r="AU503" s="86">
        <v>43099</v>
      </c>
      <c r="AV503" s="86">
        <v>42837</v>
      </c>
      <c r="AW503" s="86">
        <v>43099</v>
      </c>
    </row>
    <row r="504" spans="1:49" x14ac:dyDescent="0.2">
      <c r="A504" s="85" t="s">
        <v>1742</v>
      </c>
      <c r="B504" s="85" t="s">
        <v>1743</v>
      </c>
      <c r="C504" s="85" t="s">
        <v>1526</v>
      </c>
      <c r="D504" s="85" t="s">
        <v>180</v>
      </c>
      <c r="E504" s="85" t="s">
        <v>143</v>
      </c>
      <c r="F504" s="85" t="s">
        <v>144</v>
      </c>
      <c r="G504" s="85" t="s">
        <v>4</v>
      </c>
      <c r="H504" s="85" t="s">
        <v>7</v>
      </c>
      <c r="I504" s="86">
        <v>43464</v>
      </c>
      <c r="J504" s="86">
        <v>43482</v>
      </c>
      <c r="K504" s="86">
        <v>43370</v>
      </c>
      <c r="L504" s="85" t="s">
        <v>99</v>
      </c>
      <c r="M504" s="86">
        <v>43059</v>
      </c>
      <c r="N504" s="85" t="s">
        <v>107</v>
      </c>
      <c r="O504" s="86">
        <v>42506</v>
      </c>
      <c r="P504" s="86">
        <v>43298</v>
      </c>
      <c r="Q504" s="85" t="s">
        <v>59</v>
      </c>
      <c r="R504" s="85" t="s">
        <v>1652</v>
      </c>
      <c r="S504" s="86">
        <v>43770</v>
      </c>
      <c r="T504" s="85" t="s">
        <v>1652</v>
      </c>
      <c r="U504" s="86">
        <v>43447</v>
      </c>
      <c r="V504" s="86">
        <v>43646</v>
      </c>
      <c r="W504" s="85" t="s">
        <v>1657</v>
      </c>
      <c r="X504" s="85" t="s">
        <v>114</v>
      </c>
      <c r="Y504" s="85">
        <v>1</v>
      </c>
      <c r="Z504" s="85" t="s">
        <v>114</v>
      </c>
      <c r="AA504" s="85"/>
      <c r="AB504" s="85" t="s">
        <v>114</v>
      </c>
      <c r="AC504" s="85" t="s">
        <v>114</v>
      </c>
      <c r="AD504" s="85" t="s">
        <v>114</v>
      </c>
      <c r="AE504" s="85"/>
      <c r="AF504" s="85"/>
      <c r="AG504" s="85" t="s">
        <v>59</v>
      </c>
      <c r="AH504" s="85" t="s">
        <v>2039</v>
      </c>
      <c r="AI504" s="85"/>
      <c r="AJ504" s="85"/>
      <c r="AK504" s="86">
        <v>42011</v>
      </c>
      <c r="AL504" s="85"/>
      <c r="AM504" s="85"/>
      <c r="AN504" s="85"/>
      <c r="AO504" s="86">
        <v>43360</v>
      </c>
      <c r="AP504" s="86">
        <v>43360</v>
      </c>
      <c r="AQ504" s="86">
        <v>43360</v>
      </c>
      <c r="AR504" s="86">
        <v>43360</v>
      </c>
      <c r="AS504" s="86">
        <v>43360</v>
      </c>
      <c r="AT504" s="86">
        <v>43360</v>
      </c>
      <c r="AU504" s="86">
        <v>43360</v>
      </c>
      <c r="AV504" s="86">
        <v>43360</v>
      </c>
      <c r="AW504" s="86">
        <v>43360</v>
      </c>
    </row>
    <row r="505" spans="1:49" x14ac:dyDescent="0.2">
      <c r="A505" s="85" t="s">
        <v>1524</v>
      </c>
      <c r="B505" s="85" t="s">
        <v>1525</v>
      </c>
      <c r="C505" s="85" t="s">
        <v>1526</v>
      </c>
      <c r="D505" s="85" t="s">
        <v>1527</v>
      </c>
      <c r="E505" s="85" t="s">
        <v>201</v>
      </c>
      <c r="F505" s="85" t="s">
        <v>100</v>
      </c>
      <c r="G505" s="85" t="s">
        <v>4</v>
      </c>
      <c r="H505" s="85" t="s">
        <v>7</v>
      </c>
      <c r="I505" s="85" t="s">
        <v>59</v>
      </c>
      <c r="J505" s="86">
        <v>43369</v>
      </c>
      <c r="K505" s="86">
        <v>43416</v>
      </c>
      <c r="L505" s="85" t="s">
        <v>99</v>
      </c>
      <c r="M505" s="86">
        <v>43351</v>
      </c>
      <c r="N505" s="86">
        <v>43351</v>
      </c>
      <c r="O505" s="86">
        <v>43368</v>
      </c>
      <c r="P505" s="86">
        <v>43368</v>
      </c>
      <c r="Q505" s="86">
        <v>43715</v>
      </c>
      <c r="R505" s="85" t="s">
        <v>1652</v>
      </c>
      <c r="S505" s="86">
        <v>44958</v>
      </c>
      <c r="T505" s="85" t="s">
        <v>1652</v>
      </c>
      <c r="U505" s="85" t="s">
        <v>107</v>
      </c>
      <c r="V505" s="85" t="s">
        <v>107</v>
      </c>
      <c r="W505" s="85" t="s">
        <v>107</v>
      </c>
      <c r="X505" s="85" t="s">
        <v>107</v>
      </c>
      <c r="Y505" s="85" t="s">
        <v>107</v>
      </c>
      <c r="Z505" s="85" t="s">
        <v>107</v>
      </c>
      <c r="AA505" s="85" t="s">
        <v>107</v>
      </c>
      <c r="AB505" s="85" t="s">
        <v>107</v>
      </c>
      <c r="AC505" s="85" t="s">
        <v>107</v>
      </c>
      <c r="AD505" s="85" t="s">
        <v>107</v>
      </c>
      <c r="AE505" s="85" t="s">
        <v>107</v>
      </c>
      <c r="AF505" s="85" t="s">
        <v>107</v>
      </c>
      <c r="AG505" s="85" t="s">
        <v>59</v>
      </c>
      <c r="AH505" s="85" t="s">
        <v>107</v>
      </c>
      <c r="AI505" s="85" t="s">
        <v>107</v>
      </c>
      <c r="AJ505" s="85" t="s">
        <v>107</v>
      </c>
      <c r="AK505" s="86">
        <v>43164</v>
      </c>
      <c r="AL505" s="85" t="s">
        <v>107</v>
      </c>
      <c r="AM505" s="85" t="s">
        <v>107</v>
      </c>
      <c r="AN505" s="86">
        <v>43398</v>
      </c>
      <c r="AO505" s="86">
        <v>43207</v>
      </c>
      <c r="AP505" s="86">
        <v>43417</v>
      </c>
      <c r="AQ505" s="86">
        <v>42482</v>
      </c>
      <c r="AR505" s="86">
        <v>43417</v>
      </c>
      <c r="AS505" s="86">
        <v>43417</v>
      </c>
      <c r="AT505" s="86">
        <v>43417</v>
      </c>
      <c r="AU505" s="86">
        <v>43417</v>
      </c>
      <c r="AV505" s="86">
        <v>43417</v>
      </c>
      <c r="AW505" s="86">
        <v>43417</v>
      </c>
    </row>
    <row r="506" spans="1:49" x14ac:dyDescent="0.2">
      <c r="A506" s="85" t="s">
        <v>1528</v>
      </c>
      <c r="B506" s="85" t="s">
        <v>1529</v>
      </c>
      <c r="C506" s="85" t="s">
        <v>1526</v>
      </c>
      <c r="D506" s="85" t="s">
        <v>1530</v>
      </c>
      <c r="E506" s="85" t="s">
        <v>149</v>
      </c>
      <c r="F506" s="85" t="s">
        <v>144</v>
      </c>
      <c r="G506" s="85" t="s">
        <v>4</v>
      </c>
      <c r="H506" s="85" t="s">
        <v>7</v>
      </c>
      <c r="I506" s="86">
        <v>43341</v>
      </c>
      <c r="J506" s="86">
        <v>43346</v>
      </c>
      <c r="K506" s="86">
        <v>43164</v>
      </c>
      <c r="L506" s="85" t="s">
        <v>99</v>
      </c>
      <c r="M506" s="86">
        <v>43315</v>
      </c>
      <c r="N506" s="85" t="s">
        <v>107</v>
      </c>
      <c r="O506" s="86">
        <v>43164</v>
      </c>
      <c r="P506" s="86">
        <v>43213</v>
      </c>
      <c r="Q506" s="86">
        <v>43532</v>
      </c>
      <c r="R506" s="85" t="s">
        <v>1652</v>
      </c>
      <c r="S506" s="86">
        <v>43497</v>
      </c>
      <c r="T506" s="85" t="s">
        <v>1652</v>
      </c>
      <c r="U506" s="86">
        <v>43265</v>
      </c>
      <c r="V506" s="86">
        <v>43646</v>
      </c>
      <c r="W506" s="85" t="s">
        <v>1653</v>
      </c>
      <c r="X506" s="85" t="s">
        <v>119</v>
      </c>
      <c r="Y506" s="85">
        <v>1</v>
      </c>
      <c r="Z506" s="85" t="s">
        <v>114</v>
      </c>
      <c r="AA506" s="85"/>
      <c r="AB506" s="85" t="s">
        <v>211</v>
      </c>
      <c r="AC506" s="85" t="s">
        <v>114</v>
      </c>
      <c r="AD506" s="85" t="s">
        <v>119</v>
      </c>
      <c r="AE506" s="85" t="s">
        <v>1790</v>
      </c>
      <c r="AF506" s="85"/>
      <c r="AG506" s="86">
        <v>43227</v>
      </c>
      <c r="AH506" s="85" t="s">
        <v>107</v>
      </c>
      <c r="AI506" s="86">
        <v>42516</v>
      </c>
      <c r="AJ506" s="86">
        <v>43411</v>
      </c>
      <c r="AK506" s="86">
        <v>43164</v>
      </c>
      <c r="AL506" s="85" t="s">
        <v>107</v>
      </c>
      <c r="AM506" s="85" t="s">
        <v>107</v>
      </c>
      <c r="AN506" s="86">
        <v>43412</v>
      </c>
      <c r="AO506" s="86">
        <v>43207</v>
      </c>
      <c r="AP506" s="86">
        <v>43188</v>
      </c>
      <c r="AQ506" s="86">
        <v>43188</v>
      </c>
      <c r="AR506" s="86">
        <v>43188</v>
      </c>
      <c r="AS506" s="86">
        <v>43174</v>
      </c>
      <c r="AT506" s="86">
        <v>43188</v>
      </c>
      <c r="AU506" s="86">
        <v>43188</v>
      </c>
      <c r="AV506" s="86">
        <v>43188</v>
      </c>
      <c r="AW506" s="86">
        <v>43188</v>
      </c>
    </row>
    <row r="507" spans="1:49" x14ac:dyDescent="0.2">
      <c r="A507" s="85" t="s">
        <v>1531</v>
      </c>
      <c r="B507" s="85" t="s">
        <v>1532</v>
      </c>
      <c r="C507" s="85" t="s">
        <v>1533</v>
      </c>
      <c r="D507" s="85" t="s">
        <v>1534</v>
      </c>
      <c r="E507" s="85"/>
      <c r="F507" s="85" t="s">
        <v>144</v>
      </c>
      <c r="G507" s="85" t="s">
        <v>4</v>
      </c>
      <c r="H507" s="85" t="s">
        <v>8</v>
      </c>
      <c r="I507" s="86">
        <v>43461</v>
      </c>
      <c r="J507" s="86">
        <v>43497</v>
      </c>
      <c r="K507" s="86">
        <v>43497</v>
      </c>
      <c r="L507" s="85" t="s">
        <v>99</v>
      </c>
      <c r="M507" s="86">
        <v>43125</v>
      </c>
      <c r="N507" s="85" t="s">
        <v>107</v>
      </c>
      <c r="O507" s="86">
        <v>43145</v>
      </c>
      <c r="P507" s="86">
        <v>43377</v>
      </c>
      <c r="Q507" s="86">
        <v>43509</v>
      </c>
      <c r="R507" s="85" t="s">
        <v>1652</v>
      </c>
      <c r="S507" s="86">
        <v>43800</v>
      </c>
      <c r="T507" s="85" t="s">
        <v>1652</v>
      </c>
      <c r="U507" s="86">
        <v>43361</v>
      </c>
      <c r="V507" s="86">
        <v>43555</v>
      </c>
      <c r="W507" s="85" t="s">
        <v>1657</v>
      </c>
      <c r="X507" s="85" t="s">
        <v>114</v>
      </c>
      <c r="Y507" s="85">
        <v>1</v>
      </c>
      <c r="Z507" s="85" t="s">
        <v>114</v>
      </c>
      <c r="AA507" s="85"/>
      <c r="AB507" s="85" t="s">
        <v>114</v>
      </c>
      <c r="AC507" s="85" t="s">
        <v>114</v>
      </c>
      <c r="AD507" s="85" t="s">
        <v>114</v>
      </c>
      <c r="AE507" s="85"/>
      <c r="AF507" s="85"/>
      <c r="AG507" s="86">
        <v>43497</v>
      </c>
      <c r="AH507" s="85" t="s">
        <v>107</v>
      </c>
      <c r="AI507" s="86">
        <v>42826</v>
      </c>
      <c r="AJ507" s="86">
        <v>43377</v>
      </c>
      <c r="AK507" s="86">
        <v>43145</v>
      </c>
      <c r="AL507" s="86">
        <v>42937</v>
      </c>
      <c r="AM507" s="86">
        <v>42937</v>
      </c>
      <c r="AN507" s="86">
        <v>43502</v>
      </c>
      <c r="AO507" s="86">
        <v>43325</v>
      </c>
      <c r="AP507" s="86">
        <v>43502</v>
      </c>
      <c r="AQ507" s="86">
        <v>42779</v>
      </c>
      <c r="AR507" s="86">
        <v>43502</v>
      </c>
      <c r="AS507" s="86">
        <v>43502</v>
      </c>
      <c r="AT507" s="86">
        <v>43502</v>
      </c>
      <c r="AU507" s="86">
        <v>43502</v>
      </c>
      <c r="AV507" s="86">
        <v>43502</v>
      </c>
      <c r="AW507" s="86">
        <v>43502</v>
      </c>
    </row>
    <row r="508" spans="1:49" x14ac:dyDescent="0.2">
      <c r="A508" s="85" t="s">
        <v>1535</v>
      </c>
      <c r="B508" s="85" t="s">
        <v>1536</v>
      </c>
      <c r="C508" s="85" t="s">
        <v>1537</v>
      </c>
      <c r="D508" s="85" t="s">
        <v>748</v>
      </c>
      <c r="E508" s="85" t="s">
        <v>149</v>
      </c>
      <c r="F508" s="85" t="s">
        <v>106</v>
      </c>
      <c r="G508" s="85" t="s">
        <v>4</v>
      </c>
      <c r="H508" s="85" t="s">
        <v>12</v>
      </c>
      <c r="I508" s="85" t="s">
        <v>107</v>
      </c>
      <c r="J508" s="85" t="s">
        <v>59</v>
      </c>
      <c r="K508" s="85" t="s">
        <v>59</v>
      </c>
      <c r="L508" s="85" t="s">
        <v>107</v>
      </c>
      <c r="M508" s="85" t="s">
        <v>107</v>
      </c>
      <c r="N508" s="85" t="s">
        <v>107</v>
      </c>
      <c r="O508" s="85" t="s">
        <v>107</v>
      </c>
      <c r="P508" s="85" t="s">
        <v>107</v>
      </c>
      <c r="Q508" s="86">
        <v>43490</v>
      </c>
      <c r="R508" s="85" t="s">
        <v>107</v>
      </c>
      <c r="S508" s="85" t="s">
        <v>107</v>
      </c>
      <c r="T508" s="85" t="s">
        <v>107</v>
      </c>
      <c r="U508" s="85" t="s">
        <v>107</v>
      </c>
      <c r="V508" s="85" t="s">
        <v>107</v>
      </c>
      <c r="W508" s="85" t="s">
        <v>107</v>
      </c>
      <c r="X508" s="85" t="s">
        <v>107</v>
      </c>
      <c r="Y508" s="85" t="s">
        <v>107</v>
      </c>
      <c r="Z508" s="85" t="s">
        <v>107</v>
      </c>
      <c r="AA508" s="85" t="s">
        <v>107</v>
      </c>
      <c r="AB508" s="85" t="s">
        <v>107</v>
      </c>
      <c r="AC508" s="85" t="s">
        <v>107</v>
      </c>
      <c r="AD508" s="85" t="s">
        <v>107</v>
      </c>
      <c r="AE508" s="85" t="s">
        <v>107</v>
      </c>
      <c r="AF508" s="85" t="s">
        <v>107</v>
      </c>
      <c r="AG508" s="86">
        <v>43513</v>
      </c>
      <c r="AH508" s="85" t="s">
        <v>107</v>
      </c>
      <c r="AI508" s="85" t="s">
        <v>107</v>
      </c>
      <c r="AJ508" s="85" t="s">
        <v>107</v>
      </c>
      <c r="AK508" s="85" t="s">
        <v>107</v>
      </c>
      <c r="AL508" s="85" t="s">
        <v>107</v>
      </c>
      <c r="AM508" s="85" t="s">
        <v>107</v>
      </c>
      <c r="AN508" s="85"/>
      <c r="AO508" s="86">
        <v>43259</v>
      </c>
      <c r="AP508" s="86">
        <v>43157</v>
      </c>
      <c r="AQ508" s="86">
        <v>43069</v>
      </c>
      <c r="AR508" s="86">
        <v>43125</v>
      </c>
      <c r="AS508" s="86">
        <v>43069</v>
      </c>
      <c r="AT508" s="86">
        <v>43125</v>
      </c>
      <c r="AU508" s="85" t="s">
        <v>107</v>
      </c>
      <c r="AV508" s="86">
        <v>43069</v>
      </c>
      <c r="AW508" s="86">
        <v>43125</v>
      </c>
    </row>
    <row r="509" spans="1:49" x14ac:dyDescent="0.2">
      <c r="A509" s="85" t="s">
        <v>1538</v>
      </c>
      <c r="B509" s="85" t="s">
        <v>1539</v>
      </c>
      <c r="C509" s="85" t="s">
        <v>1540</v>
      </c>
      <c r="D509" s="85" t="s">
        <v>426</v>
      </c>
      <c r="E509" s="85" t="s">
        <v>141</v>
      </c>
      <c r="F509" s="85" t="s">
        <v>113</v>
      </c>
      <c r="G509" s="85" t="s">
        <v>4</v>
      </c>
      <c r="H509" s="85" t="s">
        <v>7</v>
      </c>
      <c r="I509" s="86">
        <v>43469</v>
      </c>
      <c r="J509" s="86">
        <v>43214</v>
      </c>
      <c r="K509" s="86">
        <v>43214</v>
      </c>
      <c r="L509" s="85" t="s">
        <v>99</v>
      </c>
      <c r="M509" s="86">
        <v>42544</v>
      </c>
      <c r="N509" s="85" t="s">
        <v>107</v>
      </c>
      <c r="O509" s="86">
        <v>42543</v>
      </c>
      <c r="P509" s="86">
        <v>43319</v>
      </c>
      <c r="Q509" s="86">
        <v>43726</v>
      </c>
      <c r="R509" s="85" t="s">
        <v>1652</v>
      </c>
      <c r="S509" s="86">
        <v>44774</v>
      </c>
      <c r="T509" s="85" t="s">
        <v>1652</v>
      </c>
      <c r="U509" s="86">
        <v>43424</v>
      </c>
      <c r="V509" s="86">
        <v>43799</v>
      </c>
      <c r="W509" s="85" t="s">
        <v>1653</v>
      </c>
      <c r="X509" s="85" t="s">
        <v>114</v>
      </c>
      <c r="Y509" s="85">
        <v>1</v>
      </c>
      <c r="Z509" s="85" t="s">
        <v>114</v>
      </c>
      <c r="AA509" s="85"/>
      <c r="AB509" s="85" t="s">
        <v>114</v>
      </c>
      <c r="AC509" s="85" t="s">
        <v>114</v>
      </c>
      <c r="AD509" s="85" t="s">
        <v>114</v>
      </c>
      <c r="AE509" s="85"/>
      <c r="AF509" s="85"/>
      <c r="AG509" s="86">
        <v>43272</v>
      </c>
      <c r="AH509" s="85" t="s">
        <v>107</v>
      </c>
      <c r="AI509" s="86">
        <v>43282</v>
      </c>
      <c r="AJ509" s="86">
        <v>43411</v>
      </c>
      <c r="AK509" s="86">
        <v>42544</v>
      </c>
      <c r="AL509" s="85" t="s">
        <v>107</v>
      </c>
      <c r="AM509" s="85" t="s">
        <v>107</v>
      </c>
      <c r="AN509" s="86">
        <v>43398</v>
      </c>
      <c r="AO509" s="86">
        <v>43271</v>
      </c>
      <c r="AP509" s="86">
        <v>43264</v>
      </c>
      <c r="AQ509" s="86">
        <v>43264</v>
      </c>
      <c r="AR509" s="86">
        <v>43264</v>
      </c>
      <c r="AS509" s="86">
        <v>43271</v>
      </c>
      <c r="AT509" s="86">
        <v>43264</v>
      </c>
      <c r="AU509" s="86">
        <v>43264</v>
      </c>
      <c r="AV509" s="86">
        <v>43264</v>
      </c>
      <c r="AW509" s="86">
        <v>43264</v>
      </c>
    </row>
    <row r="510" spans="1:49" x14ac:dyDescent="0.2">
      <c r="A510" s="85" t="s">
        <v>1541</v>
      </c>
      <c r="B510" s="85" t="s">
        <v>1542</v>
      </c>
      <c r="C510" s="85" t="s">
        <v>1540</v>
      </c>
      <c r="D510" s="85" t="s">
        <v>623</v>
      </c>
      <c r="E510" s="85" t="s">
        <v>126</v>
      </c>
      <c r="F510" s="85" t="s">
        <v>113</v>
      </c>
      <c r="G510" s="85" t="s">
        <v>4</v>
      </c>
      <c r="H510" s="85" t="s">
        <v>7</v>
      </c>
      <c r="I510" s="86">
        <v>43469</v>
      </c>
      <c r="J510" s="86">
        <v>43210</v>
      </c>
      <c r="K510" s="86">
        <v>43254</v>
      </c>
      <c r="L510" s="85" t="s">
        <v>99</v>
      </c>
      <c r="M510" s="86">
        <v>42563</v>
      </c>
      <c r="N510" s="85" t="s">
        <v>107</v>
      </c>
      <c r="O510" s="86">
        <v>43271</v>
      </c>
      <c r="P510" s="86">
        <v>43213</v>
      </c>
      <c r="Q510" s="86">
        <v>43636</v>
      </c>
      <c r="R510" s="85" t="s">
        <v>1652</v>
      </c>
      <c r="S510" s="86">
        <v>45078</v>
      </c>
      <c r="T510" s="85" t="s">
        <v>1652</v>
      </c>
      <c r="U510" s="86">
        <v>43371</v>
      </c>
      <c r="V510" s="86">
        <v>43738</v>
      </c>
      <c r="W510" s="85" t="s">
        <v>1653</v>
      </c>
      <c r="X510" s="85" t="s">
        <v>114</v>
      </c>
      <c r="Y510" s="85">
        <v>1</v>
      </c>
      <c r="Z510" s="85" t="s">
        <v>211</v>
      </c>
      <c r="AA510" s="85"/>
      <c r="AB510" s="85" t="s">
        <v>114</v>
      </c>
      <c r="AC510" s="85" t="s">
        <v>114</v>
      </c>
      <c r="AD510" s="85" t="s">
        <v>211</v>
      </c>
      <c r="AE510" s="85" t="s">
        <v>1782</v>
      </c>
      <c r="AF510" s="86">
        <v>43542</v>
      </c>
      <c r="AG510" s="86">
        <v>43271</v>
      </c>
      <c r="AH510" s="85" t="s">
        <v>107</v>
      </c>
      <c r="AI510" s="86">
        <v>42796</v>
      </c>
      <c r="AJ510" s="86">
        <v>43398</v>
      </c>
      <c r="AK510" s="86">
        <v>42542</v>
      </c>
      <c r="AL510" s="85" t="s">
        <v>107</v>
      </c>
      <c r="AM510" s="85" t="s">
        <v>107</v>
      </c>
      <c r="AN510" s="86">
        <v>43398</v>
      </c>
      <c r="AO510" s="86">
        <v>43207</v>
      </c>
      <c r="AP510" s="86">
        <v>43201</v>
      </c>
      <c r="AQ510" s="86">
        <v>43201</v>
      </c>
      <c r="AR510" s="86">
        <v>43201</v>
      </c>
      <c r="AS510" s="86">
        <v>43199</v>
      </c>
      <c r="AT510" s="86">
        <v>43201</v>
      </c>
      <c r="AU510" s="86">
        <v>43201</v>
      </c>
      <c r="AV510" s="86">
        <v>43201</v>
      </c>
      <c r="AW510" s="86">
        <v>43201</v>
      </c>
    </row>
    <row r="511" spans="1:49" x14ac:dyDescent="0.2">
      <c r="A511" s="85" t="s">
        <v>1543</v>
      </c>
      <c r="B511" s="85" t="s">
        <v>1544</v>
      </c>
      <c r="C511" s="85" t="s">
        <v>1545</v>
      </c>
      <c r="D511" s="85" t="s">
        <v>1546</v>
      </c>
      <c r="E511" s="85" t="s">
        <v>163</v>
      </c>
      <c r="F511" s="85" t="s">
        <v>106</v>
      </c>
      <c r="G511" s="85" t="s">
        <v>4</v>
      </c>
      <c r="H511" s="85" t="s">
        <v>7</v>
      </c>
      <c r="I511" s="85" t="s">
        <v>107</v>
      </c>
      <c r="J511" s="86">
        <v>43178</v>
      </c>
      <c r="K511" s="86">
        <v>43254</v>
      </c>
      <c r="L511" s="85" t="s">
        <v>107</v>
      </c>
      <c r="M511" s="85" t="s">
        <v>107</v>
      </c>
      <c r="N511" s="85" t="s">
        <v>107</v>
      </c>
      <c r="O511" s="85" t="s">
        <v>107</v>
      </c>
      <c r="P511" s="85" t="s">
        <v>107</v>
      </c>
      <c r="Q511" s="86">
        <v>43539</v>
      </c>
      <c r="R511" s="85" t="s">
        <v>107</v>
      </c>
      <c r="S511" s="85" t="s">
        <v>107</v>
      </c>
      <c r="T511" s="85" t="s">
        <v>107</v>
      </c>
      <c r="U511" s="85" t="s">
        <v>107</v>
      </c>
      <c r="V511" s="85" t="s">
        <v>107</v>
      </c>
      <c r="W511" s="85" t="s">
        <v>107</v>
      </c>
      <c r="X511" s="85" t="s">
        <v>107</v>
      </c>
      <c r="Y511" s="85" t="s">
        <v>107</v>
      </c>
      <c r="Z511" s="85" t="s">
        <v>107</v>
      </c>
      <c r="AA511" s="85" t="s">
        <v>107</v>
      </c>
      <c r="AB511" s="85" t="s">
        <v>107</v>
      </c>
      <c r="AC511" s="85" t="s">
        <v>107</v>
      </c>
      <c r="AD511" s="85" t="s">
        <v>107</v>
      </c>
      <c r="AE511" s="85" t="s">
        <v>107</v>
      </c>
      <c r="AF511" s="85" t="s">
        <v>107</v>
      </c>
      <c r="AG511" s="86">
        <v>43174</v>
      </c>
      <c r="AH511" s="85" t="s">
        <v>107</v>
      </c>
      <c r="AI511" s="85" t="s">
        <v>107</v>
      </c>
      <c r="AJ511" s="85" t="s">
        <v>107</v>
      </c>
      <c r="AK511" s="85" t="s">
        <v>107</v>
      </c>
      <c r="AL511" s="85" t="s">
        <v>107</v>
      </c>
      <c r="AM511" s="85" t="s">
        <v>107</v>
      </c>
      <c r="AN511" s="86">
        <v>43398</v>
      </c>
      <c r="AO511" s="86">
        <v>43207</v>
      </c>
      <c r="AP511" s="86">
        <v>43171</v>
      </c>
      <c r="AQ511" s="86">
        <v>43171</v>
      </c>
      <c r="AR511" s="86">
        <v>43171</v>
      </c>
      <c r="AS511" s="86">
        <v>43171</v>
      </c>
      <c r="AT511" s="86">
        <v>43171</v>
      </c>
      <c r="AU511" s="85" t="s">
        <v>107</v>
      </c>
      <c r="AV511" s="86">
        <v>43171</v>
      </c>
      <c r="AW511" s="86">
        <v>43171</v>
      </c>
    </row>
  </sheetData>
  <mergeCells count="2">
    <mergeCell ref="C1:F1"/>
    <mergeCell ref="G1:H1"/>
  </mergeCells>
  <conditionalFormatting sqref="I6:I511">
    <cfRule type="expression" dxfId="234" priority="1" stopIfTrue="1">
      <formula>I6="Not in System"</formula>
    </cfRule>
    <cfRule type="expression" dxfId="233" priority="2" stopIfTrue="1">
      <formula>I6="N/A"</formula>
    </cfRule>
    <cfRule type="expression" dxfId="232" priority="3" stopIfTrue="1">
      <formula>AND($A$1&lt;&gt;"",$A$1&gt;=EDATE(EDATE(I6,3),-1),$A$1&lt;=EDATE(I6,3))</formula>
    </cfRule>
    <cfRule type="expression" dxfId="231" priority="4" stopIfTrue="1">
      <formula>AND($A$1&lt;&gt;"",$A$1&gt;EDATE(I6,3))</formula>
    </cfRule>
    <cfRule type="expression" dxfId="230" priority="5" stopIfTrue="1">
      <formula>AND($A$1&lt;&gt;"",$A$1&lt;EDATE(I6,3))</formula>
    </cfRule>
  </conditionalFormatting>
  <conditionalFormatting sqref="J6:J511">
    <cfRule type="expression" dxfId="229" priority="6" stopIfTrue="1">
      <formula>J6="Not in System"</formula>
    </cfRule>
    <cfRule type="expression" dxfId="228" priority="7" stopIfTrue="1">
      <formula>J6="N/A"</formula>
    </cfRule>
    <cfRule type="expression" dxfId="227" priority="8" stopIfTrue="1">
      <formula>AND($A$1&lt;&gt;"",$A$1&gt;=EDATE(EDATE(J6,12),-1),$A$1&lt;=EDATE(J6,12))</formula>
    </cfRule>
    <cfRule type="expression" dxfId="226" priority="9" stopIfTrue="1">
      <formula>AND($A$1&lt;&gt;"",$A$1&gt;EDATE(J6,12))</formula>
    </cfRule>
    <cfRule type="expression" dxfId="225" priority="10" stopIfTrue="1">
      <formula>AND($A$1&lt;&gt;"",$A$1&lt;EDATE(J6,12))</formula>
    </cfRule>
  </conditionalFormatting>
  <conditionalFormatting sqref="K6:K511">
    <cfRule type="expression" dxfId="224" priority="11" stopIfTrue="1">
      <formula>K6="Not in System"</formula>
    </cfRule>
    <cfRule type="expression" dxfId="223" priority="12" stopIfTrue="1">
      <formula>K6="N/A"</formula>
    </cfRule>
    <cfRule type="expression" dxfId="222" priority="13" stopIfTrue="1">
      <formula>AND($A$1&lt;&gt;"",$A$1&gt;=EDATE(EDATE(K6,12),-1),$A$1&lt;=EDATE(K6,12))</formula>
    </cfRule>
    <cfRule type="expression" dxfId="221" priority="14" stopIfTrue="1">
      <formula>AND($A$1&lt;&gt;"",$A$1&gt;EDATE(K6,12))</formula>
    </cfRule>
    <cfRule type="expression" dxfId="220" priority="15" stopIfTrue="1">
      <formula>AND($A$1&lt;&gt;"",$A$1&lt;EDATE(K6,12))</formula>
    </cfRule>
  </conditionalFormatting>
  <conditionalFormatting sqref="L6:L511">
    <cfRule type="expression" dxfId="219" priority="16" stopIfTrue="1">
      <formula>L6="Not in System"</formula>
    </cfRule>
    <cfRule type="expression" dxfId="218" priority="17" stopIfTrue="1">
      <formula>L6="N/A"</formula>
    </cfRule>
    <cfRule type="expression" dxfId="217" priority="18" stopIfTrue="1">
      <formula>AND($A$1&lt;&gt;"",$A$1&gt;=EDATE(EDATE(L6,999),-1),$A$1&lt;=EDATE(L6,999))</formula>
    </cfRule>
    <cfRule type="expression" dxfId="216" priority="19" stopIfTrue="1">
      <formula>AND($A$1&lt;&gt;"",$A$1&gt;EDATE(L6,999))</formula>
    </cfRule>
    <cfRule type="expression" dxfId="215" priority="20" stopIfTrue="1">
      <formula>AND($A$1&lt;&gt;"",$A$1&lt;EDATE(L6,999))</formula>
    </cfRule>
  </conditionalFormatting>
  <conditionalFormatting sqref="M6:M511">
    <cfRule type="expression" dxfId="214" priority="21" stopIfTrue="1">
      <formula>M6="Not in System"</formula>
    </cfRule>
    <cfRule type="expression" dxfId="213" priority="22" stopIfTrue="1">
      <formula>M6="N/A"</formula>
    </cfRule>
    <cfRule type="expression" dxfId="212" priority="23" stopIfTrue="1">
      <formula>AND($A$1&lt;&gt;"",$A$1&gt;=EDATE(EDATE(M6,36),-1),$A$1&lt;=EDATE(M6,36))</formula>
    </cfRule>
    <cfRule type="expression" dxfId="211" priority="24" stopIfTrue="1">
      <formula>AND($A$1&lt;&gt;"",$A$1&gt;EDATE(M6,36))</formula>
    </cfRule>
    <cfRule type="expression" dxfId="210" priority="25" stopIfTrue="1">
      <formula>AND($A$1&lt;&gt;"",$A$1&lt;EDATE(M6,36))</formula>
    </cfRule>
  </conditionalFormatting>
  <conditionalFormatting sqref="N6:N511">
    <cfRule type="expression" dxfId="209" priority="26" stopIfTrue="1">
      <formula>N6="Not in System"</formula>
    </cfRule>
    <cfRule type="expression" dxfId="208" priority="27" stopIfTrue="1">
      <formula>N6="N/A"</formula>
    </cfRule>
    <cfRule type="expression" dxfId="207" priority="28" stopIfTrue="1">
      <formula>AND($A$1&lt;&gt;"",$A$1&gt;=EDATE(EDATE(N6,24),-1),$A$1&lt;=EDATE(N6,24))</formula>
    </cfRule>
    <cfRule type="expression" dxfId="206" priority="29" stopIfTrue="1">
      <formula>AND($A$1&lt;&gt;"",$A$1&gt;EDATE(N6,24))</formula>
    </cfRule>
    <cfRule type="expression" dxfId="205" priority="30" stopIfTrue="1">
      <formula>AND($A$1&lt;&gt;"",$A$1&lt;EDATE(N6,24))</formula>
    </cfRule>
  </conditionalFormatting>
  <conditionalFormatting sqref="O6:O511">
    <cfRule type="expression" dxfId="204" priority="31" stopIfTrue="1">
      <formula>O6="Not in System"</formula>
    </cfRule>
    <cfRule type="expression" dxfId="203" priority="32" stopIfTrue="1">
      <formula>O6="N/A"</formula>
    </cfRule>
    <cfRule type="expression" dxfId="202" priority="33" stopIfTrue="1">
      <formula>AND($A$1&lt;&gt;"",$A$1&gt;=EDATE(EDATE(O6,36),-1),$A$1&lt;=EDATE(O6,36))</formula>
    </cfRule>
    <cfRule type="expression" dxfId="201" priority="34" stopIfTrue="1">
      <formula>AND($A$1&lt;&gt;"",$A$1&gt;EDATE(O6,36))</formula>
    </cfRule>
    <cfRule type="expression" dxfId="200" priority="35" stopIfTrue="1">
      <formula>AND($A$1&lt;&gt;"",$A$1&lt;EDATE(O6,36))</formula>
    </cfRule>
  </conditionalFormatting>
  <conditionalFormatting sqref="P6:P511">
    <cfRule type="expression" dxfId="199" priority="36" stopIfTrue="1">
      <formula>P6="Not in System"</formula>
    </cfRule>
    <cfRule type="expression" dxfId="198" priority="37" stopIfTrue="1">
      <formula>P6="N/A"</formula>
    </cfRule>
    <cfRule type="expression" dxfId="197" priority="38" stopIfTrue="1">
      <formula>AND($A$1&lt;&gt;"",$A$1&gt;=EDATE(EDATE(P6,999),-1),$A$1&lt;=EDATE(P6,999))</formula>
    </cfRule>
    <cfRule type="expression" dxfId="196" priority="39" stopIfTrue="1">
      <formula>AND($A$1&lt;&gt;"",$A$1&gt;EDATE(P6,999))</formula>
    </cfRule>
    <cfRule type="expression" dxfId="195" priority="40" stopIfTrue="1">
      <formula>AND($A$1&lt;&gt;"",$A$1&lt;EDATE(P6,999))</formula>
    </cfRule>
  </conditionalFormatting>
  <conditionalFormatting sqref="Q6:Q511">
    <cfRule type="expression" dxfId="194" priority="41" stopIfTrue="1">
      <formula>Q6="Not in System"</formula>
    </cfRule>
    <cfRule type="expression" dxfId="193" priority="42" stopIfTrue="1">
      <formula>Q6="N/A"</formula>
    </cfRule>
    <cfRule type="expression" dxfId="192" priority="43" stopIfTrue="1">
      <formula>AND($A$1&lt;&gt;"",$A$1&gt;=EDATE(EDATE(Q6,12),-1),$A$1&lt;=EDATE(Q6,12))</formula>
    </cfRule>
    <cfRule type="expression" dxfId="191" priority="44" stopIfTrue="1">
      <formula>AND($A$1&lt;&gt;"",$A$1&gt;EDATE(Q6,12))</formula>
    </cfRule>
    <cfRule type="expression" dxfId="190" priority="45" stopIfTrue="1">
      <formula>AND($A$1&lt;&gt;"",$A$1&lt;EDATE(Q6,12))</formula>
    </cfRule>
  </conditionalFormatting>
  <conditionalFormatting sqref="R6:R511">
    <cfRule type="expression" dxfId="189" priority="46" stopIfTrue="1">
      <formula>R6="N/A"</formula>
    </cfRule>
    <cfRule type="expression" dxfId="188" priority="47" stopIfTrue="1">
      <formula>R6="No"</formula>
    </cfRule>
    <cfRule type="expression" dxfId="187" priority="48" stopIfTrue="1">
      <formula>R6="Yes"</formula>
    </cfRule>
  </conditionalFormatting>
  <conditionalFormatting sqref="S6:S511">
    <cfRule type="expression" dxfId="186" priority="49" stopIfTrue="1">
      <formula>S6="Not in System"</formula>
    </cfRule>
    <cfRule type="expression" dxfId="185" priority="50" stopIfTrue="1">
      <formula>S6="N/A"</formula>
    </cfRule>
    <cfRule type="expression" dxfId="184" priority="51" stopIfTrue="1">
      <formula>AND($A$1&lt;&gt;"",$A$1&gt;=EDATE(EDATE(S6,0),-1),$A$1&lt;=EDATE(S6,0))</formula>
    </cfRule>
    <cfRule type="expression" dxfId="183" priority="52" stopIfTrue="1">
      <formula>AND($A$1&lt;&gt;"",$A$1&gt;EDATE(S6,0))</formula>
    </cfRule>
    <cfRule type="expression" dxfId="182" priority="53" stopIfTrue="1">
      <formula>AND($A$1&lt;&gt;"",$A$1&lt;EDATE(S6,0))</formula>
    </cfRule>
  </conditionalFormatting>
  <conditionalFormatting sqref="T6:T511">
    <cfRule type="expression" dxfId="181" priority="54" stopIfTrue="1">
      <formula>T6="Not in System"</formula>
    </cfRule>
    <cfRule type="expression" dxfId="180" priority="55" stopIfTrue="1">
      <formula>T6="N/A"</formula>
    </cfRule>
    <cfRule type="expression" dxfId="179" priority="56" stopIfTrue="1">
      <formula>T6="No"</formula>
    </cfRule>
    <cfRule type="expression" dxfId="178" priority="57" stopIfTrue="1">
      <formula>T6="Yes"</formula>
    </cfRule>
  </conditionalFormatting>
  <conditionalFormatting sqref="U6:U511">
    <cfRule type="expression" dxfId="177" priority="58" stopIfTrue="1">
      <formula>U6="Not in System"</formula>
    </cfRule>
    <cfRule type="expression" dxfId="176" priority="59" stopIfTrue="1">
      <formula>U6="N/A"</formula>
    </cfRule>
    <cfRule type="expression" dxfId="175" priority="60" stopIfTrue="1">
      <formula>OR(W6="Fail",W6="Unsatisfactory")</formula>
    </cfRule>
    <cfRule type="expression" dxfId="174" priority="61" stopIfTrue="1">
      <formula>AND($A$1&lt;&gt;"",$A$1&gt;=EDATE(V6-DAY(V6)+1,-1),$A$1&lt;=V6)</formula>
    </cfRule>
    <cfRule type="expression" dxfId="173" priority="62" stopIfTrue="1">
      <formula>AND($A$1&lt;&gt;"",$A$1&gt;V6)</formula>
    </cfRule>
    <cfRule type="expression" dxfId="172" priority="63" stopIfTrue="1">
      <formula>AND($A$1&lt;&gt;"",$A$1&lt;V6)</formula>
    </cfRule>
  </conditionalFormatting>
  <conditionalFormatting sqref="X6:X511">
    <cfRule type="expression" dxfId="171" priority="64" stopIfTrue="1">
      <formula>X6="Not in System"</formula>
    </cfRule>
    <cfRule type="expression" dxfId="170" priority="65" stopIfTrue="1">
      <formula>X6="N/A"</formula>
    </cfRule>
    <cfRule type="expression" dxfId="169" priority="66" stopIfTrue="1">
      <formula>X6="Y"</formula>
    </cfRule>
    <cfRule type="expression" dxfId="168" priority="67" stopIfTrue="1">
      <formula>X6="R"</formula>
    </cfRule>
    <cfRule type="expression" dxfId="167" priority="68" stopIfTrue="1">
      <formula>X6="G"</formula>
    </cfRule>
  </conditionalFormatting>
  <conditionalFormatting sqref="Y6:Y511">
    <cfRule type="expression" dxfId="166" priority="69" stopIfTrue="1">
      <formula>Y6="Not in System"</formula>
    </cfRule>
    <cfRule type="expression" dxfId="165" priority="70" stopIfTrue="1">
      <formula>Y6="N/A"</formula>
    </cfRule>
    <cfRule type="expression" dxfId="164" priority="71" stopIfTrue="1">
      <formula>AND(Y6=2,ISNUMBER(FIND("Dental",AE6)))</formula>
    </cfRule>
    <cfRule type="expression" dxfId="163" priority="72" stopIfTrue="1">
      <formula>OR(Y6=3,Y6=4)</formula>
    </cfRule>
    <cfRule type="expression" dxfId="162" priority="73" stopIfTrue="1">
      <formula>OR(Y6=1,Y6=2)</formula>
    </cfRule>
  </conditionalFormatting>
  <conditionalFormatting sqref="Z6:Z511">
    <cfRule type="expression" dxfId="161" priority="74" stopIfTrue="1">
      <formula>Z6="Not in System"</formula>
    </cfRule>
    <cfRule type="expression" dxfId="160" priority="75" stopIfTrue="1">
      <formula>Z6="N/A"</formula>
    </cfRule>
    <cfRule type="expression" dxfId="159" priority="76" stopIfTrue="1">
      <formula>Z6="Y"</formula>
    </cfRule>
    <cfRule type="expression" dxfId="158" priority="77" stopIfTrue="1">
      <formula>Z6="R"</formula>
    </cfRule>
    <cfRule type="expression" dxfId="157" priority="78" stopIfTrue="1">
      <formula>Z6="G"</formula>
    </cfRule>
  </conditionalFormatting>
  <conditionalFormatting sqref="AA6:AA511">
    <cfRule type="expression" dxfId="156" priority="79" stopIfTrue="1">
      <formula>AA6="Not in System"</formula>
    </cfRule>
    <cfRule type="expression" dxfId="155" priority="80" stopIfTrue="1">
      <formula>AA6="N/A"</formula>
    </cfRule>
    <cfRule type="expression" dxfId="154" priority="81" stopIfTrue="1">
      <formula>AA6&lt;&gt;""</formula>
    </cfRule>
    <cfRule type="expression" dxfId="153" priority="82" stopIfTrue="1">
      <formula>AA6=""</formula>
    </cfRule>
  </conditionalFormatting>
  <conditionalFormatting sqref="AB6:AB511">
    <cfRule type="expression" dxfId="152" priority="83" stopIfTrue="1">
      <formula>AB6="Not in System"</formula>
    </cfRule>
    <cfRule type="expression" dxfId="151" priority="84" stopIfTrue="1">
      <formula>AB6="N/A"</formula>
    </cfRule>
    <cfRule type="expression" dxfId="150" priority="85" stopIfTrue="1">
      <formula>AB6="Y"</formula>
    </cfRule>
    <cfRule type="expression" dxfId="149" priority="86" stopIfTrue="1">
      <formula>AB6="R"</formula>
    </cfRule>
    <cfRule type="expression" dxfId="148" priority="87" stopIfTrue="1">
      <formula>AB6="G"</formula>
    </cfRule>
  </conditionalFormatting>
  <conditionalFormatting sqref="AC6:AC511">
    <cfRule type="expression" dxfId="147" priority="88" stopIfTrue="1">
      <formula>AC6="Not in System"</formula>
    </cfRule>
    <cfRule type="expression" dxfId="146" priority="89" stopIfTrue="1">
      <formula>AC6="N/A"</formula>
    </cfRule>
    <cfRule type="expression" dxfId="145" priority="90" stopIfTrue="1">
      <formula>AC6="Y"</formula>
    </cfRule>
    <cfRule type="expression" dxfId="144" priority="91" stopIfTrue="1">
      <formula>AC6="R"</formula>
    </cfRule>
    <cfRule type="expression" dxfId="143" priority="92" stopIfTrue="1">
      <formula>AC6="G"</formula>
    </cfRule>
  </conditionalFormatting>
  <conditionalFormatting sqref="AD6:AD511">
    <cfRule type="expression" dxfId="142" priority="93" stopIfTrue="1">
      <formula>AD6="Not in System"</formula>
    </cfRule>
    <cfRule type="expression" dxfId="141" priority="94" stopIfTrue="1">
      <formula>AD6="N/A"</formula>
    </cfRule>
    <cfRule type="expression" dxfId="140" priority="95" stopIfTrue="1">
      <formula>AD6="Y"</formula>
    </cfRule>
    <cfRule type="expression" dxfId="139" priority="96" stopIfTrue="1">
      <formula>AD6="R"</formula>
    </cfRule>
    <cfRule type="expression" dxfId="138" priority="97" stopIfTrue="1">
      <formula>AD6="G"</formula>
    </cfRule>
  </conditionalFormatting>
  <conditionalFormatting sqref="AE6:AE511">
    <cfRule type="expression" dxfId="137" priority="98" stopIfTrue="1">
      <formula>AE6="Not in System"</formula>
    </cfRule>
  </conditionalFormatting>
  <conditionalFormatting sqref="AE6:AE511">
    <cfRule type="expression" dxfId="136" priority="99" stopIfTrue="1">
      <formula>AE6="N/A"</formula>
    </cfRule>
  </conditionalFormatting>
  <conditionalFormatting sqref="AE6:AE511">
    <cfRule type="expression" dxfId="135" priority="100" stopIfTrue="1">
      <formula>AD6="Y"</formula>
    </cfRule>
  </conditionalFormatting>
  <conditionalFormatting sqref="AE6:AE511">
    <cfRule type="expression" dxfId="134" priority="101" stopIfTrue="1">
      <formula>AD6="R"</formula>
    </cfRule>
  </conditionalFormatting>
  <conditionalFormatting sqref="AE6:AE511">
    <cfRule type="expression" dxfId="133" priority="102" stopIfTrue="1">
      <formula>AD6="G"</formula>
    </cfRule>
  </conditionalFormatting>
  <conditionalFormatting sqref="AG6:AG511">
    <cfRule type="expression" dxfId="132" priority="103" stopIfTrue="1">
      <formula>AG6="Not in System"</formula>
    </cfRule>
  </conditionalFormatting>
  <conditionalFormatting sqref="AG6:AG511">
    <cfRule type="expression" dxfId="131" priority="104" stopIfTrue="1">
      <formula>AG6="N/A"</formula>
    </cfRule>
  </conditionalFormatting>
  <conditionalFormatting sqref="AG6:AG511">
    <cfRule type="expression" dxfId="130" priority="105" stopIfTrue="1">
      <formula>AND($A$1&lt;&gt;"",$A$1&gt;=EDATE(EDATE(AG6,12),-1),$A$1&lt;=EDATE(AG6,12))</formula>
    </cfRule>
  </conditionalFormatting>
  <conditionalFormatting sqref="AG6:AG511">
    <cfRule type="expression" dxfId="129" priority="106" stopIfTrue="1">
      <formula>AND($A$1&lt;&gt;"",$A$1&gt;EDATE(AG6,12))</formula>
    </cfRule>
  </conditionalFormatting>
  <conditionalFormatting sqref="AG6:AG511">
    <cfRule type="expression" dxfId="128" priority="107" stopIfTrue="1">
      <formula>AND($A$1&lt;&gt;"",$A$1&lt;EDATE(AG6,12))</formula>
    </cfRule>
  </conditionalFormatting>
  <conditionalFormatting sqref="AH6:AH511">
    <cfRule type="expression" dxfId="127" priority="108" stopIfTrue="1">
      <formula>AH6="N/A"</formula>
    </cfRule>
  </conditionalFormatting>
  <conditionalFormatting sqref="AH6:AH511">
    <cfRule type="expression" dxfId="126" priority="109" stopIfTrue="1">
      <formula>AND(AH6&lt;&gt;"N/A",AH6&lt;&gt;"")</formula>
    </cfRule>
  </conditionalFormatting>
  <conditionalFormatting sqref="AI6:AM511">
    <cfRule type="expression" dxfId="125" priority="110" stopIfTrue="1">
      <formula>AI6="Not in System"</formula>
    </cfRule>
  </conditionalFormatting>
  <conditionalFormatting sqref="AI6:AM511">
    <cfRule type="expression" dxfId="124" priority="111" stopIfTrue="1">
      <formula>AI6="N/A"</formula>
    </cfRule>
  </conditionalFormatting>
  <conditionalFormatting sqref="AI6:AM511">
    <cfRule type="expression" dxfId="123" priority="112" stopIfTrue="1">
      <formula>AND($A$1&lt;&gt;"",$A$1&gt;EDATE(AI6,999))</formula>
    </cfRule>
  </conditionalFormatting>
  <conditionalFormatting sqref="AI6:AM511">
    <cfRule type="expression" dxfId="122" priority="113" stopIfTrue="1">
      <formula>AND($A$1&lt;&gt;"",$A$1&lt;EDATE(AI6,999))</formula>
    </cfRule>
  </conditionalFormatting>
  <conditionalFormatting sqref="AN6:AN511">
    <cfRule type="expression" dxfId="121" priority="114" stopIfTrue="1">
      <formula>AN6="Not in System"</formula>
    </cfRule>
  </conditionalFormatting>
  <conditionalFormatting sqref="AN6:AN511">
    <cfRule type="expression" dxfId="120" priority="115" stopIfTrue="1">
      <formula>AN6="N/A"</formula>
    </cfRule>
  </conditionalFormatting>
  <conditionalFormatting sqref="AN6:AN511">
    <cfRule type="expression" dxfId="119" priority="116" stopIfTrue="1">
      <formula>AND($A$1&lt;&gt;"",$A$1&gt;=EDATE(EDATE(AN6,12),-1),$A$1&lt;=EDATE(AN6,12))</formula>
    </cfRule>
  </conditionalFormatting>
  <conditionalFormatting sqref="AN6:AN511">
    <cfRule type="expression" dxfId="118" priority="117" stopIfTrue="1">
      <formula>AND($A$1&lt;&gt;"",$A$1&gt;EDATE(AN6,12))</formula>
    </cfRule>
  </conditionalFormatting>
  <conditionalFormatting sqref="AN6:AN511">
    <cfRule type="expression" dxfId="117" priority="118" stopIfTrue="1">
      <formula>AND($A$1&lt;&gt;"",$A$1&lt;EDATE(AN6,12))</formula>
    </cfRule>
  </conditionalFormatting>
  <conditionalFormatting sqref="AO6:AO511">
    <cfRule type="expression" dxfId="116" priority="119" stopIfTrue="1">
      <formula>AO6="Not in System"</formula>
    </cfRule>
  </conditionalFormatting>
  <conditionalFormatting sqref="AO6:AO511">
    <cfRule type="expression" dxfId="115" priority="120" stopIfTrue="1">
      <formula>AO6="N/A"</formula>
    </cfRule>
  </conditionalFormatting>
  <conditionalFormatting sqref="AO6:AO511">
    <cfRule type="expression" dxfId="114" priority="121" stopIfTrue="1">
      <formula>AND($A$1&lt;&gt;"",$A$1&gt;=EDATE(EDATE(AO6,12),-1),$A$1&lt;=EDATE(AO6,12))</formula>
    </cfRule>
  </conditionalFormatting>
  <conditionalFormatting sqref="AO6:AO511">
    <cfRule type="expression" dxfId="113" priority="122" stopIfTrue="1">
      <formula>AND($A$1&lt;&gt;"",$A$1&gt;EDATE(AO6,12))</formula>
    </cfRule>
  </conditionalFormatting>
  <conditionalFormatting sqref="AO6:AO511">
    <cfRule type="expression" dxfId="112" priority="123" stopIfTrue="1">
      <formula>AND($A$1&lt;&gt;"",$A$1&lt;EDATE(AO6,12))</formula>
    </cfRule>
  </conditionalFormatting>
  <conditionalFormatting sqref="AP6:AP511">
    <cfRule type="expression" dxfId="111" priority="124" stopIfTrue="1">
      <formula>AP6="Not in System"</formula>
    </cfRule>
  </conditionalFormatting>
  <conditionalFormatting sqref="AP6:AP511">
    <cfRule type="expression" dxfId="110" priority="125" stopIfTrue="1">
      <formula>AP6="N/A"</formula>
    </cfRule>
  </conditionalFormatting>
  <conditionalFormatting sqref="AP6:AP511">
    <cfRule type="expression" dxfId="109" priority="126" stopIfTrue="1">
      <formula>AND($A$1&lt;&gt;"",$A$1&gt;=EDATE(EDATE(AP6,999),-1),$A$1&lt;=EDATE(AP6,999))</formula>
    </cfRule>
  </conditionalFormatting>
  <conditionalFormatting sqref="AP6:AP511">
    <cfRule type="expression" dxfId="108" priority="127" stopIfTrue="1">
      <formula>AND($A$1&lt;&gt;"",$A$1&gt;EDATE(AP6,999))</formula>
    </cfRule>
  </conditionalFormatting>
  <conditionalFormatting sqref="AP6:AP511">
    <cfRule type="expression" dxfId="107" priority="128" stopIfTrue="1">
      <formula>AND($A$1&lt;&gt;"",$A$1&lt;EDATE(AP6,999))</formula>
    </cfRule>
  </conditionalFormatting>
  <conditionalFormatting sqref="AQ6:AQ511">
    <cfRule type="expression" dxfId="106" priority="129" stopIfTrue="1">
      <formula>AQ6="Not in System"</formula>
    </cfRule>
  </conditionalFormatting>
  <conditionalFormatting sqref="AQ6:AQ511">
    <cfRule type="expression" dxfId="105" priority="130" stopIfTrue="1">
      <formula>AQ6="N/A"</formula>
    </cfRule>
  </conditionalFormatting>
  <conditionalFormatting sqref="AQ6:AQ511">
    <cfRule type="expression" dxfId="104" priority="131" stopIfTrue="1">
      <formula>AND($A$1&lt;&gt;"",$A$1&gt;=EDATE(EDATE(AQ6,999),-1),$A$1&lt;=EDATE(AQ6,999))</formula>
    </cfRule>
  </conditionalFormatting>
  <conditionalFormatting sqref="AQ6:AQ511">
    <cfRule type="expression" dxfId="103" priority="132" stopIfTrue="1">
      <formula>AND($A$1&lt;&gt;"",$A$1&gt;EDATE(AQ6,999))</formula>
    </cfRule>
  </conditionalFormatting>
  <conditionalFormatting sqref="AQ6:AQ511">
    <cfRule type="expression" dxfId="102" priority="133" stopIfTrue="1">
      <formula>AND($A$1&lt;&gt;"",$A$1&lt;EDATE(AQ6,999))</formula>
    </cfRule>
  </conditionalFormatting>
  <conditionalFormatting sqref="AR6:AR511">
    <cfRule type="expression" dxfId="101" priority="134" stopIfTrue="1">
      <formula>AR6="Not in System"</formula>
    </cfRule>
  </conditionalFormatting>
  <conditionalFormatting sqref="AR6:AR511">
    <cfRule type="expression" dxfId="100" priority="135" stopIfTrue="1">
      <formula>AR6="N/A"</formula>
    </cfRule>
  </conditionalFormatting>
  <conditionalFormatting sqref="AR6:AR511">
    <cfRule type="expression" dxfId="99" priority="136" stopIfTrue="1">
      <formula>AND($A$1&lt;&gt;"",$A$1&gt;=EDATE(EDATE(AR6,12),-1),$A$1&lt;=EDATE(AR6,12))</formula>
    </cfRule>
  </conditionalFormatting>
  <conditionalFormatting sqref="AR6:AR511">
    <cfRule type="expression" dxfId="98" priority="137" stopIfTrue="1">
      <formula>AND($A$1&lt;&gt;"",$A$1&gt;EDATE(AR6,12))</formula>
    </cfRule>
  </conditionalFormatting>
  <conditionalFormatting sqref="AR6:AR511">
    <cfRule type="expression" dxfId="97" priority="138" stopIfTrue="1">
      <formula>AND($A$1&lt;&gt;"",$A$1&lt;EDATE(AR6,12))</formula>
    </cfRule>
  </conditionalFormatting>
  <conditionalFormatting sqref="AS6:AS511">
    <cfRule type="expression" dxfId="96" priority="139" stopIfTrue="1">
      <formula>AS6="Not in System"</formula>
    </cfRule>
  </conditionalFormatting>
  <conditionalFormatting sqref="AS6:AS511">
    <cfRule type="expression" dxfId="95" priority="140" stopIfTrue="1">
      <formula>AS6="N/A"</formula>
    </cfRule>
  </conditionalFormatting>
  <conditionalFormatting sqref="AS6:AS511">
    <cfRule type="expression" dxfId="94" priority="141" stopIfTrue="1">
      <formula>AND($A$1&lt;&gt;"",$A$1&gt;=EDATE(EDATE(AS6,12),-1),$A$1&lt;=EDATE(AS6,12))</formula>
    </cfRule>
  </conditionalFormatting>
  <conditionalFormatting sqref="AS6:AS511">
    <cfRule type="expression" dxfId="93" priority="142" stopIfTrue="1">
      <formula>AND($A$1&lt;&gt;"",$A$1&gt;EDATE(AS6,12))</formula>
    </cfRule>
  </conditionalFormatting>
  <conditionalFormatting sqref="AS6:AS511">
    <cfRule type="expression" dxfId="92" priority="143" stopIfTrue="1">
      <formula>AND($A$1&lt;&gt;"",$A$1&lt;EDATE(AS6,12))</formula>
    </cfRule>
  </conditionalFormatting>
  <conditionalFormatting sqref="AT6:AT511">
    <cfRule type="expression" dxfId="91" priority="144" stopIfTrue="1">
      <formula>AT6="Not in System"</formula>
    </cfRule>
  </conditionalFormatting>
  <conditionalFormatting sqref="AT6:AT511">
    <cfRule type="expression" dxfId="90" priority="145" stopIfTrue="1">
      <formula>AT6="N/A"</formula>
    </cfRule>
  </conditionalFormatting>
  <conditionalFormatting sqref="AT6:AT511">
    <cfRule type="expression" dxfId="89" priority="146" stopIfTrue="1">
      <formula>AND($A$1&lt;&gt;"",$A$1&gt;=EDATE(EDATE(AT6,24),-1),$A$1&lt;=EDATE(AT6,24))</formula>
    </cfRule>
  </conditionalFormatting>
  <conditionalFormatting sqref="AT6:AT511">
    <cfRule type="expression" dxfId="88" priority="147" stopIfTrue="1">
      <formula>AND($A$1&lt;&gt;"",$A$1&gt;EDATE(AT6,24))</formula>
    </cfRule>
  </conditionalFormatting>
  <conditionalFormatting sqref="AT6:AT511">
    <cfRule type="expression" dxfId="87" priority="148" stopIfTrue="1">
      <formula>AND($A$1&lt;&gt;"",$A$1&lt;EDATE(AT6,24))</formula>
    </cfRule>
  </conditionalFormatting>
  <conditionalFormatting sqref="AU6:AU511">
    <cfRule type="expression" dxfId="86" priority="149" stopIfTrue="1">
      <formula>AU6="Not in System"</formula>
    </cfRule>
  </conditionalFormatting>
  <conditionalFormatting sqref="AU6:AU511">
    <cfRule type="expression" dxfId="85" priority="150" stopIfTrue="1">
      <formula>AU6="N/A"</formula>
    </cfRule>
  </conditionalFormatting>
  <conditionalFormatting sqref="AU6:AU511">
    <cfRule type="expression" dxfId="84" priority="151" stopIfTrue="1">
      <formula>AND($A$1&lt;&gt;"",$A$1&gt;=EDATE(EDATE(AU6,12),-1),$A$1&lt;=EDATE(AU6,12))</formula>
    </cfRule>
  </conditionalFormatting>
  <conditionalFormatting sqref="AU6:AU511">
    <cfRule type="expression" dxfId="83" priority="152" stopIfTrue="1">
      <formula>AND($A$1&lt;&gt;"",$A$1&gt;EDATE(AU6,12))</formula>
    </cfRule>
  </conditionalFormatting>
  <conditionalFormatting sqref="AU6:AU511">
    <cfRule type="expression" dxfId="82" priority="153" stopIfTrue="1">
      <formula>AND($A$1&lt;&gt;"",$A$1&lt;EDATE(AU6,12))</formula>
    </cfRule>
  </conditionalFormatting>
  <conditionalFormatting sqref="AV6:AV511">
    <cfRule type="expression" dxfId="81" priority="154" stopIfTrue="1">
      <formula>AV6="Not in System"</formula>
    </cfRule>
  </conditionalFormatting>
  <conditionalFormatting sqref="AV6:AV511">
    <cfRule type="expression" dxfId="80" priority="155" stopIfTrue="1">
      <formula>AV6="N/A"</formula>
    </cfRule>
  </conditionalFormatting>
  <conditionalFormatting sqref="AV6:AV511">
    <cfRule type="expression" dxfId="79" priority="156" stopIfTrue="1">
      <formula>AND($A$1&lt;&gt;"",$A$1&gt;=EDATE(EDATE(AV6,12),-1),$A$1&lt;=EDATE(AV6,12))</formula>
    </cfRule>
  </conditionalFormatting>
  <conditionalFormatting sqref="AV6:AV511">
    <cfRule type="expression" dxfId="78" priority="157" stopIfTrue="1">
      <formula>AND($A$1&lt;&gt;"",$A$1&gt;EDATE(AV6,12))</formula>
    </cfRule>
  </conditionalFormatting>
  <conditionalFormatting sqref="AV6:AV511">
    <cfRule type="expression" dxfId="77" priority="158" stopIfTrue="1">
      <formula>AND($A$1&lt;&gt;"",$A$1&lt;EDATE(AV6,12))</formula>
    </cfRule>
  </conditionalFormatting>
  <conditionalFormatting sqref="AW6:AW511">
    <cfRule type="expression" dxfId="76" priority="159" stopIfTrue="1">
      <formula>AW6="Not in System"</formula>
    </cfRule>
  </conditionalFormatting>
  <conditionalFormatting sqref="AW6:AW511">
    <cfRule type="expression" dxfId="75" priority="160" stopIfTrue="1">
      <formula>AW6="N/A"</formula>
    </cfRule>
  </conditionalFormatting>
  <conditionalFormatting sqref="AW6:AW511">
    <cfRule type="expression" dxfId="74" priority="161" stopIfTrue="1">
      <formula>AND($A$1&lt;&gt;"",$A$1&gt;=EDATE(EDATE(AW6,12),-1),$A$1&lt;=EDATE(AW6,12))</formula>
    </cfRule>
  </conditionalFormatting>
  <conditionalFormatting sqref="AW6:AW511">
    <cfRule type="expression" dxfId="73" priority="162" stopIfTrue="1">
      <formula>AND($A$1&lt;&gt;"",$A$1&gt;EDATE(AW6,12))</formula>
    </cfRule>
  </conditionalFormatting>
  <conditionalFormatting sqref="AW6:AW511">
    <cfRule type="expression" dxfId="72" priority="163" stopIfTrue="1">
      <formula>AND($A$1&lt;&gt;"",$A$1&lt;EDATE(AW6,12))</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114"/>
  <sheetViews>
    <sheetView zoomScale="87" zoomScaleNormal="87" workbookViewId="0">
      <pane ySplit="6" topLeftCell="A7" activePane="bottomLeft" state="frozen"/>
      <selection pane="bottomLeft"/>
    </sheetView>
  </sheetViews>
  <sheetFormatPr defaultRowHeight="15" x14ac:dyDescent="0.25"/>
  <cols>
    <col min="1" max="1" width="9.140625" style="13"/>
    <col min="2" max="2" width="8" style="13" bestFit="1" customWidth="1"/>
    <col min="3" max="3" width="0.85546875" style="22" customWidth="1"/>
    <col min="4" max="4" width="40.7109375" style="19" customWidth="1"/>
    <col min="5" max="9" width="12.7109375" style="44" customWidth="1"/>
    <col min="10" max="10" width="9.140625" style="107" hidden="1" customWidth="1"/>
    <col min="11" max="13" width="9.140625" style="96" hidden="1" customWidth="1"/>
    <col min="14" max="14" width="9.140625" hidden="1" customWidth="1"/>
    <col min="15" max="15" width="9.140625" customWidth="1"/>
  </cols>
  <sheetData>
    <row r="1" spans="1:14" ht="39.950000000000003" customHeight="1" x14ac:dyDescent="0.25">
      <c r="D1" s="53" t="s">
        <v>67</v>
      </c>
      <c r="E1" s="32"/>
      <c r="F1" s="33"/>
      <c r="G1" s="32"/>
      <c r="H1" s="179" t="s">
        <v>71</v>
      </c>
      <c r="I1" s="180"/>
      <c r="J1" s="95"/>
    </row>
    <row r="2" spans="1:14" s="93" customFormat="1" ht="30" customHeight="1" x14ac:dyDescent="0.25">
      <c r="C2" s="94"/>
      <c r="D2" s="183" t="s">
        <v>69</v>
      </c>
      <c r="E2" s="184"/>
      <c r="F2" s="184"/>
      <c r="G2" s="184"/>
      <c r="H2" s="184"/>
      <c r="I2" s="185"/>
      <c r="J2" s="97"/>
      <c r="K2" s="98"/>
      <c r="L2" s="98"/>
      <c r="M2" s="98"/>
    </row>
    <row r="3" spans="1:14" s="14" customFormat="1" x14ac:dyDescent="0.25">
      <c r="C3" s="23"/>
      <c r="D3" s="186" t="s">
        <v>68</v>
      </c>
      <c r="E3" s="187"/>
      <c r="F3" s="187"/>
      <c r="G3" s="187"/>
      <c r="H3" s="187"/>
      <c r="I3" s="188"/>
      <c r="J3" s="99"/>
      <c r="K3" s="100"/>
      <c r="L3" s="100"/>
      <c r="M3" s="100"/>
    </row>
    <row r="4" spans="1:14" s="14" customFormat="1" x14ac:dyDescent="0.25">
      <c r="C4" s="23"/>
      <c r="D4" s="186" t="s">
        <v>70</v>
      </c>
      <c r="E4" s="187"/>
      <c r="F4" s="187"/>
      <c r="G4" s="187"/>
      <c r="H4" s="187"/>
      <c r="I4" s="188"/>
      <c r="J4" s="99"/>
      <c r="K4" s="100"/>
      <c r="L4" s="100"/>
      <c r="M4" s="100"/>
    </row>
    <row r="5" spans="1:14" s="2" customFormat="1" ht="5.0999999999999996" customHeight="1" x14ac:dyDescent="0.25">
      <c r="A5" s="15"/>
      <c r="B5" s="15"/>
      <c r="C5" s="24"/>
      <c r="D5" s="181"/>
      <c r="E5" s="34"/>
      <c r="F5" s="34"/>
      <c r="G5" s="34"/>
      <c r="H5" s="34"/>
      <c r="I5" s="92"/>
      <c r="J5" s="101"/>
      <c r="K5" s="102"/>
      <c r="L5" s="102"/>
      <c r="M5" s="102"/>
    </row>
    <row r="6" spans="1:14" s="13" customFormat="1" ht="15" customHeight="1" x14ac:dyDescent="0.25">
      <c r="C6" s="22"/>
      <c r="D6" s="182"/>
      <c r="E6" s="27" t="s">
        <v>30</v>
      </c>
      <c r="F6" s="28" t="s">
        <v>32</v>
      </c>
      <c r="G6" s="29" t="s">
        <v>54</v>
      </c>
      <c r="H6" s="30" t="s">
        <v>59</v>
      </c>
      <c r="I6" s="21" t="s">
        <v>31</v>
      </c>
      <c r="J6" s="103"/>
      <c r="K6" s="104"/>
      <c r="L6" s="105"/>
      <c r="M6" s="106"/>
    </row>
    <row r="7" spans="1:14" ht="3" customHeight="1" x14ac:dyDescent="0.25">
      <c r="A7" s="14"/>
      <c r="B7" s="16"/>
      <c r="C7"/>
    </row>
    <row r="8" spans="1:14" s="5" customFormat="1" ht="20.100000000000001" customHeight="1" x14ac:dyDescent="0.25">
      <c r="A8" s="14" t="s">
        <v>38</v>
      </c>
      <c r="B8" s="16" t="s">
        <v>0</v>
      </c>
      <c r="C8" s="25" t="s">
        <v>60</v>
      </c>
      <c r="D8" s="6" t="s">
        <v>76</v>
      </c>
      <c r="E8" s="37"/>
      <c r="F8" s="37"/>
      <c r="G8" s="37"/>
      <c r="H8" s="37"/>
      <c r="I8" s="48"/>
      <c r="J8" s="108"/>
      <c r="K8" s="109"/>
      <c r="L8" s="109"/>
      <c r="M8" s="109"/>
    </row>
    <row r="9" spans="1:14" ht="9.9499999999999993" customHeight="1" x14ac:dyDescent="0.25">
      <c r="A9" s="14"/>
      <c r="B9" s="16"/>
      <c r="C9" t="s">
        <v>39</v>
      </c>
    </row>
    <row r="10" spans="1:14" s="5" customFormat="1" ht="20.100000000000001" customHeight="1" x14ac:dyDescent="0.25">
      <c r="A10" s="14" t="s">
        <v>4</v>
      </c>
      <c r="B10" s="14"/>
      <c r="C10" s="25" t="s">
        <v>60</v>
      </c>
      <c r="D10" s="20" t="str">
        <f>IFERROR(A10&amp;"   ("&amp;COUNTIFS(#REF!,"="&amp;A10)&amp;")",A10)</f>
        <v>11 SOIS</v>
      </c>
      <c r="E10" s="45"/>
      <c r="F10" s="45"/>
      <c r="G10" s="45"/>
      <c r="H10" s="45"/>
      <c r="I10" s="46"/>
      <c r="J10" s="103"/>
      <c r="K10" s="104"/>
      <c r="L10" s="105"/>
      <c r="M10" s="106"/>
      <c r="N10" s="5" t="s">
        <v>1672</v>
      </c>
    </row>
    <row r="11" spans="1:14" s="5" customFormat="1" ht="20.100000000000001" customHeight="1" x14ac:dyDescent="0.25">
      <c r="A11" s="14" t="s">
        <v>4</v>
      </c>
      <c r="B11" s="16" t="s">
        <v>20</v>
      </c>
      <c r="C11" s="25" t="s">
        <v>60</v>
      </c>
      <c r="D11" s="6" t="s">
        <v>20</v>
      </c>
      <c r="E11" s="37"/>
      <c r="F11" s="37"/>
      <c r="G11" s="37"/>
      <c r="H11" s="37"/>
      <c r="I11" s="48"/>
      <c r="J11" s="103"/>
      <c r="K11" s="104"/>
      <c r="L11" s="105"/>
      <c r="M11" s="106"/>
      <c r="N11" s="5" t="s">
        <v>1673</v>
      </c>
    </row>
    <row r="12" spans="1:14" s="5" customFormat="1" ht="30" customHeight="1" x14ac:dyDescent="0.25">
      <c r="A12" s="14" t="s">
        <v>4</v>
      </c>
      <c r="B12" s="16" t="s">
        <v>20</v>
      </c>
      <c r="C12" s="25" t="s">
        <v>61</v>
      </c>
      <c r="D12" s="12" t="s">
        <v>25</v>
      </c>
      <c r="E12" s="38">
        <v>0</v>
      </c>
      <c r="F12" s="39">
        <v>0</v>
      </c>
      <c r="G12" s="40">
        <v>0</v>
      </c>
      <c r="H12" s="41">
        <v>0</v>
      </c>
      <c r="I12" s="42">
        <f>SUM(E12:H12)</f>
        <v>0</v>
      </c>
      <c r="J12" s="103" t="str">
        <f>IFERROR(E12/$I12*100,"")</f>
        <v/>
      </c>
      <c r="K12" s="104" t="str">
        <f>IFERROR(F12/$I12*100,"")</f>
        <v/>
      </c>
      <c r="L12" s="105" t="str">
        <f>IFERROR(G12/$I12*100,"")</f>
        <v/>
      </c>
      <c r="M12" s="106" t="str">
        <f>IFERROR(H12/$I12*100,"")</f>
        <v/>
      </c>
      <c r="N12" s="5" t="s">
        <v>1671</v>
      </c>
    </row>
    <row r="13" spans="1:14" ht="5.0999999999999996" customHeight="1" x14ac:dyDescent="0.25">
      <c r="A13" s="14" t="s">
        <v>4</v>
      </c>
      <c r="B13" s="16" t="s">
        <v>20</v>
      </c>
      <c r="C13"/>
      <c r="D13" s="57"/>
      <c r="E13" s="59"/>
      <c r="F13" s="59"/>
      <c r="G13" s="59"/>
      <c r="H13" s="59"/>
      <c r="I13" s="59"/>
      <c r="J13" s="103"/>
      <c r="K13" s="104"/>
      <c r="L13" s="105"/>
      <c r="M13" s="106" t="str">
        <f t="shared" ref="M13:M76" si="0">IFERROR(H13/$I13*100,"")</f>
        <v/>
      </c>
    </row>
    <row r="14" spans="1:14" s="5" customFormat="1" ht="20.100000000000001" customHeight="1" x14ac:dyDescent="0.25">
      <c r="A14" s="14" t="s">
        <v>4</v>
      </c>
      <c r="B14" s="16" t="s">
        <v>26</v>
      </c>
      <c r="C14" s="25" t="s">
        <v>60</v>
      </c>
      <c r="D14" s="116" t="s">
        <v>98</v>
      </c>
      <c r="E14" s="37"/>
      <c r="F14" s="37"/>
      <c r="G14" s="37"/>
      <c r="H14" s="37"/>
      <c r="I14" s="47"/>
      <c r="J14" s="103"/>
      <c r="K14" s="104"/>
      <c r="L14" s="105"/>
      <c r="M14" s="106" t="str">
        <f t="shared" si="0"/>
        <v/>
      </c>
      <c r="N14" s="5" t="s">
        <v>1673</v>
      </c>
    </row>
    <row r="15" spans="1:14" s="5" customFormat="1" ht="30" customHeight="1" x14ac:dyDescent="0.25">
      <c r="A15" s="14" t="s">
        <v>4</v>
      </c>
      <c r="B15" s="16" t="s">
        <v>26</v>
      </c>
      <c r="C15" s="25" t="s">
        <v>61</v>
      </c>
      <c r="D15" s="31" t="s">
        <v>21</v>
      </c>
      <c r="E15" s="38">
        <v>0</v>
      </c>
      <c r="F15" s="39">
        <v>0</v>
      </c>
      <c r="G15" s="40">
        <v>0</v>
      </c>
      <c r="H15" s="41">
        <v>0</v>
      </c>
      <c r="I15" s="42">
        <f t="shared" ref="I15:I22" si="1">SUM(E15:H15)</f>
        <v>0</v>
      </c>
      <c r="J15" s="103" t="str">
        <f t="shared" ref="J15:L22" si="2">IFERROR(E15/$I15*100,"")</f>
        <v/>
      </c>
      <c r="K15" s="104" t="str">
        <f t="shared" si="2"/>
        <v/>
      </c>
      <c r="L15" s="105" t="str">
        <f t="shared" si="2"/>
        <v/>
      </c>
      <c r="M15" s="106" t="str">
        <f t="shared" si="0"/>
        <v/>
      </c>
    </row>
    <row r="16" spans="1:14" s="5" customFormat="1" ht="30" customHeight="1" x14ac:dyDescent="0.25">
      <c r="A16" s="14" t="s">
        <v>4</v>
      </c>
      <c r="B16" s="16" t="s">
        <v>26</v>
      </c>
      <c r="C16" s="25" t="s">
        <v>61</v>
      </c>
      <c r="D16" s="31" t="s">
        <v>22</v>
      </c>
      <c r="E16" s="38">
        <v>0</v>
      </c>
      <c r="F16" s="39">
        <v>0</v>
      </c>
      <c r="G16" s="40">
        <v>0</v>
      </c>
      <c r="H16" s="41">
        <v>0</v>
      </c>
      <c r="I16" s="42">
        <f t="shared" si="1"/>
        <v>0</v>
      </c>
      <c r="J16" s="103" t="str">
        <f t="shared" si="2"/>
        <v/>
      </c>
      <c r="K16" s="104" t="str">
        <f t="shared" si="2"/>
        <v/>
      </c>
      <c r="L16" s="105" t="str">
        <f t="shared" si="2"/>
        <v/>
      </c>
      <c r="M16" s="106" t="str">
        <f t="shared" si="0"/>
        <v/>
      </c>
    </row>
    <row r="17" spans="1:14" s="5" customFormat="1" ht="30" customHeight="1" x14ac:dyDescent="0.25">
      <c r="A17" s="14" t="s">
        <v>4</v>
      </c>
      <c r="B17" s="16" t="s">
        <v>26</v>
      </c>
      <c r="C17" s="25" t="s">
        <v>61</v>
      </c>
      <c r="D17" s="31" t="s">
        <v>27</v>
      </c>
      <c r="E17" s="38">
        <v>0</v>
      </c>
      <c r="F17" s="39">
        <v>0</v>
      </c>
      <c r="G17" s="40">
        <v>0</v>
      </c>
      <c r="H17" s="41">
        <v>0</v>
      </c>
      <c r="I17" s="42">
        <f t="shared" si="1"/>
        <v>0</v>
      </c>
      <c r="J17" s="103" t="str">
        <f t="shared" si="2"/>
        <v/>
      </c>
      <c r="K17" s="104" t="str">
        <f t="shared" si="2"/>
        <v/>
      </c>
      <c r="L17" s="105" t="str">
        <f t="shared" si="2"/>
        <v/>
      </c>
      <c r="M17" s="106" t="str">
        <f t="shared" si="0"/>
        <v/>
      </c>
    </row>
    <row r="18" spans="1:14" s="5" customFormat="1" ht="30" customHeight="1" x14ac:dyDescent="0.25">
      <c r="A18" s="14" t="s">
        <v>4</v>
      </c>
      <c r="B18" s="16" t="s">
        <v>26</v>
      </c>
      <c r="C18" s="25" t="s">
        <v>61</v>
      </c>
      <c r="D18" s="31" t="s">
        <v>23</v>
      </c>
      <c r="E18" s="38">
        <v>0</v>
      </c>
      <c r="F18" s="39">
        <v>0</v>
      </c>
      <c r="G18" s="40">
        <v>0</v>
      </c>
      <c r="H18" s="41">
        <v>0</v>
      </c>
      <c r="I18" s="42">
        <f t="shared" si="1"/>
        <v>0</v>
      </c>
      <c r="J18" s="103" t="str">
        <f t="shared" si="2"/>
        <v/>
      </c>
      <c r="K18" s="104" t="str">
        <f t="shared" si="2"/>
        <v/>
      </c>
      <c r="L18" s="105" t="str">
        <f t="shared" si="2"/>
        <v/>
      </c>
      <c r="M18" s="106" t="str">
        <f t="shared" si="0"/>
        <v/>
      </c>
    </row>
    <row r="19" spans="1:14" s="5" customFormat="1" ht="30" customHeight="1" x14ac:dyDescent="0.25">
      <c r="A19" s="14" t="s">
        <v>4</v>
      </c>
      <c r="B19" s="16" t="s">
        <v>26</v>
      </c>
      <c r="C19" s="25" t="s">
        <v>61</v>
      </c>
      <c r="D19" s="31" t="s">
        <v>24</v>
      </c>
      <c r="E19" s="38">
        <v>0</v>
      </c>
      <c r="F19" s="39">
        <v>0</v>
      </c>
      <c r="G19" s="40">
        <v>0</v>
      </c>
      <c r="H19" s="41">
        <v>0</v>
      </c>
      <c r="I19" s="42">
        <f t="shared" si="1"/>
        <v>0</v>
      </c>
      <c r="J19" s="103" t="str">
        <f t="shared" si="2"/>
        <v/>
      </c>
      <c r="K19" s="104" t="str">
        <f t="shared" si="2"/>
        <v/>
      </c>
      <c r="L19" s="105" t="str">
        <f t="shared" si="2"/>
        <v/>
      </c>
      <c r="M19" s="106" t="str">
        <f t="shared" si="0"/>
        <v/>
      </c>
    </row>
    <row r="20" spans="1:14" s="5" customFormat="1" ht="30" customHeight="1" x14ac:dyDescent="0.25">
      <c r="A20" s="14" t="s">
        <v>4</v>
      </c>
      <c r="B20" s="16" t="s">
        <v>26</v>
      </c>
      <c r="C20" s="25" t="s">
        <v>61</v>
      </c>
      <c r="D20" s="31" t="s">
        <v>41</v>
      </c>
      <c r="E20" s="38">
        <v>0</v>
      </c>
      <c r="F20" s="39">
        <v>0</v>
      </c>
      <c r="G20" s="40">
        <v>0</v>
      </c>
      <c r="H20" s="41">
        <v>0</v>
      </c>
      <c r="I20" s="42">
        <f t="shared" si="1"/>
        <v>0</v>
      </c>
      <c r="J20" s="103" t="str">
        <f t="shared" si="2"/>
        <v/>
      </c>
      <c r="K20" s="104" t="str">
        <f t="shared" si="2"/>
        <v/>
      </c>
      <c r="L20" s="105" t="str">
        <f t="shared" si="2"/>
        <v/>
      </c>
      <c r="M20" s="106" t="str">
        <f t="shared" si="0"/>
        <v/>
      </c>
      <c r="N20" s="3"/>
    </row>
    <row r="21" spans="1:14" s="5" customFormat="1" ht="30" customHeight="1" x14ac:dyDescent="0.25">
      <c r="A21" s="14" t="s">
        <v>4</v>
      </c>
      <c r="B21" s="16" t="s">
        <v>26</v>
      </c>
      <c r="C21" s="25" t="s">
        <v>61</v>
      </c>
      <c r="D21" s="31" t="s">
        <v>28</v>
      </c>
      <c r="E21" s="38">
        <v>0</v>
      </c>
      <c r="F21" s="39">
        <v>0</v>
      </c>
      <c r="G21" s="40">
        <v>0</v>
      </c>
      <c r="H21" s="41">
        <v>0</v>
      </c>
      <c r="I21" s="42">
        <f t="shared" si="1"/>
        <v>0</v>
      </c>
      <c r="J21" s="103" t="str">
        <f t="shared" si="2"/>
        <v/>
      </c>
      <c r="K21" s="104" t="str">
        <f t="shared" si="2"/>
        <v/>
      </c>
      <c r="L21" s="105" t="str">
        <f t="shared" si="2"/>
        <v/>
      </c>
      <c r="M21" s="106" t="str">
        <f t="shared" si="0"/>
        <v/>
      </c>
    </row>
    <row r="22" spans="1:14" s="5" customFormat="1" ht="30" customHeight="1" x14ac:dyDescent="0.25">
      <c r="A22" s="14" t="s">
        <v>4</v>
      </c>
      <c r="B22" s="16" t="s">
        <v>26</v>
      </c>
      <c r="C22" s="25" t="s">
        <v>61</v>
      </c>
      <c r="D22" s="31" t="s">
        <v>40</v>
      </c>
      <c r="E22" s="38">
        <v>0</v>
      </c>
      <c r="F22" s="39">
        <v>0</v>
      </c>
      <c r="G22" s="40">
        <v>0</v>
      </c>
      <c r="H22" s="41">
        <v>0</v>
      </c>
      <c r="I22" s="42">
        <f t="shared" si="1"/>
        <v>0</v>
      </c>
      <c r="J22" s="103" t="str">
        <f t="shared" si="2"/>
        <v/>
      </c>
      <c r="K22" s="104" t="str">
        <f t="shared" si="2"/>
        <v/>
      </c>
      <c r="L22" s="105" t="str">
        <f t="shared" si="2"/>
        <v/>
      </c>
      <c r="M22" s="106" t="str">
        <f t="shared" si="0"/>
        <v/>
      </c>
    </row>
    <row r="23" spans="1:14" s="5" customFormat="1" ht="30" customHeight="1" x14ac:dyDescent="0.25">
      <c r="A23" s="14" t="s">
        <v>4</v>
      </c>
      <c r="B23" s="16" t="s">
        <v>26</v>
      </c>
      <c r="C23" s="25"/>
      <c r="D23" s="9" t="s">
        <v>29</v>
      </c>
      <c r="E23" s="38">
        <f>SUM(E15:E22)</f>
        <v>0</v>
      </c>
      <c r="F23" s="39">
        <f t="shared" ref="F23" si="3">SUM(F15:F22)</f>
        <v>0</v>
      </c>
      <c r="G23" s="40">
        <f t="shared" ref="G23" si="4">SUM(G15:G22)</f>
        <v>0</v>
      </c>
      <c r="H23" s="41">
        <f t="shared" ref="H23" si="5">SUM(H15:H22)</f>
        <v>0</v>
      </c>
      <c r="I23" s="43">
        <f t="shared" ref="I23" si="6">SUM(I15:I22)</f>
        <v>0</v>
      </c>
      <c r="J23" s="103" t="str">
        <f>IFERROR(E23/SUM($E23:$H23)*100,"")</f>
        <v/>
      </c>
      <c r="K23" s="104" t="str">
        <f>IFERROR(F23/SUM($E23:$H23)*100,"")</f>
        <v/>
      </c>
      <c r="L23" s="105" t="str">
        <f>IFERROR(G23/SUM($E23:$H23)*100,"")</f>
        <v/>
      </c>
      <c r="M23" s="106" t="str">
        <f t="shared" si="0"/>
        <v/>
      </c>
      <c r="N23" s="5" t="s">
        <v>1671</v>
      </c>
    </row>
    <row r="24" spans="1:14" ht="5.0999999999999996" customHeight="1" x14ac:dyDescent="0.25">
      <c r="A24" s="14" t="s">
        <v>4</v>
      </c>
      <c r="B24" s="16" t="s">
        <v>26</v>
      </c>
      <c r="C24"/>
      <c r="D24" s="57"/>
      <c r="E24" s="59"/>
      <c r="F24" s="59"/>
      <c r="G24" s="59"/>
      <c r="H24" s="59"/>
      <c r="I24" s="59"/>
      <c r="J24" s="103"/>
      <c r="K24" s="104"/>
      <c r="L24" s="105"/>
      <c r="M24" s="106" t="str">
        <f t="shared" si="0"/>
        <v/>
      </c>
    </row>
    <row r="25" spans="1:14" s="5" customFormat="1" ht="20.100000000000001" customHeight="1" x14ac:dyDescent="0.25">
      <c r="A25" s="14" t="s">
        <v>4</v>
      </c>
      <c r="B25" s="16" t="s">
        <v>64</v>
      </c>
      <c r="C25" s="25" t="s">
        <v>60</v>
      </c>
      <c r="D25" s="6" t="s">
        <v>65</v>
      </c>
      <c r="E25" s="37"/>
      <c r="F25" s="37"/>
      <c r="G25" s="37"/>
      <c r="H25" s="37"/>
      <c r="I25" s="48"/>
      <c r="J25" s="103"/>
      <c r="K25" s="104"/>
      <c r="L25" s="105"/>
      <c r="M25" s="106" t="str">
        <f t="shared" si="0"/>
        <v/>
      </c>
      <c r="N25" s="5" t="s">
        <v>1673</v>
      </c>
    </row>
    <row r="26" spans="1:14" s="5" customFormat="1" ht="30" customHeight="1" x14ac:dyDescent="0.25">
      <c r="A26" s="14" t="s">
        <v>4</v>
      </c>
      <c r="B26" s="16" t="s">
        <v>64</v>
      </c>
      <c r="C26" s="25" t="s">
        <v>61</v>
      </c>
      <c r="D26" s="12" t="s">
        <v>66</v>
      </c>
      <c r="E26" s="38">
        <v>0</v>
      </c>
      <c r="F26" s="39">
        <v>0</v>
      </c>
      <c r="G26" s="40">
        <v>0</v>
      </c>
      <c r="H26" s="41">
        <v>0</v>
      </c>
      <c r="I26" s="42">
        <f>SUM(E26:H26)</f>
        <v>0</v>
      </c>
      <c r="J26" s="103" t="str">
        <f>IFERROR(E26/$I26*100,"")</f>
        <v/>
      </c>
      <c r="K26" s="104" t="str">
        <f>IFERROR(F26/$I26*100,"")</f>
        <v/>
      </c>
      <c r="L26" s="105" t="str">
        <f>IFERROR(G26/$I26*100,"")</f>
        <v/>
      </c>
      <c r="M26" s="106" t="str">
        <f t="shared" si="0"/>
        <v/>
      </c>
      <c r="N26" s="5" t="s">
        <v>1671</v>
      </c>
    </row>
    <row r="27" spans="1:14" ht="5.0999999999999996" customHeight="1" x14ac:dyDescent="0.25">
      <c r="A27" s="14" t="s">
        <v>4</v>
      </c>
      <c r="B27" s="16" t="s">
        <v>64</v>
      </c>
      <c r="C27"/>
      <c r="D27" s="57"/>
      <c r="E27" s="59"/>
      <c r="F27" s="59"/>
      <c r="G27" s="59"/>
      <c r="H27" s="59"/>
      <c r="I27" s="59"/>
      <c r="J27" s="103"/>
      <c r="K27" s="104"/>
      <c r="L27" s="105"/>
      <c r="M27" s="106" t="str">
        <f t="shared" si="0"/>
        <v/>
      </c>
    </row>
    <row r="28" spans="1:14" s="5" customFormat="1" ht="20.100000000000001" customHeight="1" x14ac:dyDescent="0.25">
      <c r="A28" s="14" t="s">
        <v>4</v>
      </c>
      <c r="B28" s="16" t="s">
        <v>55</v>
      </c>
      <c r="C28" s="25" t="s">
        <v>60</v>
      </c>
      <c r="D28" s="6" t="s">
        <v>55</v>
      </c>
      <c r="E28" s="37"/>
      <c r="F28" s="37"/>
      <c r="G28" s="37"/>
      <c r="H28" s="37"/>
      <c r="I28" s="48"/>
      <c r="J28" s="103"/>
      <c r="K28" s="104"/>
      <c r="L28" s="105"/>
      <c r="M28" s="106" t="str">
        <f t="shared" si="0"/>
        <v/>
      </c>
      <c r="N28" s="5" t="s">
        <v>1673</v>
      </c>
    </row>
    <row r="29" spans="1:14" s="3" customFormat="1" ht="30" customHeight="1" x14ac:dyDescent="0.25">
      <c r="A29" s="14" t="s">
        <v>4</v>
      </c>
      <c r="B29" s="16" t="s">
        <v>55</v>
      </c>
      <c r="C29" s="25" t="s">
        <v>61</v>
      </c>
      <c r="D29" s="12" t="s">
        <v>56</v>
      </c>
      <c r="E29" s="38">
        <v>0</v>
      </c>
      <c r="F29" s="39">
        <v>0</v>
      </c>
      <c r="G29" s="40">
        <v>0</v>
      </c>
      <c r="H29" s="41">
        <v>0</v>
      </c>
      <c r="I29" s="42">
        <f>SUM(E29:H29)</f>
        <v>0</v>
      </c>
      <c r="J29" s="103" t="str">
        <f t="shared" ref="J29:L31" si="7">IFERROR(E29/$I29*100,"")</f>
        <v/>
      </c>
      <c r="K29" s="104" t="str">
        <f t="shared" si="7"/>
        <v/>
      </c>
      <c r="L29" s="105" t="str">
        <f t="shared" si="7"/>
        <v/>
      </c>
      <c r="M29" s="106" t="str">
        <f t="shared" si="0"/>
        <v/>
      </c>
      <c r="N29" s="5"/>
    </row>
    <row r="30" spans="1:14" s="3" customFormat="1" ht="30" customHeight="1" x14ac:dyDescent="0.25">
      <c r="A30" s="14" t="s">
        <v>4</v>
      </c>
      <c r="B30" s="16" t="s">
        <v>55</v>
      </c>
      <c r="C30" s="25" t="s">
        <v>61</v>
      </c>
      <c r="D30" s="12" t="s">
        <v>57</v>
      </c>
      <c r="E30" s="38">
        <v>0</v>
      </c>
      <c r="F30" s="39">
        <v>0</v>
      </c>
      <c r="G30" s="40">
        <v>0</v>
      </c>
      <c r="H30" s="41">
        <v>0</v>
      </c>
      <c r="I30" s="42">
        <f>SUM(E30:H30)</f>
        <v>0</v>
      </c>
      <c r="J30" s="103" t="str">
        <f t="shared" si="7"/>
        <v/>
      </c>
      <c r="K30" s="104" t="str">
        <f t="shared" si="7"/>
        <v/>
      </c>
      <c r="L30" s="105" t="str">
        <f t="shared" si="7"/>
        <v/>
      </c>
      <c r="M30" s="106" t="str">
        <f t="shared" si="0"/>
        <v/>
      </c>
    </row>
    <row r="31" spans="1:14" s="3" customFormat="1" ht="30" customHeight="1" x14ac:dyDescent="0.25">
      <c r="A31" s="14" t="s">
        <v>4</v>
      </c>
      <c r="B31" s="16" t="s">
        <v>55</v>
      </c>
      <c r="C31" s="25"/>
      <c r="D31" s="91" t="s">
        <v>29</v>
      </c>
      <c r="E31" s="38">
        <f>SUM(E29:E30)</f>
        <v>0</v>
      </c>
      <c r="F31" s="39">
        <f t="shared" ref="F31" si="8">SUM(F29:F30)</f>
        <v>0</v>
      </c>
      <c r="G31" s="40">
        <f t="shared" ref="G31" si="9">SUM(G29:G30)</f>
        <v>0</v>
      </c>
      <c r="H31" s="41">
        <f t="shared" ref="H31" si="10">SUM(H29:H30)</f>
        <v>0</v>
      </c>
      <c r="I31" s="42">
        <f t="shared" ref="I31" si="11">SUM(I29:I30)</f>
        <v>0</v>
      </c>
      <c r="J31" s="103" t="str">
        <f t="shared" si="7"/>
        <v/>
      </c>
      <c r="K31" s="104" t="str">
        <f t="shared" si="7"/>
        <v/>
      </c>
      <c r="L31" s="105" t="str">
        <f t="shared" si="7"/>
        <v/>
      </c>
      <c r="M31" s="106" t="str">
        <f t="shared" si="0"/>
        <v/>
      </c>
      <c r="N31" s="5" t="s">
        <v>1671</v>
      </c>
    </row>
    <row r="32" spans="1:14" ht="5.0999999999999996" customHeight="1" x14ac:dyDescent="0.25">
      <c r="A32" s="14" t="s">
        <v>4</v>
      </c>
      <c r="B32" s="16" t="s">
        <v>55</v>
      </c>
      <c r="C32"/>
      <c r="D32" s="57"/>
      <c r="E32" s="59"/>
      <c r="F32" s="59"/>
      <c r="G32" s="59"/>
      <c r="H32" s="59"/>
      <c r="I32" s="59"/>
      <c r="J32" s="103"/>
      <c r="K32" s="104"/>
      <c r="L32" s="105"/>
      <c r="M32" s="106" t="str">
        <f t="shared" si="0"/>
        <v/>
      </c>
    </row>
    <row r="33" spans="1:14" s="5" customFormat="1" ht="20.100000000000001" customHeight="1" x14ac:dyDescent="0.25">
      <c r="A33" s="14" t="s">
        <v>4</v>
      </c>
      <c r="B33" s="16" t="s">
        <v>74</v>
      </c>
      <c r="C33" s="25" t="s">
        <v>60</v>
      </c>
      <c r="D33" s="6" t="s">
        <v>75</v>
      </c>
      <c r="E33" s="37"/>
      <c r="F33" s="37"/>
      <c r="G33" s="37"/>
      <c r="H33" s="37"/>
      <c r="I33" s="48"/>
      <c r="J33" s="103"/>
      <c r="K33" s="104"/>
      <c r="L33" s="105"/>
      <c r="M33" s="106" t="str">
        <f t="shared" si="0"/>
        <v/>
      </c>
      <c r="N33" s="5" t="s">
        <v>1673</v>
      </c>
    </row>
    <row r="34" spans="1:14" s="3" customFormat="1" ht="30" customHeight="1" x14ac:dyDescent="0.25">
      <c r="A34" s="14" t="s">
        <v>4</v>
      </c>
      <c r="B34" s="16" t="s">
        <v>74</v>
      </c>
      <c r="C34" s="25" t="s">
        <v>61</v>
      </c>
      <c r="D34" s="12" t="s">
        <v>77</v>
      </c>
      <c r="E34" s="38">
        <v>0</v>
      </c>
      <c r="F34" s="39">
        <v>0</v>
      </c>
      <c r="G34" s="40">
        <v>0</v>
      </c>
      <c r="H34" s="41">
        <v>0</v>
      </c>
      <c r="I34" s="42">
        <f>SUM(E34:H34)</f>
        <v>0</v>
      </c>
      <c r="J34" s="103" t="str">
        <f>IFERROR(E34/$I34*100,"")</f>
        <v/>
      </c>
      <c r="K34" s="104" t="str">
        <f>IFERROR(F34/$I34*100,"")</f>
        <v/>
      </c>
      <c r="L34" s="105" t="str">
        <f>IFERROR(G34/$I34*100,"")</f>
        <v/>
      </c>
      <c r="M34" s="106" t="str">
        <f t="shared" si="0"/>
        <v/>
      </c>
      <c r="N34" s="3" t="s">
        <v>1671</v>
      </c>
    </row>
    <row r="35" spans="1:14" ht="5.0999999999999996" customHeight="1" x14ac:dyDescent="0.25">
      <c r="A35" s="14" t="s">
        <v>4</v>
      </c>
      <c r="B35" s="16" t="s">
        <v>74</v>
      </c>
      <c r="C35"/>
      <c r="D35" s="57"/>
      <c r="E35" s="59"/>
      <c r="F35" s="59"/>
      <c r="G35" s="59"/>
      <c r="H35" s="59"/>
      <c r="I35" s="59"/>
      <c r="J35" s="103"/>
      <c r="K35" s="104"/>
      <c r="L35" s="105"/>
      <c r="M35" s="106" t="str">
        <f t="shared" si="0"/>
        <v/>
      </c>
    </row>
    <row r="36" spans="1:14" s="5" customFormat="1" ht="20.100000000000001" customHeight="1" x14ac:dyDescent="0.25">
      <c r="A36" s="14" t="s">
        <v>4</v>
      </c>
      <c r="B36" s="16" t="s">
        <v>78</v>
      </c>
      <c r="C36" s="25" t="s">
        <v>60</v>
      </c>
      <c r="D36" s="6" t="s">
        <v>80</v>
      </c>
      <c r="E36" s="37"/>
      <c r="F36" s="37"/>
      <c r="G36" s="37"/>
      <c r="H36" s="37"/>
      <c r="I36" s="48"/>
      <c r="J36" s="103"/>
      <c r="K36" s="104"/>
      <c r="L36" s="105"/>
      <c r="M36" s="106" t="str">
        <f t="shared" si="0"/>
        <v/>
      </c>
      <c r="N36" s="5" t="s">
        <v>1673</v>
      </c>
    </row>
    <row r="37" spans="1:14" s="5" customFormat="1" ht="30" customHeight="1" x14ac:dyDescent="0.25">
      <c r="A37" s="14" t="s">
        <v>4</v>
      </c>
      <c r="B37" s="16" t="s">
        <v>78</v>
      </c>
      <c r="C37" s="25" t="s">
        <v>61</v>
      </c>
      <c r="D37" s="12" t="s">
        <v>81</v>
      </c>
      <c r="E37" s="38">
        <v>0</v>
      </c>
      <c r="F37" s="39">
        <v>0</v>
      </c>
      <c r="G37" s="40">
        <v>0</v>
      </c>
      <c r="H37" s="41">
        <v>0</v>
      </c>
      <c r="I37" s="42">
        <f t="shared" ref="I37:I43" si="12">SUM(E37:H37)</f>
        <v>0</v>
      </c>
      <c r="J37" s="103" t="str">
        <f t="shared" ref="J37:L43" si="13">IFERROR(E37/$I37*100,"")</f>
        <v/>
      </c>
      <c r="K37" s="104" t="str">
        <f t="shared" si="13"/>
        <v/>
      </c>
      <c r="L37" s="105" t="str">
        <f t="shared" si="13"/>
        <v/>
      </c>
      <c r="M37" s="106" t="str">
        <f t="shared" si="0"/>
        <v/>
      </c>
    </row>
    <row r="38" spans="1:14" s="5" customFormat="1" ht="30" customHeight="1" x14ac:dyDescent="0.25">
      <c r="A38" s="14" t="s">
        <v>4</v>
      </c>
      <c r="B38" s="16" t="s">
        <v>78</v>
      </c>
      <c r="C38" s="25" t="s">
        <v>61</v>
      </c>
      <c r="D38" s="12" t="s">
        <v>82</v>
      </c>
      <c r="E38" s="38">
        <v>0</v>
      </c>
      <c r="F38" s="39">
        <v>0</v>
      </c>
      <c r="G38" s="40">
        <v>0</v>
      </c>
      <c r="H38" s="41">
        <v>0</v>
      </c>
      <c r="I38" s="42">
        <f t="shared" si="12"/>
        <v>0</v>
      </c>
      <c r="J38" s="103" t="str">
        <f t="shared" si="13"/>
        <v/>
      </c>
      <c r="K38" s="104" t="str">
        <f t="shared" si="13"/>
        <v/>
      </c>
      <c r="L38" s="105" t="str">
        <f t="shared" si="13"/>
        <v/>
      </c>
      <c r="M38" s="106" t="str">
        <f t="shared" si="0"/>
        <v/>
      </c>
    </row>
    <row r="39" spans="1:14" s="5" customFormat="1" ht="30" customHeight="1" x14ac:dyDescent="0.25">
      <c r="A39" s="14" t="s">
        <v>4</v>
      </c>
      <c r="B39" s="16" t="s">
        <v>78</v>
      </c>
      <c r="C39" s="25" t="s">
        <v>61</v>
      </c>
      <c r="D39" s="12" t="s">
        <v>83</v>
      </c>
      <c r="E39" s="38">
        <v>0</v>
      </c>
      <c r="F39" s="39">
        <v>0</v>
      </c>
      <c r="G39" s="40">
        <v>0</v>
      </c>
      <c r="H39" s="41">
        <v>0</v>
      </c>
      <c r="I39" s="42">
        <f t="shared" si="12"/>
        <v>0</v>
      </c>
      <c r="J39" s="103" t="str">
        <f t="shared" si="13"/>
        <v/>
      </c>
      <c r="K39" s="104" t="str">
        <f t="shared" si="13"/>
        <v/>
      </c>
      <c r="L39" s="105" t="str">
        <f t="shared" si="13"/>
        <v/>
      </c>
      <c r="M39" s="106" t="str">
        <f t="shared" si="0"/>
        <v/>
      </c>
    </row>
    <row r="40" spans="1:14" s="5" customFormat="1" ht="30" customHeight="1" x14ac:dyDescent="0.25">
      <c r="A40" s="14" t="s">
        <v>4</v>
      </c>
      <c r="B40" s="16" t="s">
        <v>78</v>
      </c>
      <c r="C40" s="25" t="s">
        <v>61</v>
      </c>
      <c r="D40" s="12" t="s">
        <v>88</v>
      </c>
      <c r="E40" s="38">
        <v>0</v>
      </c>
      <c r="F40" s="39">
        <v>0</v>
      </c>
      <c r="G40" s="40">
        <v>0</v>
      </c>
      <c r="H40" s="41">
        <v>0</v>
      </c>
      <c r="I40" s="42">
        <f t="shared" si="12"/>
        <v>0</v>
      </c>
      <c r="J40" s="103" t="str">
        <f t="shared" si="13"/>
        <v/>
      </c>
      <c r="K40" s="104" t="str">
        <f t="shared" si="13"/>
        <v/>
      </c>
      <c r="L40" s="105" t="str">
        <f t="shared" si="13"/>
        <v/>
      </c>
      <c r="M40" s="106" t="str">
        <f t="shared" si="0"/>
        <v/>
      </c>
    </row>
    <row r="41" spans="1:14" s="5" customFormat="1" ht="30" customHeight="1" x14ac:dyDescent="0.25">
      <c r="A41" s="14" t="s">
        <v>4</v>
      </c>
      <c r="B41" s="16" t="s">
        <v>78</v>
      </c>
      <c r="C41" s="25" t="s">
        <v>61</v>
      </c>
      <c r="D41" s="12" t="s">
        <v>87</v>
      </c>
      <c r="E41" s="38">
        <v>0</v>
      </c>
      <c r="F41" s="39">
        <v>0</v>
      </c>
      <c r="G41" s="40">
        <v>0</v>
      </c>
      <c r="H41" s="41">
        <v>0</v>
      </c>
      <c r="I41" s="42">
        <f t="shared" si="12"/>
        <v>0</v>
      </c>
      <c r="J41" s="103" t="str">
        <f t="shared" si="13"/>
        <v/>
      </c>
      <c r="K41" s="104" t="str">
        <f t="shared" si="13"/>
        <v/>
      </c>
      <c r="L41" s="105" t="str">
        <f t="shared" si="13"/>
        <v/>
      </c>
      <c r="M41" s="106" t="str">
        <f t="shared" si="0"/>
        <v/>
      </c>
    </row>
    <row r="42" spans="1:14" s="5" customFormat="1" ht="30" customHeight="1" x14ac:dyDescent="0.25">
      <c r="A42" s="14" t="s">
        <v>4</v>
      </c>
      <c r="B42" s="16" t="s">
        <v>78</v>
      </c>
      <c r="C42" s="25" t="s">
        <v>61</v>
      </c>
      <c r="D42" s="12" t="s">
        <v>84</v>
      </c>
      <c r="E42" s="38">
        <v>0</v>
      </c>
      <c r="F42" s="39">
        <v>0</v>
      </c>
      <c r="G42" s="40">
        <v>0</v>
      </c>
      <c r="H42" s="41">
        <v>0</v>
      </c>
      <c r="I42" s="42">
        <f t="shared" si="12"/>
        <v>0</v>
      </c>
      <c r="J42" s="103" t="str">
        <f t="shared" si="13"/>
        <v/>
      </c>
      <c r="K42" s="104" t="str">
        <f t="shared" si="13"/>
        <v/>
      </c>
      <c r="L42" s="105" t="str">
        <f t="shared" si="13"/>
        <v/>
      </c>
      <c r="M42" s="106" t="str">
        <f t="shared" si="0"/>
        <v/>
      </c>
    </row>
    <row r="43" spans="1:14" s="5" customFormat="1" ht="30" customHeight="1" x14ac:dyDescent="0.25">
      <c r="A43" s="14" t="s">
        <v>4</v>
      </c>
      <c r="B43" s="16" t="s">
        <v>78</v>
      </c>
      <c r="C43" s="25" t="s">
        <v>86</v>
      </c>
      <c r="D43" s="12" t="s">
        <v>79</v>
      </c>
      <c r="E43" s="38">
        <v>0</v>
      </c>
      <c r="F43" s="39">
        <v>0</v>
      </c>
      <c r="G43" s="40">
        <v>0</v>
      </c>
      <c r="H43" s="41">
        <v>0</v>
      </c>
      <c r="I43" s="42">
        <f t="shared" si="12"/>
        <v>0</v>
      </c>
      <c r="J43" s="103" t="str">
        <f t="shared" si="13"/>
        <v/>
      </c>
      <c r="K43" s="104" t="str">
        <f t="shared" si="13"/>
        <v/>
      </c>
      <c r="L43" s="105" t="str">
        <f t="shared" si="13"/>
        <v/>
      </c>
      <c r="M43" s="106" t="str">
        <f t="shared" si="0"/>
        <v/>
      </c>
      <c r="N43" s="5" t="s">
        <v>1671</v>
      </c>
    </row>
    <row r="44" spans="1:14" ht="5.0999999999999996" customHeight="1" x14ac:dyDescent="0.25">
      <c r="A44" s="14" t="s">
        <v>4</v>
      </c>
      <c r="B44" s="16" t="s">
        <v>78</v>
      </c>
      <c r="C44"/>
      <c r="D44" s="57"/>
      <c r="E44" s="59"/>
      <c r="F44" s="59"/>
      <c r="G44" s="59"/>
      <c r="H44" s="59"/>
      <c r="I44" s="59"/>
      <c r="J44" s="103"/>
      <c r="K44" s="104"/>
      <c r="L44" s="105"/>
      <c r="M44" s="106" t="str">
        <f t="shared" si="0"/>
        <v/>
      </c>
    </row>
    <row r="45" spans="1:14" s="5" customFormat="1" ht="20.100000000000001" customHeight="1" x14ac:dyDescent="0.25">
      <c r="A45" s="14" t="s">
        <v>4</v>
      </c>
      <c r="B45" s="16" t="s">
        <v>91</v>
      </c>
      <c r="C45" s="25" t="s">
        <v>60</v>
      </c>
      <c r="D45" s="6" t="s">
        <v>89</v>
      </c>
      <c r="E45" s="37"/>
      <c r="F45" s="37"/>
      <c r="G45" s="37"/>
      <c r="H45" s="37"/>
      <c r="I45" s="48"/>
      <c r="J45" s="103"/>
      <c r="K45" s="104"/>
      <c r="L45" s="105"/>
      <c r="M45" s="106" t="str">
        <f t="shared" si="0"/>
        <v/>
      </c>
      <c r="N45" s="5" t="s">
        <v>1673</v>
      </c>
    </row>
    <row r="46" spans="1:14" s="5" customFormat="1" ht="30" customHeight="1" x14ac:dyDescent="0.25">
      <c r="A46" s="14" t="s">
        <v>4</v>
      </c>
      <c r="B46" s="16" t="s">
        <v>91</v>
      </c>
      <c r="C46" s="25" t="s">
        <v>61</v>
      </c>
      <c r="D46" s="82" t="s">
        <v>90</v>
      </c>
      <c r="E46" s="38">
        <v>0</v>
      </c>
      <c r="F46" s="39">
        <v>0</v>
      </c>
      <c r="G46" s="40">
        <v>0</v>
      </c>
      <c r="H46" s="41">
        <v>0</v>
      </c>
      <c r="I46" s="42">
        <f t="shared" ref="I46" si="14">SUM(E46:H46)</f>
        <v>0</v>
      </c>
      <c r="J46" s="103" t="str">
        <f>IFERROR(E46/$I46*100,"")</f>
        <v/>
      </c>
      <c r="K46" s="104" t="str">
        <f>IFERROR(F46/$I46*100,"")</f>
        <v/>
      </c>
      <c r="L46" s="105" t="str">
        <f>IFERROR(G46/$I46*100,"")</f>
        <v/>
      </c>
      <c r="M46" s="106" t="str">
        <f t="shared" si="0"/>
        <v/>
      </c>
      <c r="N46" s="5" t="s">
        <v>1671</v>
      </c>
    </row>
    <row r="47" spans="1:14" ht="5.0999999999999996" customHeight="1" x14ac:dyDescent="0.25">
      <c r="A47" s="14" t="s">
        <v>4</v>
      </c>
      <c r="B47" s="16" t="s">
        <v>91</v>
      </c>
      <c r="C47"/>
      <c r="D47" s="57"/>
      <c r="E47" s="59"/>
      <c r="F47" s="59"/>
      <c r="G47" s="59"/>
      <c r="H47" s="59"/>
      <c r="I47" s="59"/>
      <c r="J47" s="103"/>
      <c r="K47" s="104"/>
      <c r="L47" s="105"/>
      <c r="M47" s="106" t="str">
        <f t="shared" si="0"/>
        <v/>
      </c>
    </row>
    <row r="48" spans="1:14" s="5" customFormat="1" ht="20.100000000000001" customHeight="1" x14ac:dyDescent="0.25">
      <c r="A48" s="14" t="s">
        <v>4</v>
      </c>
      <c r="B48" s="16" t="s">
        <v>1916</v>
      </c>
      <c r="C48" s="25" t="s">
        <v>60</v>
      </c>
      <c r="D48" s="6" t="s">
        <v>1853</v>
      </c>
      <c r="E48" s="37"/>
      <c r="F48" s="37"/>
      <c r="G48" s="37"/>
      <c r="H48" s="37"/>
      <c r="I48" s="48"/>
      <c r="J48" s="103"/>
      <c r="K48" s="104"/>
      <c r="L48" s="105"/>
      <c r="M48" s="106" t="str">
        <f t="shared" ref="M48:M50" si="15">IFERROR(H48/$I48*100,"")</f>
        <v/>
      </c>
      <c r="N48" s="5" t="s">
        <v>1673</v>
      </c>
    </row>
    <row r="49" spans="1:14" s="5" customFormat="1" ht="30" customHeight="1" x14ac:dyDescent="0.25">
      <c r="A49" s="14" t="s">
        <v>4</v>
      </c>
      <c r="B49" s="16" t="s">
        <v>1916</v>
      </c>
      <c r="C49" s="25" t="s">
        <v>61</v>
      </c>
      <c r="D49" s="175" t="s">
        <v>1917</v>
      </c>
      <c r="E49" s="38">
        <v>0</v>
      </c>
      <c r="F49" s="39">
        <v>0</v>
      </c>
      <c r="G49" s="40">
        <v>0</v>
      </c>
      <c r="H49" s="41">
        <v>0</v>
      </c>
      <c r="I49" s="42">
        <f t="shared" ref="I49" si="16">SUM(E49:H49)</f>
        <v>0</v>
      </c>
      <c r="J49" s="103" t="str">
        <f>IFERROR(E49/$I49*100,"")</f>
        <v/>
      </c>
      <c r="K49" s="104" t="str">
        <f>IFERROR(F49/$I49*100,"")</f>
        <v/>
      </c>
      <c r="L49" s="105" t="str">
        <f>IFERROR(G49/$I49*100,"")</f>
        <v/>
      </c>
      <c r="M49" s="106" t="str">
        <f t="shared" si="15"/>
        <v/>
      </c>
      <c r="N49" s="5" t="s">
        <v>1671</v>
      </c>
    </row>
    <row r="50" spans="1:14" ht="5.0999999999999996" customHeight="1" x14ac:dyDescent="0.25">
      <c r="A50" s="14" t="s">
        <v>4</v>
      </c>
      <c r="B50" s="16" t="s">
        <v>1916</v>
      </c>
      <c r="C50"/>
      <c r="D50" s="57"/>
      <c r="E50" s="59"/>
      <c r="F50" s="59"/>
      <c r="G50" s="59"/>
      <c r="H50" s="59"/>
      <c r="I50" s="59"/>
      <c r="J50" s="103"/>
      <c r="K50" s="104"/>
      <c r="L50" s="105"/>
      <c r="M50" s="106" t="str">
        <f t="shared" si="15"/>
        <v/>
      </c>
    </row>
    <row r="51" spans="1:14" s="5" customFormat="1" ht="20.100000000000001" customHeight="1" x14ac:dyDescent="0.25">
      <c r="A51" s="14" t="s">
        <v>4</v>
      </c>
      <c r="B51" s="16" t="s">
        <v>1637</v>
      </c>
      <c r="C51" s="25" t="s">
        <v>60</v>
      </c>
      <c r="D51" s="6" t="s">
        <v>1636</v>
      </c>
      <c r="E51" s="37"/>
      <c r="F51" s="37"/>
      <c r="G51" s="37"/>
      <c r="H51" s="37"/>
      <c r="I51" s="48"/>
      <c r="J51" s="103"/>
      <c r="K51" s="104"/>
      <c r="L51" s="105"/>
      <c r="M51" s="106" t="str">
        <f t="shared" si="0"/>
        <v/>
      </c>
      <c r="N51" s="5" t="s">
        <v>1673</v>
      </c>
    </row>
    <row r="52" spans="1:14" s="3" customFormat="1" ht="30" customHeight="1" x14ac:dyDescent="0.25">
      <c r="A52" s="14" t="s">
        <v>4</v>
      </c>
      <c r="B52" s="16" t="s">
        <v>1637</v>
      </c>
      <c r="C52" s="25" t="s">
        <v>61</v>
      </c>
      <c r="D52" s="87" t="s">
        <v>1638</v>
      </c>
      <c r="E52" s="38">
        <v>0</v>
      </c>
      <c r="F52" s="39">
        <v>0</v>
      </c>
      <c r="G52" s="40">
        <v>0</v>
      </c>
      <c r="H52" s="41">
        <v>0</v>
      </c>
      <c r="I52" s="42">
        <f t="shared" ref="I52:I57" si="17">SUM(E52:H52)</f>
        <v>0</v>
      </c>
      <c r="J52" s="103" t="str">
        <f t="shared" ref="J52:L56" si="18">IFERROR(E52/$I52*100,"")</f>
        <v/>
      </c>
      <c r="K52" s="104" t="str">
        <f t="shared" si="18"/>
        <v/>
      </c>
      <c r="L52" s="105" t="str">
        <f t="shared" si="18"/>
        <v/>
      </c>
      <c r="M52" s="106" t="str">
        <f t="shared" si="0"/>
        <v/>
      </c>
    </row>
    <row r="53" spans="1:14" s="3" customFormat="1" ht="30" customHeight="1" x14ac:dyDescent="0.25">
      <c r="A53" s="14" t="s">
        <v>4</v>
      </c>
      <c r="B53" s="16" t="s">
        <v>1637</v>
      </c>
      <c r="C53" s="25" t="s">
        <v>61</v>
      </c>
      <c r="D53" s="87" t="s">
        <v>1669</v>
      </c>
      <c r="E53" s="38">
        <v>0</v>
      </c>
      <c r="F53" s="39">
        <v>0</v>
      </c>
      <c r="G53" s="40">
        <v>0</v>
      </c>
      <c r="H53" s="41">
        <v>0</v>
      </c>
      <c r="I53" s="42">
        <f t="shared" si="17"/>
        <v>0</v>
      </c>
      <c r="J53" s="103" t="str">
        <f t="shared" si="18"/>
        <v/>
      </c>
      <c r="K53" s="104" t="str">
        <f t="shared" si="18"/>
        <v/>
      </c>
      <c r="L53" s="105" t="str">
        <f t="shared" si="18"/>
        <v/>
      </c>
      <c r="M53" s="106" t="str">
        <f t="shared" si="0"/>
        <v/>
      </c>
    </row>
    <row r="54" spans="1:14" s="3" customFormat="1" ht="30" customHeight="1" x14ac:dyDescent="0.25">
      <c r="A54" s="14" t="s">
        <v>4</v>
      </c>
      <c r="B54" s="16" t="s">
        <v>1637</v>
      </c>
      <c r="C54" s="25" t="s">
        <v>61</v>
      </c>
      <c r="D54" s="87" t="s">
        <v>1640</v>
      </c>
      <c r="E54" s="38">
        <v>0</v>
      </c>
      <c r="F54" s="39">
        <v>0</v>
      </c>
      <c r="G54" s="40">
        <v>0</v>
      </c>
      <c r="H54" s="41">
        <v>0</v>
      </c>
      <c r="I54" s="42">
        <f t="shared" si="17"/>
        <v>0</v>
      </c>
      <c r="J54" s="103" t="str">
        <f t="shared" si="18"/>
        <v/>
      </c>
      <c r="K54" s="104" t="str">
        <f t="shared" si="18"/>
        <v/>
      </c>
      <c r="L54" s="105" t="str">
        <f t="shared" si="18"/>
        <v/>
      </c>
      <c r="M54" s="106" t="str">
        <f t="shared" si="0"/>
        <v/>
      </c>
    </row>
    <row r="55" spans="1:14" s="3" customFormat="1" ht="30" customHeight="1" x14ac:dyDescent="0.25">
      <c r="A55" s="14" t="s">
        <v>4</v>
      </c>
      <c r="B55" s="16" t="s">
        <v>1637</v>
      </c>
      <c r="C55" s="25" t="s">
        <v>61</v>
      </c>
      <c r="D55" s="87" t="s">
        <v>1639</v>
      </c>
      <c r="E55" s="38">
        <v>0</v>
      </c>
      <c r="F55" s="39">
        <v>0</v>
      </c>
      <c r="G55" s="40">
        <v>0</v>
      </c>
      <c r="H55" s="41">
        <v>0</v>
      </c>
      <c r="I55" s="42">
        <f t="shared" si="17"/>
        <v>0</v>
      </c>
      <c r="J55" s="103" t="str">
        <f t="shared" si="18"/>
        <v/>
      </c>
      <c r="K55" s="104" t="str">
        <f t="shared" si="18"/>
        <v/>
      </c>
      <c r="L55" s="105" t="str">
        <f t="shared" si="18"/>
        <v/>
      </c>
      <c r="M55" s="106" t="str">
        <f t="shared" si="0"/>
        <v/>
      </c>
    </row>
    <row r="56" spans="1:14" s="3" customFormat="1" ht="30" customHeight="1" x14ac:dyDescent="0.25">
      <c r="A56" s="14" t="s">
        <v>4</v>
      </c>
      <c r="B56" s="16" t="s">
        <v>1637</v>
      </c>
      <c r="C56" s="25" t="s">
        <v>61</v>
      </c>
      <c r="D56" s="87" t="s">
        <v>1641</v>
      </c>
      <c r="E56" s="38">
        <v>0</v>
      </c>
      <c r="F56" s="39">
        <v>0</v>
      </c>
      <c r="G56" s="40">
        <v>0</v>
      </c>
      <c r="H56" s="41">
        <v>0</v>
      </c>
      <c r="I56" s="42">
        <f t="shared" si="17"/>
        <v>0</v>
      </c>
      <c r="J56" s="103" t="str">
        <f t="shared" si="18"/>
        <v/>
      </c>
      <c r="K56" s="104" t="str">
        <f t="shared" si="18"/>
        <v/>
      </c>
      <c r="L56" s="105" t="str">
        <f t="shared" si="18"/>
        <v/>
      </c>
      <c r="M56" s="106" t="str">
        <f t="shared" si="0"/>
        <v/>
      </c>
    </row>
    <row r="57" spans="1:14" s="3" customFormat="1" ht="30" customHeight="1" x14ac:dyDescent="0.25">
      <c r="A57" s="14" t="s">
        <v>4</v>
      </c>
      <c r="B57" s="16" t="s">
        <v>1637</v>
      </c>
      <c r="C57" s="25"/>
      <c r="D57" s="87" t="s">
        <v>29</v>
      </c>
      <c r="E57" s="38">
        <f>SUM(E52:E56)</f>
        <v>0</v>
      </c>
      <c r="F57" s="39">
        <f>SUM(F52:F56)</f>
        <v>0</v>
      </c>
      <c r="G57" s="40">
        <f>SUM(G52:G56)</f>
        <v>0</v>
      </c>
      <c r="H57" s="41">
        <f>SUM(H52:H56)</f>
        <v>0</v>
      </c>
      <c r="I57" s="42">
        <f t="shared" si="17"/>
        <v>0</v>
      </c>
      <c r="J57" s="103" t="str">
        <f>IFERROR(E57/SUM($E57:$H57)*100,"")</f>
        <v/>
      </c>
      <c r="K57" s="104" t="str">
        <f>IFERROR(F57/SUM($E57:$H57)*100,"")</f>
        <v/>
      </c>
      <c r="L57" s="105" t="str">
        <f>IFERROR(G57/SUM($E57:$H57)*100,"")</f>
        <v/>
      </c>
      <c r="M57" s="106" t="str">
        <f t="shared" si="0"/>
        <v/>
      </c>
      <c r="N57" s="5" t="s">
        <v>1671</v>
      </c>
    </row>
    <row r="58" spans="1:14" ht="5.0999999999999996" customHeight="1" x14ac:dyDescent="0.25">
      <c r="A58" s="14" t="s">
        <v>4</v>
      </c>
      <c r="B58" s="16" t="s">
        <v>1637</v>
      </c>
      <c r="C58"/>
      <c r="J58" s="103"/>
      <c r="K58" s="104"/>
      <c r="L58" s="105"/>
      <c r="M58" s="106" t="str">
        <f t="shared" si="0"/>
        <v/>
      </c>
    </row>
    <row r="59" spans="1:14" s="5" customFormat="1" ht="20.100000000000001" customHeight="1" x14ac:dyDescent="0.25">
      <c r="A59" s="14" t="s">
        <v>4</v>
      </c>
      <c r="B59" s="16" t="s">
        <v>42</v>
      </c>
      <c r="C59" s="25" t="s">
        <v>60</v>
      </c>
      <c r="D59" s="6" t="s">
        <v>1744</v>
      </c>
      <c r="E59" s="37"/>
      <c r="F59" s="37"/>
      <c r="G59" s="37"/>
      <c r="H59" s="37"/>
      <c r="I59" s="48"/>
      <c r="J59" s="103"/>
      <c r="K59" s="104"/>
      <c r="L59" s="105"/>
      <c r="M59" s="106" t="str">
        <f t="shared" si="0"/>
        <v/>
      </c>
      <c r="N59" s="5" t="s">
        <v>1673</v>
      </c>
    </row>
    <row r="60" spans="1:14" s="5" customFormat="1" ht="30" customHeight="1" x14ac:dyDescent="0.25">
      <c r="A60" s="14" t="s">
        <v>4</v>
      </c>
      <c r="B60" s="16" t="s">
        <v>42</v>
      </c>
      <c r="C60" s="25" t="s">
        <v>61</v>
      </c>
      <c r="D60" s="12" t="s">
        <v>43</v>
      </c>
      <c r="E60" s="38">
        <v>0</v>
      </c>
      <c r="F60" s="39">
        <v>0</v>
      </c>
      <c r="G60" s="40">
        <v>0</v>
      </c>
      <c r="H60" s="41">
        <v>0</v>
      </c>
      <c r="I60" s="42">
        <f t="shared" ref="I60:I69" si="19">SUM(E60:H60)</f>
        <v>0</v>
      </c>
      <c r="J60" s="103" t="str">
        <f t="shared" ref="J60:J69" si="20">IFERROR(E60/$I60*100,"")</f>
        <v/>
      </c>
      <c r="K60" s="104" t="str">
        <f t="shared" ref="K60:K69" si="21">IFERROR(F60/$I60*100,"")</f>
        <v/>
      </c>
      <c r="L60" s="105" t="str">
        <f t="shared" ref="L60:L69" si="22">IFERROR(G60/$I60*100,"")</f>
        <v/>
      </c>
      <c r="M60" s="106" t="str">
        <f t="shared" si="0"/>
        <v/>
      </c>
      <c r="N60" s="3"/>
    </row>
    <row r="61" spans="1:14" s="5" customFormat="1" ht="30" customHeight="1" x14ac:dyDescent="0.25">
      <c r="A61" s="14" t="s">
        <v>4</v>
      </c>
      <c r="B61" s="16" t="s">
        <v>42</v>
      </c>
      <c r="C61" s="25" t="s">
        <v>61</v>
      </c>
      <c r="D61" s="12" t="s">
        <v>44</v>
      </c>
      <c r="E61" s="38">
        <v>0</v>
      </c>
      <c r="F61" s="39">
        <v>0</v>
      </c>
      <c r="G61" s="40">
        <v>0</v>
      </c>
      <c r="H61" s="41">
        <v>0</v>
      </c>
      <c r="I61" s="42">
        <f t="shared" si="19"/>
        <v>0</v>
      </c>
      <c r="J61" s="103" t="str">
        <f t="shared" si="20"/>
        <v/>
      </c>
      <c r="K61" s="104" t="str">
        <f t="shared" si="21"/>
        <v/>
      </c>
      <c r="L61" s="105" t="str">
        <f t="shared" si="22"/>
        <v/>
      </c>
      <c r="M61" s="106" t="str">
        <f t="shared" si="0"/>
        <v/>
      </c>
      <c r="N61" s="3"/>
    </row>
    <row r="62" spans="1:14" s="5" customFormat="1" ht="30" customHeight="1" x14ac:dyDescent="0.25">
      <c r="A62" s="14" t="s">
        <v>4</v>
      </c>
      <c r="B62" s="16" t="s">
        <v>42</v>
      </c>
      <c r="C62" s="25" t="s">
        <v>61</v>
      </c>
      <c r="D62" s="12" t="s">
        <v>45</v>
      </c>
      <c r="E62" s="38">
        <v>0</v>
      </c>
      <c r="F62" s="39">
        <v>0</v>
      </c>
      <c r="G62" s="40">
        <v>0</v>
      </c>
      <c r="H62" s="41">
        <v>0</v>
      </c>
      <c r="I62" s="42">
        <f t="shared" si="19"/>
        <v>0</v>
      </c>
      <c r="J62" s="103" t="str">
        <f t="shared" si="20"/>
        <v/>
      </c>
      <c r="K62" s="104" t="str">
        <f t="shared" si="21"/>
        <v/>
      </c>
      <c r="L62" s="105" t="str">
        <f t="shared" si="22"/>
        <v/>
      </c>
      <c r="M62" s="106" t="str">
        <f t="shared" si="0"/>
        <v/>
      </c>
      <c r="N62" s="3"/>
    </row>
    <row r="63" spans="1:14" s="5" customFormat="1" ht="30" customHeight="1" x14ac:dyDescent="0.25">
      <c r="A63" s="14" t="s">
        <v>4</v>
      </c>
      <c r="B63" s="16" t="s">
        <v>42</v>
      </c>
      <c r="C63" s="25" t="s">
        <v>61</v>
      </c>
      <c r="D63" s="12" t="s">
        <v>46</v>
      </c>
      <c r="E63" s="38">
        <v>0</v>
      </c>
      <c r="F63" s="39">
        <v>0</v>
      </c>
      <c r="G63" s="40">
        <v>0</v>
      </c>
      <c r="H63" s="41">
        <v>0</v>
      </c>
      <c r="I63" s="42">
        <f t="shared" si="19"/>
        <v>0</v>
      </c>
      <c r="J63" s="103" t="str">
        <f t="shared" si="20"/>
        <v/>
      </c>
      <c r="K63" s="104" t="str">
        <f t="shared" si="21"/>
        <v/>
      </c>
      <c r="L63" s="105" t="str">
        <f t="shared" si="22"/>
        <v/>
      </c>
      <c r="M63" s="106" t="str">
        <f t="shared" si="0"/>
        <v/>
      </c>
      <c r="N63" s="3"/>
    </row>
    <row r="64" spans="1:14" s="5" customFormat="1" ht="30" customHeight="1" x14ac:dyDescent="0.25">
      <c r="A64" s="14" t="s">
        <v>4</v>
      </c>
      <c r="B64" s="16" t="s">
        <v>42</v>
      </c>
      <c r="C64" s="25" t="s">
        <v>61</v>
      </c>
      <c r="D64" s="12" t="s">
        <v>51</v>
      </c>
      <c r="E64" s="38">
        <v>0</v>
      </c>
      <c r="F64" s="39">
        <v>0</v>
      </c>
      <c r="G64" s="40">
        <v>0</v>
      </c>
      <c r="H64" s="41">
        <v>0</v>
      </c>
      <c r="I64" s="42">
        <f t="shared" si="19"/>
        <v>0</v>
      </c>
      <c r="J64" s="103" t="str">
        <f t="shared" si="20"/>
        <v/>
      </c>
      <c r="K64" s="104" t="str">
        <f t="shared" si="21"/>
        <v/>
      </c>
      <c r="L64" s="105" t="str">
        <f t="shared" si="22"/>
        <v/>
      </c>
      <c r="M64" s="106" t="str">
        <f t="shared" si="0"/>
        <v/>
      </c>
      <c r="N64" s="3"/>
    </row>
    <row r="65" spans="1:14" s="5" customFormat="1" ht="30" customHeight="1" x14ac:dyDescent="0.25">
      <c r="A65" s="14" t="s">
        <v>4</v>
      </c>
      <c r="B65" s="16" t="s">
        <v>42</v>
      </c>
      <c r="C65" s="25" t="s">
        <v>61</v>
      </c>
      <c r="D65" s="12" t="s">
        <v>52</v>
      </c>
      <c r="E65" s="38">
        <v>0</v>
      </c>
      <c r="F65" s="39">
        <v>0</v>
      </c>
      <c r="G65" s="40">
        <v>0</v>
      </c>
      <c r="H65" s="41">
        <v>0</v>
      </c>
      <c r="I65" s="42">
        <f t="shared" si="19"/>
        <v>0</v>
      </c>
      <c r="J65" s="103" t="str">
        <f t="shared" si="20"/>
        <v/>
      </c>
      <c r="K65" s="104" t="str">
        <f t="shared" si="21"/>
        <v/>
      </c>
      <c r="L65" s="105" t="str">
        <f t="shared" si="22"/>
        <v/>
      </c>
      <c r="M65" s="106" t="str">
        <f t="shared" si="0"/>
        <v/>
      </c>
      <c r="N65" s="3"/>
    </row>
    <row r="66" spans="1:14" s="5" customFormat="1" ht="30" customHeight="1" x14ac:dyDescent="0.25">
      <c r="A66" s="14" t="s">
        <v>4</v>
      </c>
      <c r="B66" s="16" t="s">
        <v>42</v>
      </c>
      <c r="C66" s="25" t="s">
        <v>61</v>
      </c>
      <c r="D66" s="12" t="s">
        <v>47</v>
      </c>
      <c r="E66" s="38">
        <v>0</v>
      </c>
      <c r="F66" s="39">
        <v>0</v>
      </c>
      <c r="G66" s="40">
        <v>0</v>
      </c>
      <c r="H66" s="41">
        <v>0</v>
      </c>
      <c r="I66" s="42">
        <f t="shared" si="19"/>
        <v>0</v>
      </c>
      <c r="J66" s="103" t="str">
        <f t="shared" si="20"/>
        <v/>
      </c>
      <c r="K66" s="104" t="str">
        <f t="shared" si="21"/>
        <v/>
      </c>
      <c r="L66" s="105" t="str">
        <f t="shared" si="22"/>
        <v/>
      </c>
      <c r="M66" s="106" t="str">
        <f t="shared" si="0"/>
        <v/>
      </c>
      <c r="N66" s="3"/>
    </row>
    <row r="67" spans="1:14" s="5" customFormat="1" ht="30" customHeight="1" x14ac:dyDescent="0.25">
      <c r="A67" s="14" t="s">
        <v>4</v>
      </c>
      <c r="B67" s="16" t="s">
        <v>42</v>
      </c>
      <c r="C67" s="25" t="s">
        <v>61</v>
      </c>
      <c r="D67" s="12" t="s">
        <v>48</v>
      </c>
      <c r="E67" s="38">
        <v>0</v>
      </c>
      <c r="F67" s="39">
        <v>0</v>
      </c>
      <c r="G67" s="40">
        <v>0</v>
      </c>
      <c r="H67" s="41">
        <v>0</v>
      </c>
      <c r="I67" s="42">
        <f t="shared" si="19"/>
        <v>0</v>
      </c>
      <c r="J67" s="103" t="str">
        <f t="shared" si="20"/>
        <v/>
      </c>
      <c r="K67" s="104" t="str">
        <f t="shared" si="21"/>
        <v/>
      </c>
      <c r="L67" s="105" t="str">
        <f t="shared" si="22"/>
        <v/>
      </c>
      <c r="M67" s="106" t="str">
        <f t="shared" si="0"/>
        <v/>
      </c>
      <c r="N67" s="3"/>
    </row>
    <row r="68" spans="1:14" s="5" customFormat="1" ht="30" customHeight="1" x14ac:dyDescent="0.25">
      <c r="A68" s="14" t="s">
        <v>4</v>
      </c>
      <c r="B68" s="16" t="s">
        <v>42</v>
      </c>
      <c r="C68" s="25" t="s">
        <v>61</v>
      </c>
      <c r="D68" s="12" t="s">
        <v>49</v>
      </c>
      <c r="E68" s="38">
        <v>0</v>
      </c>
      <c r="F68" s="39">
        <v>0</v>
      </c>
      <c r="G68" s="40">
        <v>0</v>
      </c>
      <c r="H68" s="41">
        <v>0</v>
      </c>
      <c r="I68" s="42">
        <f t="shared" si="19"/>
        <v>0</v>
      </c>
      <c r="J68" s="103" t="str">
        <f t="shared" si="20"/>
        <v/>
      </c>
      <c r="K68" s="104" t="str">
        <f t="shared" si="21"/>
        <v/>
      </c>
      <c r="L68" s="105" t="str">
        <f t="shared" si="22"/>
        <v/>
      </c>
      <c r="M68" s="106" t="str">
        <f t="shared" si="0"/>
        <v/>
      </c>
      <c r="N68" s="3"/>
    </row>
    <row r="69" spans="1:14" s="5" customFormat="1" ht="30" customHeight="1" x14ac:dyDescent="0.25">
      <c r="A69" s="14" t="s">
        <v>4</v>
      </c>
      <c r="B69" s="16" t="s">
        <v>42</v>
      </c>
      <c r="C69" s="25" t="s">
        <v>61</v>
      </c>
      <c r="D69" s="12" t="s">
        <v>50</v>
      </c>
      <c r="E69" s="38">
        <v>0</v>
      </c>
      <c r="F69" s="39">
        <v>0</v>
      </c>
      <c r="G69" s="40">
        <v>0</v>
      </c>
      <c r="H69" s="41">
        <v>0</v>
      </c>
      <c r="I69" s="42">
        <f t="shared" si="19"/>
        <v>0</v>
      </c>
      <c r="J69" s="103" t="str">
        <f t="shared" si="20"/>
        <v/>
      </c>
      <c r="K69" s="104" t="str">
        <f t="shared" si="21"/>
        <v/>
      </c>
      <c r="L69" s="105" t="str">
        <f t="shared" si="22"/>
        <v/>
      </c>
      <c r="M69" s="106" t="str">
        <f t="shared" si="0"/>
        <v/>
      </c>
      <c r="N69" s="3"/>
    </row>
    <row r="70" spans="1:14" s="5" customFormat="1" ht="30" customHeight="1" x14ac:dyDescent="0.25">
      <c r="A70" s="14" t="s">
        <v>4</v>
      </c>
      <c r="B70" s="16" t="s">
        <v>42</v>
      </c>
      <c r="C70" s="25"/>
      <c r="D70" s="9" t="s">
        <v>29</v>
      </c>
      <c r="E70" s="38">
        <f>SUM(E60:E69)</f>
        <v>0</v>
      </c>
      <c r="F70" s="39">
        <f t="shared" ref="F70" si="23">SUM(F60:F69)</f>
        <v>0</v>
      </c>
      <c r="G70" s="40">
        <f t="shared" ref="G70" si="24">SUM(G60:G69)</f>
        <v>0</v>
      </c>
      <c r="H70" s="41">
        <f t="shared" ref="H70" si="25">SUM(H60:H69)</f>
        <v>0</v>
      </c>
      <c r="I70" s="43">
        <f t="shared" ref="I70" si="26">SUM(I60:I69)</f>
        <v>0</v>
      </c>
      <c r="J70" s="103" t="str">
        <f>IFERROR(E70/SUM($E70:$H70)*100,"")</f>
        <v/>
      </c>
      <c r="K70" s="104" t="str">
        <f>IFERROR(F70/SUM($E70:$H70)*100,"")</f>
        <v/>
      </c>
      <c r="L70" s="105" t="str">
        <f>IFERROR(G70/SUM($E70:$H70)*100,"")</f>
        <v/>
      </c>
      <c r="M70" s="106" t="str">
        <f t="shared" si="0"/>
        <v/>
      </c>
      <c r="N70" s="5" t="s">
        <v>1671</v>
      </c>
    </row>
    <row r="71" spans="1:14" ht="5.0999999999999996" customHeight="1" x14ac:dyDescent="0.25">
      <c r="A71" s="14" t="s">
        <v>4</v>
      </c>
      <c r="B71" s="16" t="s">
        <v>42</v>
      </c>
      <c r="C71"/>
      <c r="D71" s="57"/>
      <c r="E71" s="59"/>
      <c r="F71" s="59"/>
      <c r="G71" s="59"/>
      <c r="H71" s="59"/>
      <c r="I71" s="59"/>
      <c r="J71" s="103"/>
      <c r="K71" s="104"/>
      <c r="L71" s="105"/>
      <c r="M71" s="106" t="str">
        <f t="shared" si="0"/>
        <v/>
      </c>
    </row>
    <row r="72" spans="1:14" s="5" customFormat="1" ht="20.100000000000001" customHeight="1" x14ac:dyDescent="0.25">
      <c r="A72" s="14" t="s">
        <v>4</v>
      </c>
      <c r="B72" s="16" t="s">
        <v>62</v>
      </c>
      <c r="C72" s="25" t="s">
        <v>60</v>
      </c>
      <c r="D72" s="62" t="s">
        <v>63</v>
      </c>
      <c r="E72" s="63"/>
      <c r="F72" s="63"/>
      <c r="G72" s="63"/>
      <c r="H72" s="63"/>
      <c r="I72" s="64"/>
      <c r="J72" s="103"/>
      <c r="K72" s="104"/>
      <c r="L72" s="105"/>
      <c r="M72" s="106" t="str">
        <f t="shared" si="0"/>
        <v/>
      </c>
      <c r="N72" s="5" t="s">
        <v>1673</v>
      </c>
    </row>
    <row r="73" spans="1:14" s="5" customFormat="1" ht="30" customHeight="1" x14ac:dyDescent="0.25">
      <c r="A73" s="14" t="s">
        <v>4</v>
      </c>
      <c r="B73" s="16" t="s">
        <v>62</v>
      </c>
      <c r="C73" s="3" t="str">
        <f>IFERROR(#REF!/$I73,"")</f>
        <v/>
      </c>
      <c r="D73" s="113" t="s">
        <v>29</v>
      </c>
      <c r="E73" s="38" t="e">
        <f>SUM(E23,E12,E31,E70,E26,E34,E43,E46,E57,#REF!)</f>
        <v>#REF!</v>
      </c>
      <c r="F73" s="39" t="e">
        <f>SUM(F23,F12,F31,F70,F26,F34,F43,F46,F57,#REF!)</f>
        <v>#REF!</v>
      </c>
      <c r="G73" s="40" t="e">
        <f>SUM(G23,G12,G31,G70,G26,G34,G43,G46,G57,#REF!)</f>
        <v>#REF!</v>
      </c>
      <c r="H73" s="41" t="e">
        <f>SUM(H23,H12,H31,H70,H26,H34,H43,H46,H57,#REF!)</f>
        <v>#REF!</v>
      </c>
      <c r="I73" s="42" t="e">
        <f>SUM(I23,I12,I31,I70,I26,I34,I43,I46,I57,#REF!)</f>
        <v>#REF!</v>
      </c>
      <c r="J73" s="103" t="str">
        <f>IFERROR(E73/SUM($E73:$H73)*100,"")</f>
        <v/>
      </c>
      <c r="K73" s="104" t="str">
        <f>IFERROR(F73/SUM($E73:$H73)*100,"")</f>
        <v/>
      </c>
      <c r="L73" s="105" t="str">
        <f>IFERROR(G73/SUM($E73:$H73)*100,"")</f>
        <v/>
      </c>
      <c r="M73" s="106" t="str">
        <f t="shared" si="0"/>
        <v/>
      </c>
      <c r="N73" s="5" t="s">
        <v>1671</v>
      </c>
    </row>
    <row r="74" spans="1:14" s="5" customFormat="1" ht="20.100000000000001" customHeight="1" x14ac:dyDescent="0.25">
      <c r="A74" s="14" t="s">
        <v>4</v>
      </c>
      <c r="B74" s="14"/>
      <c r="C74" s="23"/>
      <c r="D74" s="7"/>
      <c r="E74" s="8"/>
      <c r="F74" s="8"/>
      <c r="G74" s="8"/>
      <c r="H74" s="8"/>
      <c r="I74" s="8"/>
      <c r="J74" s="112"/>
      <c r="K74" s="111"/>
      <c r="L74" s="111"/>
      <c r="M74" s="106" t="str">
        <f t="shared" si="0"/>
        <v/>
      </c>
    </row>
    <row r="75" spans="1:14" s="5" customFormat="1" ht="20.100000000000001" customHeight="1" x14ac:dyDescent="0.25">
      <c r="A75" s="14" t="s">
        <v>6</v>
      </c>
      <c r="B75" s="14"/>
      <c r="C75" s="25" t="s">
        <v>60</v>
      </c>
      <c r="D75" s="20" t="str">
        <f>IFERROR(A75&amp;"   ("&amp;COUNTIFS(#REF!,"="&amp;A75)&amp;")",A75)</f>
        <v>CCI</v>
      </c>
      <c r="E75" s="45"/>
      <c r="F75" s="45"/>
      <c r="G75" s="45"/>
      <c r="H75" s="45"/>
      <c r="I75" s="46"/>
      <c r="J75" s="110"/>
      <c r="K75" s="109"/>
      <c r="L75" s="109"/>
      <c r="M75" s="106" t="str">
        <f t="shared" si="0"/>
        <v/>
      </c>
      <c r="N75" s="5" t="s">
        <v>1672</v>
      </c>
    </row>
    <row r="76" spans="1:14" s="5" customFormat="1" ht="20.100000000000001" customHeight="1" x14ac:dyDescent="0.25">
      <c r="A76" s="14" t="s">
        <v>6</v>
      </c>
      <c r="B76" s="16" t="s">
        <v>20</v>
      </c>
      <c r="C76" s="25" t="s">
        <v>60</v>
      </c>
      <c r="D76" s="6" t="s">
        <v>20</v>
      </c>
      <c r="E76" s="37"/>
      <c r="F76" s="37"/>
      <c r="G76" s="37"/>
      <c r="H76" s="37"/>
      <c r="I76" s="48"/>
      <c r="J76" s="103"/>
      <c r="K76" s="104"/>
      <c r="L76" s="105"/>
      <c r="M76" s="106" t="str">
        <f t="shared" si="0"/>
        <v/>
      </c>
      <c r="N76" s="5" t="s">
        <v>1673</v>
      </c>
    </row>
    <row r="77" spans="1:14" s="5" customFormat="1" ht="30" customHeight="1" x14ac:dyDescent="0.25">
      <c r="A77" s="14" t="s">
        <v>6</v>
      </c>
      <c r="B77" s="16" t="s">
        <v>20</v>
      </c>
      <c r="C77" s="25" t="s">
        <v>61</v>
      </c>
      <c r="D77" s="12" t="s">
        <v>25</v>
      </c>
      <c r="E77" s="38">
        <v>0</v>
      </c>
      <c r="F77" s="39">
        <v>0</v>
      </c>
      <c r="G77" s="40">
        <v>0</v>
      </c>
      <c r="H77" s="41">
        <v>0</v>
      </c>
      <c r="I77" s="42">
        <f>SUM(E77:H77)</f>
        <v>0</v>
      </c>
      <c r="J77" s="103" t="str">
        <f>IFERROR(E77/$I77*100,"")</f>
        <v/>
      </c>
      <c r="K77" s="104" t="str">
        <f>IFERROR(F77/$I77*100,"")</f>
        <v/>
      </c>
      <c r="L77" s="105" t="str">
        <f>IFERROR(G77/$I77*100,"")</f>
        <v/>
      </c>
      <c r="M77" s="106" t="str">
        <f t="shared" ref="M77:M140" si="27">IFERROR(H77/$I77*100,"")</f>
        <v/>
      </c>
      <c r="N77" s="5" t="s">
        <v>1671</v>
      </c>
    </row>
    <row r="78" spans="1:14" ht="5.0999999999999996" customHeight="1" x14ac:dyDescent="0.25">
      <c r="A78" s="14" t="s">
        <v>6</v>
      </c>
      <c r="B78" s="16" t="s">
        <v>20</v>
      </c>
      <c r="C78"/>
      <c r="D78" s="57"/>
      <c r="E78" s="59"/>
      <c r="F78" s="59"/>
      <c r="G78" s="59"/>
      <c r="H78" s="59"/>
      <c r="I78" s="59"/>
      <c r="J78" s="103"/>
      <c r="K78" s="104"/>
      <c r="L78" s="105"/>
      <c r="M78" s="106" t="str">
        <f t="shared" si="27"/>
        <v/>
      </c>
    </row>
    <row r="79" spans="1:14" s="5" customFormat="1" ht="20.100000000000001" customHeight="1" x14ac:dyDescent="0.25">
      <c r="A79" s="14" t="s">
        <v>6</v>
      </c>
      <c r="B79" s="16" t="s">
        <v>26</v>
      </c>
      <c r="C79" s="25" t="s">
        <v>60</v>
      </c>
      <c r="D79" s="6" t="s">
        <v>98</v>
      </c>
      <c r="E79" s="37"/>
      <c r="F79" s="37"/>
      <c r="G79" s="37"/>
      <c r="H79" s="37"/>
      <c r="I79" s="47"/>
      <c r="J79" s="108"/>
      <c r="K79" s="109"/>
      <c r="L79" s="109"/>
      <c r="M79" s="106" t="str">
        <f t="shared" si="27"/>
        <v/>
      </c>
      <c r="N79" s="5" t="s">
        <v>1673</v>
      </c>
    </row>
    <row r="80" spans="1:14" s="5" customFormat="1" ht="30" customHeight="1" x14ac:dyDescent="0.25">
      <c r="A80" s="14" t="s">
        <v>6</v>
      </c>
      <c r="B80" s="16" t="s">
        <v>26</v>
      </c>
      <c r="C80" s="25" t="s">
        <v>61</v>
      </c>
      <c r="D80" s="31" t="s">
        <v>21</v>
      </c>
      <c r="E80" s="38">
        <v>0</v>
      </c>
      <c r="F80" s="39">
        <v>0</v>
      </c>
      <c r="G80" s="40">
        <v>0</v>
      </c>
      <c r="H80" s="41">
        <v>0</v>
      </c>
      <c r="I80" s="42">
        <f t="shared" ref="I80:I87" si="28">SUM(E80:H80)</f>
        <v>0</v>
      </c>
      <c r="J80" s="103" t="str">
        <f t="shared" ref="J80:L87" si="29">IFERROR(E80/$I80*100,"")</f>
        <v/>
      </c>
      <c r="K80" s="104" t="str">
        <f t="shared" si="29"/>
        <v/>
      </c>
      <c r="L80" s="105" t="str">
        <f t="shared" si="29"/>
        <v/>
      </c>
      <c r="M80" s="106" t="str">
        <f t="shared" si="27"/>
        <v/>
      </c>
    </row>
    <row r="81" spans="1:14" s="5" customFormat="1" ht="30" customHeight="1" x14ac:dyDescent="0.25">
      <c r="A81" s="14" t="s">
        <v>6</v>
      </c>
      <c r="B81" s="16" t="s">
        <v>26</v>
      </c>
      <c r="C81" s="25" t="s">
        <v>61</v>
      </c>
      <c r="D81" s="31" t="s">
        <v>22</v>
      </c>
      <c r="E81" s="38">
        <v>0</v>
      </c>
      <c r="F81" s="39">
        <v>0</v>
      </c>
      <c r="G81" s="40">
        <v>0</v>
      </c>
      <c r="H81" s="41">
        <v>0</v>
      </c>
      <c r="I81" s="42">
        <f t="shared" si="28"/>
        <v>0</v>
      </c>
      <c r="J81" s="103" t="str">
        <f t="shared" si="29"/>
        <v/>
      </c>
      <c r="K81" s="104" t="str">
        <f t="shared" si="29"/>
        <v/>
      </c>
      <c r="L81" s="105" t="str">
        <f t="shared" si="29"/>
        <v/>
      </c>
      <c r="M81" s="106" t="str">
        <f t="shared" si="27"/>
        <v/>
      </c>
    </row>
    <row r="82" spans="1:14" s="5" customFormat="1" ht="30" customHeight="1" x14ac:dyDescent="0.25">
      <c r="A82" s="14" t="s">
        <v>6</v>
      </c>
      <c r="B82" s="16" t="s">
        <v>26</v>
      </c>
      <c r="C82" s="25" t="s">
        <v>61</v>
      </c>
      <c r="D82" s="31" t="s">
        <v>27</v>
      </c>
      <c r="E82" s="38">
        <v>0</v>
      </c>
      <c r="F82" s="39">
        <v>0</v>
      </c>
      <c r="G82" s="40">
        <v>0</v>
      </c>
      <c r="H82" s="41">
        <v>0</v>
      </c>
      <c r="I82" s="42">
        <f t="shared" si="28"/>
        <v>0</v>
      </c>
      <c r="J82" s="103" t="str">
        <f t="shared" si="29"/>
        <v/>
      </c>
      <c r="K82" s="104" t="str">
        <f t="shared" si="29"/>
        <v/>
      </c>
      <c r="L82" s="105" t="str">
        <f t="shared" si="29"/>
        <v/>
      </c>
      <c r="M82" s="106" t="str">
        <f t="shared" si="27"/>
        <v/>
      </c>
    </row>
    <row r="83" spans="1:14" s="5" customFormat="1" ht="30" customHeight="1" x14ac:dyDescent="0.25">
      <c r="A83" s="14" t="s">
        <v>6</v>
      </c>
      <c r="B83" s="16" t="s">
        <v>26</v>
      </c>
      <c r="C83" s="25" t="s">
        <v>61</v>
      </c>
      <c r="D83" s="31" t="s">
        <v>23</v>
      </c>
      <c r="E83" s="38">
        <v>0</v>
      </c>
      <c r="F83" s="39">
        <v>0</v>
      </c>
      <c r="G83" s="40">
        <v>0</v>
      </c>
      <c r="H83" s="41">
        <v>0</v>
      </c>
      <c r="I83" s="42">
        <f t="shared" si="28"/>
        <v>0</v>
      </c>
      <c r="J83" s="103" t="str">
        <f t="shared" si="29"/>
        <v/>
      </c>
      <c r="K83" s="104" t="str">
        <f t="shared" si="29"/>
        <v/>
      </c>
      <c r="L83" s="105" t="str">
        <f t="shared" si="29"/>
        <v/>
      </c>
      <c r="M83" s="106" t="str">
        <f t="shared" si="27"/>
        <v/>
      </c>
    </row>
    <row r="84" spans="1:14" s="5" customFormat="1" ht="30" customHeight="1" x14ac:dyDescent="0.25">
      <c r="A84" s="14" t="s">
        <v>6</v>
      </c>
      <c r="B84" s="16" t="s">
        <v>26</v>
      </c>
      <c r="C84" s="25" t="s">
        <v>61</v>
      </c>
      <c r="D84" s="31" t="s">
        <v>24</v>
      </c>
      <c r="E84" s="38">
        <v>0</v>
      </c>
      <c r="F84" s="39">
        <v>0</v>
      </c>
      <c r="G84" s="40">
        <v>0</v>
      </c>
      <c r="H84" s="41">
        <v>0</v>
      </c>
      <c r="I84" s="42">
        <f t="shared" si="28"/>
        <v>0</v>
      </c>
      <c r="J84" s="103" t="str">
        <f t="shared" si="29"/>
        <v/>
      </c>
      <c r="K84" s="104" t="str">
        <f t="shared" si="29"/>
        <v/>
      </c>
      <c r="L84" s="105" t="str">
        <f t="shared" si="29"/>
        <v/>
      </c>
      <c r="M84" s="106" t="str">
        <f t="shared" si="27"/>
        <v/>
      </c>
    </row>
    <row r="85" spans="1:14" s="3" customFormat="1" ht="30" customHeight="1" x14ac:dyDescent="0.25">
      <c r="A85" s="14" t="s">
        <v>6</v>
      </c>
      <c r="B85" s="16" t="s">
        <v>26</v>
      </c>
      <c r="C85" s="25" t="s">
        <v>61</v>
      </c>
      <c r="D85" s="31" t="s">
        <v>41</v>
      </c>
      <c r="E85" s="38">
        <v>0</v>
      </c>
      <c r="F85" s="39">
        <v>0</v>
      </c>
      <c r="G85" s="40">
        <v>0</v>
      </c>
      <c r="H85" s="41">
        <v>0</v>
      </c>
      <c r="I85" s="42">
        <f t="shared" si="28"/>
        <v>0</v>
      </c>
      <c r="J85" s="103" t="str">
        <f t="shared" si="29"/>
        <v/>
      </c>
      <c r="K85" s="104" t="str">
        <f t="shared" si="29"/>
        <v/>
      </c>
      <c r="L85" s="105" t="str">
        <f t="shared" si="29"/>
        <v/>
      </c>
      <c r="M85" s="106" t="str">
        <f t="shared" si="27"/>
        <v/>
      </c>
    </row>
    <row r="86" spans="1:14" s="5" customFormat="1" ht="30" customHeight="1" x14ac:dyDescent="0.25">
      <c r="A86" s="14" t="s">
        <v>6</v>
      </c>
      <c r="B86" s="16" t="s">
        <v>26</v>
      </c>
      <c r="C86" s="25" t="s">
        <v>61</v>
      </c>
      <c r="D86" s="31" t="s">
        <v>28</v>
      </c>
      <c r="E86" s="38">
        <v>0</v>
      </c>
      <c r="F86" s="39">
        <v>0</v>
      </c>
      <c r="G86" s="40">
        <v>0</v>
      </c>
      <c r="H86" s="41">
        <v>0</v>
      </c>
      <c r="I86" s="42">
        <f t="shared" si="28"/>
        <v>0</v>
      </c>
      <c r="J86" s="103" t="str">
        <f t="shared" si="29"/>
        <v/>
      </c>
      <c r="K86" s="104" t="str">
        <f t="shared" si="29"/>
        <v/>
      </c>
      <c r="L86" s="105" t="str">
        <f t="shared" si="29"/>
        <v/>
      </c>
      <c r="M86" s="106" t="str">
        <f t="shared" si="27"/>
        <v/>
      </c>
    </row>
    <row r="87" spans="1:14" s="5" customFormat="1" ht="30" customHeight="1" x14ac:dyDescent="0.25">
      <c r="A87" s="14" t="s">
        <v>6</v>
      </c>
      <c r="B87" s="16" t="s">
        <v>26</v>
      </c>
      <c r="C87" s="25" t="s">
        <v>61</v>
      </c>
      <c r="D87" s="31" t="s">
        <v>40</v>
      </c>
      <c r="E87" s="38">
        <v>0</v>
      </c>
      <c r="F87" s="39">
        <v>0</v>
      </c>
      <c r="G87" s="40">
        <v>0</v>
      </c>
      <c r="H87" s="41">
        <v>0</v>
      </c>
      <c r="I87" s="42">
        <f t="shared" si="28"/>
        <v>0</v>
      </c>
      <c r="J87" s="103" t="str">
        <f t="shared" si="29"/>
        <v/>
      </c>
      <c r="K87" s="104" t="str">
        <f t="shared" si="29"/>
        <v/>
      </c>
      <c r="L87" s="105" t="str">
        <f t="shared" si="29"/>
        <v/>
      </c>
      <c r="M87" s="106" t="str">
        <f t="shared" si="27"/>
        <v/>
      </c>
    </row>
    <row r="88" spans="1:14" s="5" customFormat="1" ht="30" customHeight="1" x14ac:dyDescent="0.25">
      <c r="A88" s="14" t="s">
        <v>6</v>
      </c>
      <c r="B88" s="16" t="s">
        <v>26</v>
      </c>
      <c r="C88" s="25"/>
      <c r="D88" s="9" t="s">
        <v>29</v>
      </c>
      <c r="E88" s="38">
        <f>SUM(E80:E87)</f>
        <v>0</v>
      </c>
      <c r="F88" s="39">
        <f t="shared" ref="F88:I88" si="30">SUM(F80:F87)</f>
        <v>0</v>
      </c>
      <c r="G88" s="40">
        <f t="shared" si="30"/>
        <v>0</v>
      </c>
      <c r="H88" s="41">
        <f t="shared" si="30"/>
        <v>0</v>
      </c>
      <c r="I88" s="43">
        <f t="shared" si="30"/>
        <v>0</v>
      </c>
      <c r="J88" s="103" t="str">
        <f>IFERROR(E88/SUM($E88:$H88)*100,"")</f>
        <v/>
      </c>
      <c r="K88" s="104" t="str">
        <f>IFERROR(F88/SUM($E88:$H88)*100,"")</f>
        <v/>
      </c>
      <c r="L88" s="105" t="str">
        <f>IFERROR(G88/SUM($E88:$H88)*100,"")</f>
        <v/>
      </c>
      <c r="M88" s="106" t="str">
        <f t="shared" si="27"/>
        <v/>
      </c>
      <c r="N88" s="5" t="s">
        <v>1671</v>
      </c>
    </row>
    <row r="89" spans="1:14" ht="5.0999999999999996" customHeight="1" x14ac:dyDescent="0.25">
      <c r="A89" s="14" t="s">
        <v>6</v>
      </c>
      <c r="B89" s="16" t="s">
        <v>26</v>
      </c>
      <c r="C89"/>
      <c r="D89" s="57"/>
      <c r="E89" s="59"/>
      <c r="F89" s="59"/>
      <c r="G89" s="59"/>
      <c r="H89" s="59"/>
      <c r="I89" s="59"/>
      <c r="J89" s="103"/>
      <c r="K89" s="104"/>
      <c r="L89" s="105"/>
      <c r="M89" s="106" t="str">
        <f t="shared" si="27"/>
        <v/>
      </c>
    </row>
    <row r="90" spans="1:14" s="5" customFormat="1" ht="20.100000000000001" customHeight="1" x14ac:dyDescent="0.25">
      <c r="A90" s="14" t="s">
        <v>6</v>
      </c>
      <c r="B90" s="16" t="s">
        <v>64</v>
      </c>
      <c r="C90" s="25" t="s">
        <v>60</v>
      </c>
      <c r="D90" s="6" t="s">
        <v>65</v>
      </c>
      <c r="E90" s="37"/>
      <c r="F90" s="37"/>
      <c r="G90" s="37"/>
      <c r="H90" s="37"/>
      <c r="I90" s="48"/>
      <c r="J90" s="103"/>
      <c r="K90" s="104"/>
      <c r="L90" s="105"/>
      <c r="M90" s="106" t="str">
        <f t="shared" si="27"/>
        <v/>
      </c>
      <c r="N90" s="5" t="s">
        <v>1673</v>
      </c>
    </row>
    <row r="91" spans="1:14" s="5" customFormat="1" ht="30" customHeight="1" x14ac:dyDescent="0.25">
      <c r="A91" s="14" t="s">
        <v>6</v>
      </c>
      <c r="B91" s="16" t="s">
        <v>64</v>
      </c>
      <c r="C91" s="25" t="s">
        <v>61</v>
      </c>
      <c r="D91" s="12" t="s">
        <v>66</v>
      </c>
      <c r="E91" s="38">
        <v>0</v>
      </c>
      <c r="F91" s="39">
        <v>0</v>
      </c>
      <c r="G91" s="40">
        <v>0</v>
      </c>
      <c r="H91" s="41">
        <v>0</v>
      </c>
      <c r="I91" s="42">
        <f>SUM(E91:H91)</f>
        <v>0</v>
      </c>
      <c r="J91" s="103" t="str">
        <f>IFERROR(E91/$I91*100,"")</f>
        <v/>
      </c>
      <c r="K91" s="104" t="str">
        <f>IFERROR(F91/$I91*100,"")</f>
        <v/>
      </c>
      <c r="L91" s="105" t="str">
        <f>IFERROR(G91/$I91*100,"")</f>
        <v/>
      </c>
      <c r="M91" s="106" t="str">
        <f t="shared" si="27"/>
        <v/>
      </c>
      <c r="N91" s="5" t="s">
        <v>1671</v>
      </c>
    </row>
    <row r="92" spans="1:14" ht="5.0999999999999996" customHeight="1" x14ac:dyDescent="0.25">
      <c r="A92" s="14" t="s">
        <v>6</v>
      </c>
      <c r="B92" s="16" t="s">
        <v>64</v>
      </c>
      <c r="C92"/>
      <c r="D92" s="57"/>
      <c r="E92" s="59"/>
      <c r="F92" s="59"/>
      <c r="G92" s="59"/>
      <c r="H92" s="59"/>
      <c r="I92" s="59"/>
      <c r="J92" s="103"/>
      <c r="K92" s="104"/>
      <c r="L92" s="105"/>
      <c r="M92" s="106" t="str">
        <f t="shared" si="27"/>
        <v/>
      </c>
    </row>
    <row r="93" spans="1:14" s="5" customFormat="1" ht="20.100000000000001" customHeight="1" x14ac:dyDescent="0.25">
      <c r="A93" s="14" t="s">
        <v>6</v>
      </c>
      <c r="B93" s="16" t="s">
        <v>55</v>
      </c>
      <c r="C93" s="25" t="s">
        <v>60</v>
      </c>
      <c r="D93" s="6" t="s">
        <v>55</v>
      </c>
      <c r="E93" s="37"/>
      <c r="F93" s="37"/>
      <c r="G93" s="37"/>
      <c r="H93" s="37"/>
      <c r="I93" s="48"/>
      <c r="J93" s="103"/>
      <c r="K93" s="104"/>
      <c r="L93" s="105"/>
      <c r="M93" s="106" t="str">
        <f t="shared" si="27"/>
        <v/>
      </c>
      <c r="N93" s="5" t="s">
        <v>1673</v>
      </c>
    </row>
    <row r="94" spans="1:14" s="3" customFormat="1" ht="30" customHeight="1" x14ac:dyDescent="0.25">
      <c r="A94" s="14" t="s">
        <v>6</v>
      </c>
      <c r="B94" s="16" t="s">
        <v>55</v>
      </c>
      <c r="C94" s="25" t="s">
        <v>61</v>
      </c>
      <c r="D94" s="12" t="s">
        <v>56</v>
      </c>
      <c r="E94" s="38">
        <v>0</v>
      </c>
      <c r="F94" s="39">
        <v>0</v>
      </c>
      <c r="G94" s="40">
        <v>0</v>
      </c>
      <c r="H94" s="41">
        <v>0</v>
      </c>
      <c r="I94" s="42">
        <f>SUM(E94:H94)</f>
        <v>0</v>
      </c>
      <c r="J94" s="103" t="str">
        <f t="shared" ref="J94:L96" si="31">IFERROR(E94/$I94*100,"")</f>
        <v/>
      </c>
      <c r="K94" s="104" t="str">
        <f t="shared" si="31"/>
        <v/>
      </c>
      <c r="L94" s="105" t="str">
        <f t="shared" si="31"/>
        <v/>
      </c>
      <c r="M94" s="106" t="str">
        <f t="shared" si="27"/>
        <v/>
      </c>
      <c r="N94" s="5"/>
    </row>
    <row r="95" spans="1:14" s="3" customFormat="1" ht="30" customHeight="1" x14ac:dyDescent="0.25">
      <c r="A95" s="14" t="s">
        <v>6</v>
      </c>
      <c r="B95" s="16" t="s">
        <v>55</v>
      </c>
      <c r="C95" s="25" t="s">
        <v>61</v>
      </c>
      <c r="D95" s="12" t="s">
        <v>57</v>
      </c>
      <c r="E95" s="38">
        <v>0</v>
      </c>
      <c r="F95" s="39">
        <v>0</v>
      </c>
      <c r="G95" s="40">
        <v>0</v>
      </c>
      <c r="H95" s="41">
        <v>0</v>
      </c>
      <c r="I95" s="42">
        <f>SUM(E95:H95)</f>
        <v>0</v>
      </c>
      <c r="J95" s="103" t="str">
        <f t="shared" si="31"/>
        <v/>
      </c>
      <c r="K95" s="104" t="str">
        <f t="shared" si="31"/>
        <v/>
      </c>
      <c r="L95" s="105" t="str">
        <f t="shared" si="31"/>
        <v/>
      </c>
      <c r="M95" s="106" t="str">
        <f t="shared" si="27"/>
        <v/>
      </c>
    </row>
    <row r="96" spans="1:14" s="3" customFormat="1" ht="30" customHeight="1" x14ac:dyDescent="0.25">
      <c r="A96" s="14" t="s">
        <v>6</v>
      </c>
      <c r="B96" s="16" t="s">
        <v>55</v>
      </c>
      <c r="C96" s="25"/>
      <c r="D96" s="91" t="s">
        <v>29</v>
      </c>
      <c r="E96" s="38">
        <f>SUM(E94:E95)</f>
        <v>0</v>
      </c>
      <c r="F96" s="39">
        <f t="shared" ref="F96:I96" si="32">SUM(F94:F95)</f>
        <v>0</v>
      </c>
      <c r="G96" s="40">
        <f t="shared" si="32"/>
        <v>0</v>
      </c>
      <c r="H96" s="41">
        <f t="shared" si="32"/>
        <v>0</v>
      </c>
      <c r="I96" s="42">
        <f t="shared" si="32"/>
        <v>0</v>
      </c>
      <c r="J96" s="103" t="str">
        <f t="shared" si="31"/>
        <v/>
      </c>
      <c r="K96" s="104" t="str">
        <f t="shared" si="31"/>
        <v/>
      </c>
      <c r="L96" s="105" t="str">
        <f t="shared" si="31"/>
        <v/>
      </c>
      <c r="M96" s="106" t="str">
        <f t="shared" si="27"/>
        <v/>
      </c>
      <c r="N96" s="5" t="s">
        <v>1671</v>
      </c>
    </row>
    <row r="97" spans="1:14" ht="5.0999999999999996" customHeight="1" x14ac:dyDescent="0.25">
      <c r="A97" s="14" t="s">
        <v>6</v>
      </c>
      <c r="B97" s="16" t="s">
        <v>55</v>
      </c>
      <c r="C97"/>
      <c r="D97" s="57"/>
      <c r="E97" s="59"/>
      <c r="F97" s="59"/>
      <c r="G97" s="59"/>
      <c r="H97" s="59"/>
      <c r="I97" s="59"/>
      <c r="J97" s="103"/>
      <c r="K97" s="104"/>
      <c r="L97" s="105"/>
      <c r="M97" s="106" t="str">
        <f t="shared" si="27"/>
        <v/>
      </c>
    </row>
    <row r="98" spans="1:14" s="5" customFormat="1" ht="20.100000000000001" customHeight="1" x14ac:dyDescent="0.25">
      <c r="A98" s="14" t="s">
        <v>6</v>
      </c>
      <c r="B98" s="16" t="s">
        <v>74</v>
      </c>
      <c r="C98" s="25" t="s">
        <v>60</v>
      </c>
      <c r="D98" s="6" t="s">
        <v>75</v>
      </c>
      <c r="E98" s="37"/>
      <c r="F98" s="37"/>
      <c r="G98" s="37"/>
      <c r="H98" s="37"/>
      <c r="I98" s="48"/>
      <c r="J98" s="103"/>
      <c r="K98" s="104"/>
      <c r="L98" s="105"/>
      <c r="M98" s="106" t="str">
        <f t="shared" si="27"/>
        <v/>
      </c>
      <c r="N98" s="5" t="s">
        <v>1673</v>
      </c>
    </row>
    <row r="99" spans="1:14" s="3" customFormat="1" ht="30" customHeight="1" x14ac:dyDescent="0.25">
      <c r="A99" s="14" t="s">
        <v>6</v>
      </c>
      <c r="B99" s="16" t="s">
        <v>74</v>
      </c>
      <c r="C99" s="25" t="s">
        <v>61</v>
      </c>
      <c r="D99" s="12" t="s">
        <v>77</v>
      </c>
      <c r="E99" s="38">
        <v>0</v>
      </c>
      <c r="F99" s="39">
        <v>0</v>
      </c>
      <c r="G99" s="40">
        <v>0</v>
      </c>
      <c r="H99" s="41">
        <v>0</v>
      </c>
      <c r="I99" s="42">
        <f>SUM(E99:H99)</f>
        <v>0</v>
      </c>
      <c r="J99" s="103" t="str">
        <f>IFERROR(E99/$I99*100,"")</f>
        <v/>
      </c>
      <c r="K99" s="104" t="str">
        <f>IFERROR(F99/$I99*100,"")</f>
        <v/>
      </c>
      <c r="L99" s="105" t="str">
        <f>IFERROR(G99/$I99*100,"")</f>
        <v/>
      </c>
      <c r="M99" s="106" t="str">
        <f t="shared" si="27"/>
        <v/>
      </c>
      <c r="N99" s="3" t="s">
        <v>1671</v>
      </c>
    </row>
    <row r="100" spans="1:14" ht="5.0999999999999996" customHeight="1" x14ac:dyDescent="0.25">
      <c r="A100" s="14" t="s">
        <v>6</v>
      </c>
      <c r="B100" s="16" t="s">
        <v>74</v>
      </c>
      <c r="C100"/>
      <c r="D100" s="57"/>
      <c r="E100" s="59"/>
      <c r="F100" s="59"/>
      <c r="G100" s="59"/>
      <c r="H100" s="59"/>
      <c r="I100" s="59"/>
      <c r="J100" s="103"/>
      <c r="K100" s="104"/>
      <c r="L100" s="105"/>
      <c r="M100" s="106" t="str">
        <f t="shared" si="27"/>
        <v/>
      </c>
    </row>
    <row r="101" spans="1:14" s="5" customFormat="1" ht="20.100000000000001" customHeight="1" x14ac:dyDescent="0.25">
      <c r="A101" s="14" t="s">
        <v>6</v>
      </c>
      <c r="B101" s="16" t="s">
        <v>78</v>
      </c>
      <c r="C101" s="25" t="s">
        <v>60</v>
      </c>
      <c r="D101" s="6" t="s">
        <v>80</v>
      </c>
      <c r="E101" s="37"/>
      <c r="F101" s="37"/>
      <c r="G101" s="37"/>
      <c r="H101" s="37"/>
      <c r="I101" s="48"/>
      <c r="J101" s="103"/>
      <c r="K101" s="104"/>
      <c r="L101" s="105"/>
      <c r="M101" s="106" t="str">
        <f t="shared" si="27"/>
        <v/>
      </c>
      <c r="N101" s="5" t="s">
        <v>1673</v>
      </c>
    </row>
    <row r="102" spans="1:14" s="5" customFormat="1" ht="30" customHeight="1" x14ac:dyDescent="0.25">
      <c r="A102" s="14" t="s">
        <v>6</v>
      </c>
      <c r="B102" s="16" t="s">
        <v>78</v>
      </c>
      <c r="C102" s="25" t="s">
        <v>61</v>
      </c>
      <c r="D102" s="81" t="s">
        <v>81</v>
      </c>
      <c r="E102" s="38">
        <v>0</v>
      </c>
      <c r="F102" s="39">
        <v>0</v>
      </c>
      <c r="G102" s="40">
        <v>0</v>
      </c>
      <c r="H102" s="41">
        <v>0</v>
      </c>
      <c r="I102" s="42">
        <f t="shared" ref="I102:I108" si="33">SUM(E102:H102)</f>
        <v>0</v>
      </c>
      <c r="J102" s="103" t="str">
        <f t="shared" ref="J102:L108" si="34">IFERROR(E102/$I102*100,"")</f>
        <v/>
      </c>
      <c r="K102" s="104" t="str">
        <f t="shared" si="34"/>
        <v/>
      </c>
      <c r="L102" s="105" t="str">
        <f t="shared" si="34"/>
        <v/>
      </c>
      <c r="M102" s="106" t="str">
        <f t="shared" si="27"/>
        <v/>
      </c>
    </row>
    <row r="103" spans="1:14" s="5" customFormat="1" ht="30" customHeight="1" x14ac:dyDescent="0.25">
      <c r="A103" s="14" t="s">
        <v>6</v>
      </c>
      <c r="B103" s="16" t="s">
        <v>78</v>
      </c>
      <c r="C103" s="25" t="s">
        <v>61</v>
      </c>
      <c r="D103" s="81" t="s">
        <v>82</v>
      </c>
      <c r="E103" s="38">
        <v>0</v>
      </c>
      <c r="F103" s="39">
        <v>0</v>
      </c>
      <c r="G103" s="40">
        <v>0</v>
      </c>
      <c r="H103" s="41">
        <v>0</v>
      </c>
      <c r="I103" s="42">
        <f t="shared" si="33"/>
        <v>0</v>
      </c>
      <c r="J103" s="103" t="str">
        <f t="shared" si="34"/>
        <v/>
      </c>
      <c r="K103" s="104" t="str">
        <f t="shared" si="34"/>
        <v/>
      </c>
      <c r="L103" s="105" t="str">
        <f t="shared" si="34"/>
        <v/>
      </c>
      <c r="M103" s="106" t="str">
        <f t="shared" si="27"/>
        <v/>
      </c>
    </row>
    <row r="104" spans="1:14" s="5" customFormat="1" ht="30" customHeight="1" x14ac:dyDescent="0.25">
      <c r="A104" s="14" t="s">
        <v>6</v>
      </c>
      <c r="B104" s="16" t="s">
        <v>78</v>
      </c>
      <c r="C104" s="25" t="s">
        <v>61</v>
      </c>
      <c r="D104" s="81" t="s">
        <v>83</v>
      </c>
      <c r="E104" s="38">
        <v>0</v>
      </c>
      <c r="F104" s="39">
        <v>0</v>
      </c>
      <c r="G104" s="40">
        <v>0</v>
      </c>
      <c r="H104" s="41">
        <v>0</v>
      </c>
      <c r="I104" s="42">
        <f t="shared" si="33"/>
        <v>0</v>
      </c>
      <c r="J104" s="103" t="str">
        <f t="shared" si="34"/>
        <v/>
      </c>
      <c r="K104" s="104" t="str">
        <f t="shared" si="34"/>
        <v/>
      </c>
      <c r="L104" s="105" t="str">
        <f t="shared" si="34"/>
        <v/>
      </c>
      <c r="M104" s="106" t="str">
        <f t="shared" si="27"/>
        <v/>
      </c>
    </row>
    <row r="105" spans="1:14" s="5" customFormat="1" ht="30" customHeight="1" x14ac:dyDescent="0.25">
      <c r="A105" s="14" t="s">
        <v>6</v>
      </c>
      <c r="B105" s="16" t="s">
        <v>78</v>
      </c>
      <c r="C105" s="25" t="s">
        <v>61</v>
      </c>
      <c r="D105" s="81" t="s">
        <v>88</v>
      </c>
      <c r="E105" s="38">
        <v>0</v>
      </c>
      <c r="F105" s="39">
        <v>0</v>
      </c>
      <c r="G105" s="40">
        <v>0</v>
      </c>
      <c r="H105" s="41">
        <v>0</v>
      </c>
      <c r="I105" s="42">
        <f t="shared" si="33"/>
        <v>0</v>
      </c>
      <c r="J105" s="103" t="str">
        <f t="shared" si="34"/>
        <v/>
      </c>
      <c r="K105" s="104" t="str">
        <f t="shared" si="34"/>
        <v/>
      </c>
      <c r="L105" s="105" t="str">
        <f t="shared" si="34"/>
        <v/>
      </c>
      <c r="M105" s="106" t="str">
        <f t="shared" si="27"/>
        <v/>
      </c>
    </row>
    <row r="106" spans="1:14" s="5" customFormat="1" ht="30" customHeight="1" x14ac:dyDescent="0.25">
      <c r="A106" s="14" t="s">
        <v>6</v>
      </c>
      <c r="B106" s="16" t="s">
        <v>78</v>
      </c>
      <c r="C106" s="25" t="s">
        <v>61</v>
      </c>
      <c r="D106" s="81" t="s">
        <v>87</v>
      </c>
      <c r="E106" s="38">
        <v>0</v>
      </c>
      <c r="F106" s="39">
        <v>0</v>
      </c>
      <c r="G106" s="40">
        <v>0</v>
      </c>
      <c r="H106" s="41">
        <v>0</v>
      </c>
      <c r="I106" s="42">
        <f t="shared" si="33"/>
        <v>0</v>
      </c>
      <c r="J106" s="103" t="str">
        <f t="shared" si="34"/>
        <v/>
      </c>
      <c r="K106" s="104" t="str">
        <f t="shared" si="34"/>
        <v/>
      </c>
      <c r="L106" s="105" t="str">
        <f t="shared" si="34"/>
        <v/>
      </c>
      <c r="M106" s="106" t="str">
        <f t="shared" si="27"/>
        <v/>
      </c>
    </row>
    <row r="107" spans="1:14" s="5" customFormat="1" ht="30" customHeight="1" x14ac:dyDescent="0.25">
      <c r="A107" s="14" t="s">
        <v>6</v>
      </c>
      <c r="B107" s="16" t="s">
        <v>78</v>
      </c>
      <c r="C107" s="25" t="s">
        <v>61</v>
      </c>
      <c r="D107" s="81" t="s">
        <v>84</v>
      </c>
      <c r="E107" s="38">
        <v>0</v>
      </c>
      <c r="F107" s="39">
        <v>0</v>
      </c>
      <c r="G107" s="40">
        <v>0</v>
      </c>
      <c r="H107" s="41">
        <v>0</v>
      </c>
      <c r="I107" s="42">
        <f t="shared" si="33"/>
        <v>0</v>
      </c>
      <c r="J107" s="103" t="str">
        <f t="shared" si="34"/>
        <v/>
      </c>
      <c r="K107" s="104" t="str">
        <f t="shared" si="34"/>
        <v/>
      </c>
      <c r="L107" s="105" t="str">
        <f t="shared" si="34"/>
        <v/>
      </c>
      <c r="M107" s="106" t="str">
        <f t="shared" si="27"/>
        <v/>
      </c>
    </row>
    <row r="108" spans="1:14" s="5" customFormat="1" ht="30" customHeight="1" x14ac:dyDescent="0.25">
      <c r="A108" s="14" t="s">
        <v>6</v>
      </c>
      <c r="B108" s="16" t="s">
        <v>78</v>
      </c>
      <c r="C108" s="25" t="s">
        <v>86</v>
      </c>
      <c r="D108" s="81" t="s">
        <v>79</v>
      </c>
      <c r="E108" s="38">
        <v>0</v>
      </c>
      <c r="F108" s="39">
        <v>0</v>
      </c>
      <c r="G108" s="40">
        <v>0</v>
      </c>
      <c r="H108" s="41">
        <v>0</v>
      </c>
      <c r="I108" s="42">
        <f t="shared" si="33"/>
        <v>0</v>
      </c>
      <c r="J108" s="103" t="str">
        <f t="shared" si="34"/>
        <v/>
      </c>
      <c r="K108" s="104" t="str">
        <f t="shared" si="34"/>
        <v/>
      </c>
      <c r="L108" s="105" t="str">
        <f t="shared" si="34"/>
        <v/>
      </c>
      <c r="M108" s="106" t="str">
        <f t="shared" si="27"/>
        <v/>
      </c>
      <c r="N108" s="5" t="s">
        <v>1671</v>
      </c>
    </row>
    <row r="109" spans="1:14" ht="5.0999999999999996" customHeight="1" x14ac:dyDescent="0.25">
      <c r="A109" s="14" t="s">
        <v>6</v>
      </c>
      <c r="B109" s="16" t="s">
        <v>78</v>
      </c>
      <c r="C109"/>
      <c r="D109" s="57"/>
      <c r="E109" s="59"/>
      <c r="F109" s="59"/>
      <c r="G109" s="59"/>
      <c r="H109" s="59"/>
      <c r="I109" s="59"/>
      <c r="J109" s="103"/>
      <c r="K109" s="104"/>
      <c r="L109" s="105"/>
      <c r="M109" s="106" t="str">
        <f t="shared" si="27"/>
        <v/>
      </c>
    </row>
    <row r="110" spans="1:14" s="5" customFormat="1" ht="20.100000000000001" customHeight="1" x14ac:dyDescent="0.25">
      <c r="A110" s="14" t="s">
        <v>6</v>
      </c>
      <c r="B110" s="16" t="s">
        <v>91</v>
      </c>
      <c r="C110" s="25" t="s">
        <v>60</v>
      </c>
      <c r="D110" s="6" t="s">
        <v>89</v>
      </c>
      <c r="E110" s="37"/>
      <c r="F110" s="37"/>
      <c r="G110" s="37"/>
      <c r="H110" s="37"/>
      <c r="I110" s="48"/>
      <c r="J110" s="103"/>
      <c r="K110" s="104"/>
      <c r="L110" s="105"/>
      <c r="M110" s="106" t="str">
        <f t="shared" si="27"/>
        <v/>
      </c>
      <c r="N110" s="5" t="s">
        <v>1673</v>
      </c>
    </row>
    <row r="111" spans="1:14" s="5" customFormat="1" ht="30" customHeight="1" x14ac:dyDescent="0.25">
      <c r="A111" s="14" t="s">
        <v>6</v>
      </c>
      <c r="B111" s="16" t="s">
        <v>91</v>
      </c>
      <c r="C111" s="25" t="s">
        <v>61</v>
      </c>
      <c r="D111" s="82" t="s">
        <v>90</v>
      </c>
      <c r="E111" s="38">
        <v>0</v>
      </c>
      <c r="F111" s="39">
        <v>0</v>
      </c>
      <c r="G111" s="40">
        <v>0</v>
      </c>
      <c r="H111" s="41">
        <v>0</v>
      </c>
      <c r="I111" s="42">
        <f t="shared" ref="I111" si="35">SUM(E111:H111)</f>
        <v>0</v>
      </c>
      <c r="J111" s="103" t="str">
        <f>IFERROR(E111/$I111*100,"")</f>
        <v/>
      </c>
      <c r="K111" s="104" t="str">
        <f>IFERROR(F111/$I111*100,"")</f>
        <v/>
      </c>
      <c r="L111" s="105" t="str">
        <f>IFERROR(G111/$I111*100,"")</f>
        <v/>
      </c>
      <c r="M111" s="106" t="str">
        <f t="shared" si="27"/>
        <v/>
      </c>
      <c r="N111" s="5" t="s">
        <v>1671</v>
      </c>
    </row>
    <row r="112" spans="1:14" ht="5.0999999999999996" customHeight="1" x14ac:dyDescent="0.25">
      <c r="A112" s="14" t="s">
        <v>6</v>
      </c>
      <c r="B112" s="16" t="s">
        <v>91</v>
      </c>
      <c r="C112"/>
      <c r="D112" s="57"/>
      <c r="E112" s="59"/>
      <c r="F112" s="59"/>
      <c r="G112" s="59"/>
      <c r="H112" s="59"/>
      <c r="I112" s="59"/>
      <c r="J112" s="103"/>
      <c r="K112" s="104"/>
      <c r="L112" s="105"/>
      <c r="M112" s="106" t="str">
        <f t="shared" si="27"/>
        <v/>
      </c>
    </row>
    <row r="113" spans="1:14" s="5" customFormat="1" ht="20.100000000000001" customHeight="1" x14ac:dyDescent="0.25">
      <c r="A113" s="14" t="s">
        <v>6</v>
      </c>
      <c r="B113" s="16" t="s">
        <v>1916</v>
      </c>
      <c r="C113" s="25" t="s">
        <v>60</v>
      </c>
      <c r="D113" s="6" t="s">
        <v>1853</v>
      </c>
      <c r="E113" s="37"/>
      <c r="F113" s="37"/>
      <c r="G113" s="37"/>
      <c r="H113" s="37"/>
      <c r="I113" s="48"/>
      <c r="J113" s="103"/>
      <c r="K113" s="104"/>
      <c r="L113" s="105"/>
      <c r="M113" s="106" t="str">
        <f t="shared" si="27"/>
        <v/>
      </c>
      <c r="N113" s="5" t="s">
        <v>1673</v>
      </c>
    </row>
    <row r="114" spans="1:14" s="5" customFormat="1" ht="30" customHeight="1" x14ac:dyDescent="0.25">
      <c r="A114" s="14" t="s">
        <v>6</v>
      </c>
      <c r="B114" s="16" t="s">
        <v>1916</v>
      </c>
      <c r="C114" s="25" t="s">
        <v>61</v>
      </c>
      <c r="D114" s="175" t="s">
        <v>1917</v>
      </c>
      <c r="E114" s="38">
        <v>0</v>
      </c>
      <c r="F114" s="39">
        <v>0</v>
      </c>
      <c r="G114" s="40">
        <v>0</v>
      </c>
      <c r="H114" s="41">
        <v>0</v>
      </c>
      <c r="I114" s="42">
        <f t="shared" ref="I114" si="36">SUM(E114:H114)</f>
        <v>0</v>
      </c>
      <c r="J114" s="103" t="str">
        <f>IFERROR(E114/$I114*100,"")</f>
        <v/>
      </c>
      <c r="K114" s="104" t="str">
        <f>IFERROR(F114/$I114*100,"")</f>
        <v/>
      </c>
      <c r="L114" s="105" t="str">
        <f>IFERROR(G114/$I114*100,"")</f>
        <v/>
      </c>
      <c r="M114" s="106" t="str">
        <f t="shared" si="27"/>
        <v/>
      </c>
      <c r="N114" s="5" t="s">
        <v>1671</v>
      </c>
    </row>
    <row r="115" spans="1:14" ht="5.0999999999999996" customHeight="1" x14ac:dyDescent="0.25">
      <c r="A115" s="14" t="s">
        <v>6</v>
      </c>
      <c r="B115" s="16" t="s">
        <v>1916</v>
      </c>
      <c r="C115"/>
      <c r="D115" s="57"/>
      <c r="E115" s="59"/>
      <c r="F115" s="59"/>
      <c r="G115" s="59"/>
      <c r="H115" s="59"/>
      <c r="I115" s="59"/>
      <c r="J115" s="103"/>
      <c r="K115" s="104"/>
      <c r="L115" s="105"/>
      <c r="M115" s="106" t="str">
        <f t="shared" si="27"/>
        <v/>
      </c>
    </row>
    <row r="116" spans="1:14" s="5" customFormat="1" ht="20.100000000000001" customHeight="1" x14ac:dyDescent="0.25">
      <c r="A116" s="14" t="s">
        <v>6</v>
      </c>
      <c r="B116" s="16" t="s">
        <v>1637</v>
      </c>
      <c r="C116" s="25" t="s">
        <v>60</v>
      </c>
      <c r="D116" s="6" t="s">
        <v>1636</v>
      </c>
      <c r="E116" s="37"/>
      <c r="F116" s="37"/>
      <c r="G116" s="37"/>
      <c r="H116" s="37"/>
      <c r="I116" s="48"/>
      <c r="J116" s="103"/>
      <c r="K116" s="104"/>
      <c r="L116" s="105"/>
      <c r="M116" s="106" t="str">
        <f t="shared" si="27"/>
        <v/>
      </c>
      <c r="N116" s="5" t="s">
        <v>1673</v>
      </c>
    </row>
    <row r="117" spans="1:14" s="3" customFormat="1" ht="30" customHeight="1" x14ac:dyDescent="0.25">
      <c r="A117" s="14" t="s">
        <v>6</v>
      </c>
      <c r="B117" s="16" t="s">
        <v>1637</v>
      </c>
      <c r="C117" s="25" t="s">
        <v>61</v>
      </c>
      <c r="D117" s="87" t="s">
        <v>1638</v>
      </c>
      <c r="E117" s="38">
        <v>0</v>
      </c>
      <c r="F117" s="39">
        <v>0</v>
      </c>
      <c r="G117" s="40">
        <v>0</v>
      </c>
      <c r="H117" s="41">
        <v>0</v>
      </c>
      <c r="I117" s="42">
        <f t="shared" ref="I117:I122" si="37">SUM(E117:H117)</f>
        <v>0</v>
      </c>
      <c r="J117" s="103" t="str">
        <f t="shared" ref="J117:L121" si="38">IFERROR(E117/$I117*100,"")</f>
        <v/>
      </c>
      <c r="K117" s="104" t="str">
        <f t="shared" si="38"/>
        <v/>
      </c>
      <c r="L117" s="105" t="str">
        <f t="shared" si="38"/>
        <v/>
      </c>
      <c r="M117" s="106" t="str">
        <f t="shared" si="27"/>
        <v/>
      </c>
    </row>
    <row r="118" spans="1:14" s="3" customFormat="1" ht="30" customHeight="1" x14ac:dyDescent="0.25">
      <c r="A118" s="14" t="s">
        <v>6</v>
      </c>
      <c r="B118" s="16" t="s">
        <v>1637</v>
      </c>
      <c r="C118" s="25" t="s">
        <v>61</v>
      </c>
      <c r="D118" s="87" t="s">
        <v>1669</v>
      </c>
      <c r="E118" s="38">
        <v>0</v>
      </c>
      <c r="F118" s="39">
        <v>0</v>
      </c>
      <c r="G118" s="40">
        <v>0</v>
      </c>
      <c r="H118" s="41">
        <v>0</v>
      </c>
      <c r="I118" s="42">
        <f t="shared" si="37"/>
        <v>0</v>
      </c>
      <c r="J118" s="103" t="str">
        <f t="shared" si="38"/>
        <v/>
      </c>
      <c r="K118" s="104" t="str">
        <f t="shared" si="38"/>
        <v/>
      </c>
      <c r="L118" s="105" t="str">
        <f t="shared" si="38"/>
        <v/>
      </c>
      <c r="M118" s="106" t="str">
        <f t="shared" si="27"/>
        <v/>
      </c>
    </row>
    <row r="119" spans="1:14" s="3" customFormat="1" ht="30" customHeight="1" x14ac:dyDescent="0.25">
      <c r="A119" s="14" t="s">
        <v>6</v>
      </c>
      <c r="B119" s="16" t="s">
        <v>1637</v>
      </c>
      <c r="C119" s="25" t="s">
        <v>61</v>
      </c>
      <c r="D119" s="87" t="s">
        <v>1640</v>
      </c>
      <c r="E119" s="38">
        <v>0</v>
      </c>
      <c r="F119" s="39">
        <v>0</v>
      </c>
      <c r="G119" s="40">
        <v>0</v>
      </c>
      <c r="H119" s="41">
        <v>0</v>
      </c>
      <c r="I119" s="42">
        <f t="shared" si="37"/>
        <v>0</v>
      </c>
      <c r="J119" s="103" t="str">
        <f t="shared" si="38"/>
        <v/>
      </c>
      <c r="K119" s="104" t="str">
        <f t="shared" si="38"/>
        <v/>
      </c>
      <c r="L119" s="105" t="str">
        <f t="shared" si="38"/>
        <v/>
      </c>
      <c r="M119" s="106" t="str">
        <f t="shared" si="27"/>
        <v/>
      </c>
    </row>
    <row r="120" spans="1:14" s="3" customFormat="1" ht="30" customHeight="1" x14ac:dyDescent="0.25">
      <c r="A120" s="14" t="s">
        <v>6</v>
      </c>
      <c r="B120" s="16" t="s">
        <v>1637</v>
      </c>
      <c r="C120" s="25" t="s">
        <v>61</v>
      </c>
      <c r="D120" s="87" t="s">
        <v>1639</v>
      </c>
      <c r="E120" s="38">
        <v>0</v>
      </c>
      <c r="F120" s="39">
        <v>0</v>
      </c>
      <c r="G120" s="40">
        <v>0</v>
      </c>
      <c r="H120" s="41">
        <v>0</v>
      </c>
      <c r="I120" s="42">
        <f t="shared" si="37"/>
        <v>0</v>
      </c>
      <c r="J120" s="103" t="str">
        <f t="shared" si="38"/>
        <v/>
      </c>
      <c r="K120" s="104" t="str">
        <f t="shared" si="38"/>
        <v/>
      </c>
      <c r="L120" s="105" t="str">
        <f t="shared" si="38"/>
        <v/>
      </c>
      <c r="M120" s="106" t="str">
        <f t="shared" si="27"/>
        <v/>
      </c>
    </row>
    <row r="121" spans="1:14" s="3" customFormat="1" ht="30" customHeight="1" x14ac:dyDescent="0.25">
      <c r="A121" s="14" t="s">
        <v>6</v>
      </c>
      <c r="B121" s="16" t="s">
        <v>1637</v>
      </c>
      <c r="C121" s="25" t="s">
        <v>61</v>
      </c>
      <c r="D121" s="87" t="s">
        <v>1641</v>
      </c>
      <c r="E121" s="38">
        <v>0</v>
      </c>
      <c r="F121" s="39">
        <v>0</v>
      </c>
      <c r="G121" s="40">
        <v>0</v>
      </c>
      <c r="H121" s="41">
        <v>0</v>
      </c>
      <c r="I121" s="42">
        <f t="shared" si="37"/>
        <v>0</v>
      </c>
      <c r="J121" s="103" t="str">
        <f t="shared" si="38"/>
        <v/>
      </c>
      <c r="K121" s="104" t="str">
        <f t="shared" si="38"/>
        <v/>
      </c>
      <c r="L121" s="105" t="str">
        <f t="shared" si="38"/>
        <v/>
      </c>
      <c r="M121" s="106" t="str">
        <f t="shared" si="27"/>
        <v/>
      </c>
    </row>
    <row r="122" spans="1:14" s="3" customFormat="1" ht="30" customHeight="1" x14ac:dyDescent="0.25">
      <c r="A122" s="14" t="s">
        <v>6</v>
      </c>
      <c r="B122" s="16" t="s">
        <v>1637</v>
      </c>
      <c r="C122" s="25"/>
      <c r="D122" s="87" t="s">
        <v>29</v>
      </c>
      <c r="E122" s="38">
        <f>SUM(E117:E121)</f>
        <v>0</v>
      </c>
      <c r="F122" s="39">
        <f>SUM(F117:F121)</f>
        <v>0</v>
      </c>
      <c r="G122" s="40">
        <f>SUM(G117:G121)</f>
        <v>0</v>
      </c>
      <c r="H122" s="41">
        <f>SUM(H117:H121)</f>
        <v>0</v>
      </c>
      <c r="I122" s="42">
        <f t="shared" si="37"/>
        <v>0</v>
      </c>
      <c r="J122" s="103" t="str">
        <f>IFERROR(E122/SUM($E122:$H122)*100,"")</f>
        <v/>
      </c>
      <c r="K122" s="104" t="str">
        <f>IFERROR(F122/SUM($E122:$H122)*100,"")</f>
        <v/>
      </c>
      <c r="L122" s="105" t="str">
        <f>IFERROR(G122/SUM($E122:$H122)*100,"")</f>
        <v/>
      </c>
      <c r="M122" s="106" t="str">
        <f t="shared" si="27"/>
        <v/>
      </c>
      <c r="N122" s="5" t="s">
        <v>1671</v>
      </c>
    </row>
    <row r="123" spans="1:14" ht="5.0999999999999996" customHeight="1" x14ac:dyDescent="0.25">
      <c r="A123" s="14" t="s">
        <v>6</v>
      </c>
      <c r="B123" s="16" t="s">
        <v>1637</v>
      </c>
      <c r="C123"/>
      <c r="J123" s="103"/>
      <c r="K123" s="104"/>
      <c r="L123" s="105"/>
      <c r="M123" s="106" t="str">
        <f t="shared" si="27"/>
        <v/>
      </c>
    </row>
    <row r="124" spans="1:14" s="5" customFormat="1" ht="20.100000000000001" customHeight="1" x14ac:dyDescent="0.25">
      <c r="A124" s="14" t="s">
        <v>6</v>
      </c>
      <c r="B124" s="16" t="s">
        <v>42</v>
      </c>
      <c r="C124" s="25" t="s">
        <v>60</v>
      </c>
      <c r="D124" s="6" t="s">
        <v>1744</v>
      </c>
      <c r="E124" s="37"/>
      <c r="F124" s="37"/>
      <c r="G124" s="37"/>
      <c r="H124" s="37"/>
      <c r="I124" s="48"/>
      <c r="J124" s="103"/>
      <c r="K124" s="104"/>
      <c r="L124" s="105"/>
      <c r="M124" s="106" t="str">
        <f t="shared" si="27"/>
        <v/>
      </c>
      <c r="N124" s="5" t="s">
        <v>1673</v>
      </c>
    </row>
    <row r="125" spans="1:14" s="3" customFormat="1" ht="30" customHeight="1" x14ac:dyDescent="0.25">
      <c r="A125" s="14" t="s">
        <v>6</v>
      </c>
      <c r="B125" s="16" t="s">
        <v>42</v>
      </c>
      <c r="C125" s="25" t="s">
        <v>61</v>
      </c>
      <c r="D125" s="12" t="s">
        <v>43</v>
      </c>
      <c r="E125" s="38">
        <v>0</v>
      </c>
      <c r="F125" s="39">
        <v>0</v>
      </c>
      <c r="G125" s="40">
        <v>0</v>
      </c>
      <c r="H125" s="41">
        <v>0</v>
      </c>
      <c r="I125" s="42">
        <f t="shared" ref="I125:I134" si="39">SUM(E125:H125)</f>
        <v>0</v>
      </c>
      <c r="J125" s="103" t="str">
        <f t="shared" ref="J125:J134" si="40">IFERROR(E125/$I125*100,"")</f>
        <v/>
      </c>
      <c r="K125" s="104" t="str">
        <f t="shared" ref="K125:K134" si="41">IFERROR(F125/$I125*100,"")</f>
        <v/>
      </c>
      <c r="L125" s="105" t="str">
        <f t="shared" ref="L125:L134" si="42">IFERROR(G125/$I125*100,"")</f>
        <v/>
      </c>
      <c r="M125" s="106" t="str">
        <f t="shared" si="27"/>
        <v/>
      </c>
    </row>
    <row r="126" spans="1:14" s="3" customFormat="1" ht="30" customHeight="1" x14ac:dyDescent="0.25">
      <c r="A126" s="14" t="s">
        <v>6</v>
      </c>
      <c r="B126" s="16" t="s">
        <v>42</v>
      </c>
      <c r="C126" s="25" t="s">
        <v>61</v>
      </c>
      <c r="D126" s="12" t="s">
        <v>44</v>
      </c>
      <c r="E126" s="38">
        <v>0</v>
      </c>
      <c r="F126" s="39">
        <v>0</v>
      </c>
      <c r="G126" s="40">
        <v>0</v>
      </c>
      <c r="H126" s="41">
        <v>0</v>
      </c>
      <c r="I126" s="42">
        <f t="shared" si="39"/>
        <v>0</v>
      </c>
      <c r="J126" s="103" t="str">
        <f t="shared" si="40"/>
        <v/>
      </c>
      <c r="K126" s="104" t="str">
        <f t="shared" si="41"/>
        <v/>
      </c>
      <c r="L126" s="105" t="str">
        <f t="shared" si="42"/>
        <v/>
      </c>
      <c r="M126" s="106" t="str">
        <f t="shared" si="27"/>
        <v/>
      </c>
    </row>
    <row r="127" spans="1:14" s="3" customFormat="1" ht="30" customHeight="1" x14ac:dyDescent="0.25">
      <c r="A127" s="14" t="s">
        <v>6</v>
      </c>
      <c r="B127" s="16" t="s">
        <v>42</v>
      </c>
      <c r="C127" s="25" t="s">
        <v>61</v>
      </c>
      <c r="D127" s="12" t="s">
        <v>45</v>
      </c>
      <c r="E127" s="38">
        <v>0</v>
      </c>
      <c r="F127" s="39">
        <v>0</v>
      </c>
      <c r="G127" s="40">
        <v>0</v>
      </c>
      <c r="H127" s="41">
        <v>0</v>
      </c>
      <c r="I127" s="42">
        <f t="shared" si="39"/>
        <v>0</v>
      </c>
      <c r="J127" s="103" t="str">
        <f t="shared" si="40"/>
        <v/>
      </c>
      <c r="K127" s="104" t="str">
        <f t="shared" si="41"/>
        <v/>
      </c>
      <c r="L127" s="105" t="str">
        <f t="shared" si="42"/>
        <v/>
      </c>
      <c r="M127" s="106" t="str">
        <f t="shared" si="27"/>
        <v/>
      </c>
    </row>
    <row r="128" spans="1:14" s="3" customFormat="1" ht="30" customHeight="1" x14ac:dyDescent="0.25">
      <c r="A128" s="14" t="s">
        <v>6</v>
      </c>
      <c r="B128" s="16" t="s">
        <v>42</v>
      </c>
      <c r="C128" s="25" t="s">
        <v>61</v>
      </c>
      <c r="D128" s="12" t="s">
        <v>46</v>
      </c>
      <c r="E128" s="38">
        <v>0</v>
      </c>
      <c r="F128" s="39">
        <v>0</v>
      </c>
      <c r="G128" s="40">
        <v>0</v>
      </c>
      <c r="H128" s="41">
        <v>0</v>
      </c>
      <c r="I128" s="42">
        <f t="shared" si="39"/>
        <v>0</v>
      </c>
      <c r="J128" s="103" t="str">
        <f t="shared" si="40"/>
        <v/>
      </c>
      <c r="K128" s="104" t="str">
        <f t="shared" si="41"/>
        <v/>
      </c>
      <c r="L128" s="105" t="str">
        <f t="shared" si="42"/>
        <v/>
      </c>
      <c r="M128" s="106" t="str">
        <f t="shared" si="27"/>
        <v/>
      </c>
    </row>
    <row r="129" spans="1:14" s="3" customFormat="1" ht="30" customHeight="1" x14ac:dyDescent="0.25">
      <c r="A129" s="14" t="s">
        <v>6</v>
      </c>
      <c r="B129" s="16" t="s">
        <v>42</v>
      </c>
      <c r="C129" s="25" t="s">
        <v>61</v>
      </c>
      <c r="D129" s="12" t="s">
        <v>51</v>
      </c>
      <c r="E129" s="38">
        <v>0</v>
      </c>
      <c r="F129" s="39">
        <v>0</v>
      </c>
      <c r="G129" s="40">
        <v>0</v>
      </c>
      <c r="H129" s="41">
        <v>0</v>
      </c>
      <c r="I129" s="42">
        <f t="shared" si="39"/>
        <v>0</v>
      </c>
      <c r="J129" s="103" t="str">
        <f t="shared" si="40"/>
        <v/>
      </c>
      <c r="K129" s="104" t="str">
        <f t="shared" si="41"/>
        <v/>
      </c>
      <c r="L129" s="105" t="str">
        <f t="shared" si="42"/>
        <v/>
      </c>
      <c r="M129" s="106" t="str">
        <f t="shared" si="27"/>
        <v/>
      </c>
    </row>
    <row r="130" spans="1:14" s="3" customFormat="1" ht="30" customHeight="1" x14ac:dyDescent="0.25">
      <c r="A130" s="14" t="s">
        <v>6</v>
      </c>
      <c r="B130" s="16" t="s">
        <v>42</v>
      </c>
      <c r="C130" s="25" t="s">
        <v>61</v>
      </c>
      <c r="D130" s="12" t="s">
        <v>52</v>
      </c>
      <c r="E130" s="38">
        <v>0</v>
      </c>
      <c r="F130" s="39">
        <v>0</v>
      </c>
      <c r="G130" s="40">
        <v>0</v>
      </c>
      <c r="H130" s="41">
        <v>0</v>
      </c>
      <c r="I130" s="42">
        <f t="shared" si="39"/>
        <v>0</v>
      </c>
      <c r="J130" s="103" t="str">
        <f t="shared" si="40"/>
        <v/>
      </c>
      <c r="K130" s="104" t="str">
        <f t="shared" si="41"/>
        <v/>
      </c>
      <c r="L130" s="105" t="str">
        <f t="shared" si="42"/>
        <v/>
      </c>
      <c r="M130" s="106" t="str">
        <f t="shared" si="27"/>
        <v/>
      </c>
    </row>
    <row r="131" spans="1:14" s="3" customFormat="1" ht="30" customHeight="1" x14ac:dyDescent="0.25">
      <c r="A131" s="14" t="s">
        <v>6</v>
      </c>
      <c r="B131" s="16" t="s">
        <v>42</v>
      </c>
      <c r="C131" s="25" t="s">
        <v>61</v>
      </c>
      <c r="D131" s="12" t="s">
        <v>47</v>
      </c>
      <c r="E131" s="38">
        <v>0</v>
      </c>
      <c r="F131" s="39">
        <v>0</v>
      </c>
      <c r="G131" s="40">
        <v>0</v>
      </c>
      <c r="H131" s="41">
        <v>0</v>
      </c>
      <c r="I131" s="42">
        <f t="shared" si="39"/>
        <v>0</v>
      </c>
      <c r="J131" s="103" t="str">
        <f t="shared" si="40"/>
        <v/>
      </c>
      <c r="K131" s="104" t="str">
        <f t="shared" si="41"/>
        <v/>
      </c>
      <c r="L131" s="105" t="str">
        <f t="shared" si="42"/>
        <v/>
      </c>
      <c r="M131" s="106" t="str">
        <f t="shared" si="27"/>
        <v/>
      </c>
    </row>
    <row r="132" spans="1:14" s="3" customFormat="1" ht="30" customHeight="1" x14ac:dyDescent="0.25">
      <c r="A132" s="14" t="s">
        <v>6</v>
      </c>
      <c r="B132" s="16" t="s">
        <v>42</v>
      </c>
      <c r="C132" s="25" t="s">
        <v>61</v>
      </c>
      <c r="D132" s="12" t="s">
        <v>48</v>
      </c>
      <c r="E132" s="38">
        <v>0</v>
      </c>
      <c r="F132" s="39">
        <v>0</v>
      </c>
      <c r="G132" s="40">
        <v>0</v>
      </c>
      <c r="H132" s="41">
        <v>0</v>
      </c>
      <c r="I132" s="42">
        <f t="shared" si="39"/>
        <v>0</v>
      </c>
      <c r="J132" s="103" t="str">
        <f t="shared" si="40"/>
        <v/>
      </c>
      <c r="K132" s="104" t="str">
        <f t="shared" si="41"/>
        <v/>
      </c>
      <c r="L132" s="105" t="str">
        <f t="shared" si="42"/>
        <v/>
      </c>
      <c r="M132" s="106" t="str">
        <f t="shared" si="27"/>
        <v/>
      </c>
    </row>
    <row r="133" spans="1:14" s="3" customFormat="1" ht="30" customHeight="1" x14ac:dyDescent="0.25">
      <c r="A133" s="14" t="s">
        <v>6</v>
      </c>
      <c r="B133" s="16" t="s">
        <v>42</v>
      </c>
      <c r="C133" s="25" t="s">
        <v>61</v>
      </c>
      <c r="D133" s="12" t="s">
        <v>49</v>
      </c>
      <c r="E133" s="38">
        <v>0</v>
      </c>
      <c r="F133" s="39">
        <v>0</v>
      </c>
      <c r="G133" s="40">
        <v>0</v>
      </c>
      <c r="H133" s="41">
        <v>0</v>
      </c>
      <c r="I133" s="42">
        <f t="shared" si="39"/>
        <v>0</v>
      </c>
      <c r="J133" s="103" t="str">
        <f t="shared" si="40"/>
        <v/>
      </c>
      <c r="K133" s="104" t="str">
        <f t="shared" si="41"/>
        <v/>
      </c>
      <c r="L133" s="105" t="str">
        <f t="shared" si="42"/>
        <v/>
      </c>
      <c r="M133" s="106" t="str">
        <f t="shared" si="27"/>
        <v/>
      </c>
    </row>
    <row r="134" spans="1:14" s="3" customFormat="1" ht="30" customHeight="1" x14ac:dyDescent="0.25">
      <c r="A134" s="14" t="s">
        <v>6</v>
      </c>
      <c r="B134" s="16" t="s">
        <v>42</v>
      </c>
      <c r="C134" s="25" t="s">
        <v>61</v>
      </c>
      <c r="D134" s="12" t="s">
        <v>50</v>
      </c>
      <c r="E134" s="38">
        <v>0</v>
      </c>
      <c r="F134" s="39">
        <v>0</v>
      </c>
      <c r="G134" s="40">
        <v>0</v>
      </c>
      <c r="H134" s="41">
        <v>0</v>
      </c>
      <c r="I134" s="42">
        <f t="shared" si="39"/>
        <v>0</v>
      </c>
      <c r="J134" s="103" t="str">
        <f t="shared" si="40"/>
        <v/>
      </c>
      <c r="K134" s="104" t="str">
        <f t="shared" si="41"/>
        <v/>
      </c>
      <c r="L134" s="105" t="str">
        <f t="shared" si="42"/>
        <v/>
      </c>
      <c r="M134" s="106" t="str">
        <f t="shared" si="27"/>
        <v/>
      </c>
    </row>
    <row r="135" spans="1:14" s="8" customFormat="1" ht="30" customHeight="1" x14ac:dyDescent="0.25">
      <c r="A135" s="14" t="s">
        <v>6</v>
      </c>
      <c r="B135" s="16" t="s">
        <v>42</v>
      </c>
      <c r="C135" s="25"/>
      <c r="D135" s="9" t="s">
        <v>29</v>
      </c>
      <c r="E135" s="38">
        <f>SUM(E125:E134)</f>
        <v>0</v>
      </c>
      <c r="F135" s="39">
        <f t="shared" ref="F135:I135" si="43">SUM(F125:F134)</f>
        <v>0</v>
      </c>
      <c r="G135" s="40">
        <f t="shared" si="43"/>
        <v>0</v>
      </c>
      <c r="H135" s="41">
        <f t="shared" si="43"/>
        <v>0</v>
      </c>
      <c r="I135" s="43">
        <f t="shared" si="43"/>
        <v>0</v>
      </c>
      <c r="J135" s="103" t="str">
        <f>IFERROR(E135/SUM($E135:$H135)*100,"")</f>
        <v/>
      </c>
      <c r="K135" s="104" t="str">
        <f>IFERROR(F135/SUM($E135:$H135)*100,"")</f>
        <v/>
      </c>
      <c r="L135" s="105" t="str">
        <f>IFERROR(G135/SUM($E135:$H135)*100,"")</f>
        <v/>
      </c>
      <c r="M135" s="106" t="str">
        <f t="shared" si="27"/>
        <v/>
      </c>
      <c r="N135" s="5" t="s">
        <v>1671</v>
      </c>
    </row>
    <row r="136" spans="1:14" ht="5.0999999999999996" customHeight="1" x14ac:dyDescent="0.25">
      <c r="A136" s="14" t="s">
        <v>6</v>
      </c>
      <c r="B136" s="16" t="s">
        <v>42</v>
      </c>
      <c r="C136"/>
      <c r="D136" s="57"/>
      <c r="E136" s="59"/>
      <c r="F136" s="59"/>
      <c r="G136" s="59"/>
      <c r="H136" s="59"/>
      <c r="I136" s="59"/>
      <c r="J136" s="103"/>
      <c r="K136" s="104"/>
      <c r="L136" s="105"/>
      <c r="M136" s="106" t="str">
        <f t="shared" si="27"/>
        <v/>
      </c>
    </row>
    <row r="137" spans="1:14" s="7" customFormat="1" ht="20.100000000000001" customHeight="1" x14ac:dyDescent="0.25">
      <c r="A137" s="14" t="s">
        <v>6</v>
      </c>
      <c r="B137" s="16" t="s">
        <v>62</v>
      </c>
      <c r="C137" s="25" t="s">
        <v>60</v>
      </c>
      <c r="D137" s="62" t="s">
        <v>63</v>
      </c>
      <c r="E137" s="63"/>
      <c r="F137" s="63"/>
      <c r="G137" s="63"/>
      <c r="H137" s="63"/>
      <c r="I137" s="64"/>
      <c r="J137" s="103"/>
      <c r="K137" s="104"/>
      <c r="L137" s="105"/>
      <c r="M137" s="106" t="str">
        <f t="shared" si="27"/>
        <v/>
      </c>
      <c r="N137" s="5" t="s">
        <v>1673</v>
      </c>
    </row>
    <row r="138" spans="1:14" s="8" customFormat="1" ht="30" customHeight="1" x14ac:dyDescent="0.25">
      <c r="A138" s="14" t="s">
        <v>6</v>
      </c>
      <c r="B138" s="16" t="s">
        <v>62</v>
      </c>
      <c r="C138" s="25"/>
      <c r="D138" s="12" t="s">
        <v>29</v>
      </c>
      <c r="E138" s="38" t="e">
        <f>SUM(E88,E77,E96,E135,E91,E99,E108,E111,E122,#REF!)</f>
        <v>#REF!</v>
      </c>
      <c r="F138" s="39" t="e">
        <f>SUM(F88,F77,F96,F135,F91,F99,F108,F111,F122,#REF!)</f>
        <v>#REF!</v>
      </c>
      <c r="G138" s="40" t="e">
        <f>SUM(G88,G77,G96,G135,G91,G99,G108,G111,G122,#REF!)</f>
        <v>#REF!</v>
      </c>
      <c r="H138" s="41" t="e">
        <f>SUM(H88,H77,H96,H135,H91,H99,H108,H111,H122,#REF!)</f>
        <v>#REF!</v>
      </c>
      <c r="I138" s="42" t="e">
        <f>SUM(I88,I77,I96,I135,I91,I99,I108,I111,I122,#REF!)</f>
        <v>#REF!</v>
      </c>
      <c r="J138" s="103" t="str">
        <f>IFERROR(E138/SUM($E138:$H138)*100,"")</f>
        <v/>
      </c>
      <c r="K138" s="104" t="str">
        <f>IFERROR(F138/SUM($E138:$H138)*100,"")</f>
        <v/>
      </c>
      <c r="L138" s="105" t="str">
        <f>IFERROR(G138/SUM($E138:$H138)*100,"")</f>
        <v/>
      </c>
      <c r="M138" s="106" t="str">
        <f t="shared" si="27"/>
        <v/>
      </c>
      <c r="N138" s="5" t="s">
        <v>1671</v>
      </c>
    </row>
    <row r="139" spans="1:14" s="5" customFormat="1" ht="20.100000000000001" customHeight="1" x14ac:dyDescent="0.25">
      <c r="A139" s="14" t="s">
        <v>6</v>
      </c>
      <c r="B139" s="14"/>
      <c r="C139" s="25" t="s">
        <v>60</v>
      </c>
      <c r="D139" s="58"/>
      <c r="E139" s="60"/>
      <c r="F139" s="60"/>
      <c r="G139" s="60"/>
      <c r="H139" s="60"/>
      <c r="I139" s="60"/>
      <c r="J139" s="103"/>
      <c r="K139" s="104"/>
      <c r="L139" s="105"/>
      <c r="M139" s="106" t="str">
        <f t="shared" si="27"/>
        <v/>
      </c>
    </row>
    <row r="140" spans="1:14" s="5" customFormat="1" ht="20.100000000000001" customHeight="1" x14ac:dyDescent="0.25">
      <c r="A140" s="14" t="s">
        <v>11</v>
      </c>
      <c r="B140" s="14"/>
      <c r="C140" s="25" t="s">
        <v>60</v>
      </c>
      <c r="D140" s="20" t="str">
        <f>IFERROR(A140&amp;"   ("&amp;COUNTIFS(#REF!,"="&amp;A140)&amp;")",A140)</f>
        <v>CCV</v>
      </c>
      <c r="E140" s="45"/>
      <c r="F140" s="45"/>
      <c r="G140" s="45"/>
      <c r="H140" s="45"/>
      <c r="I140" s="46"/>
      <c r="J140" s="103"/>
      <c r="K140" s="104"/>
      <c r="L140" s="105"/>
      <c r="M140" s="106" t="str">
        <f t="shared" si="27"/>
        <v/>
      </c>
      <c r="N140" s="5" t="s">
        <v>1672</v>
      </c>
    </row>
    <row r="141" spans="1:14" s="5" customFormat="1" ht="20.100000000000001" customHeight="1" x14ac:dyDescent="0.25">
      <c r="A141" s="14" t="s">
        <v>11</v>
      </c>
      <c r="B141" s="16" t="s">
        <v>20</v>
      </c>
      <c r="C141" s="25" t="s">
        <v>60</v>
      </c>
      <c r="D141" s="6" t="s">
        <v>20</v>
      </c>
      <c r="E141" s="37"/>
      <c r="F141" s="37"/>
      <c r="G141" s="37"/>
      <c r="H141" s="37"/>
      <c r="I141" s="48"/>
      <c r="J141" s="103"/>
      <c r="K141" s="104"/>
      <c r="L141" s="105"/>
      <c r="M141" s="106" t="str">
        <f t="shared" ref="M141:M204" si="44">IFERROR(H141/$I141*100,"")</f>
        <v/>
      </c>
      <c r="N141" s="5" t="s">
        <v>1673</v>
      </c>
    </row>
    <row r="142" spans="1:14" s="5" customFormat="1" ht="30" customHeight="1" x14ac:dyDescent="0.25">
      <c r="A142" s="14" t="s">
        <v>11</v>
      </c>
      <c r="B142" s="16" t="s">
        <v>20</v>
      </c>
      <c r="C142" s="25" t="s">
        <v>61</v>
      </c>
      <c r="D142" s="12" t="s">
        <v>25</v>
      </c>
      <c r="E142" s="38">
        <v>0</v>
      </c>
      <c r="F142" s="39">
        <v>0</v>
      </c>
      <c r="G142" s="40">
        <v>0</v>
      </c>
      <c r="H142" s="41">
        <v>0</v>
      </c>
      <c r="I142" s="42">
        <f>SUM(E142:H142)</f>
        <v>0</v>
      </c>
      <c r="J142" s="103" t="str">
        <f>IFERROR(E142/$I142*100,"")</f>
        <v/>
      </c>
      <c r="K142" s="104" t="str">
        <f>IFERROR(F142/$I142*100,"")</f>
        <v/>
      </c>
      <c r="L142" s="105" t="str">
        <f>IFERROR(G142/$I142*100,"")</f>
        <v/>
      </c>
      <c r="M142" s="106" t="str">
        <f t="shared" si="44"/>
        <v/>
      </c>
      <c r="N142" s="5" t="s">
        <v>1671</v>
      </c>
    </row>
    <row r="143" spans="1:14" ht="5.0999999999999996" customHeight="1" x14ac:dyDescent="0.25">
      <c r="A143" s="14" t="s">
        <v>11</v>
      </c>
      <c r="B143" s="16" t="s">
        <v>20</v>
      </c>
      <c r="C143"/>
      <c r="D143" s="57"/>
      <c r="E143" s="59"/>
      <c r="F143" s="59"/>
      <c r="G143" s="59"/>
      <c r="H143" s="59"/>
      <c r="I143" s="59"/>
      <c r="J143" s="103"/>
      <c r="K143" s="104"/>
      <c r="L143" s="105"/>
      <c r="M143" s="106" t="str">
        <f t="shared" si="44"/>
        <v/>
      </c>
    </row>
    <row r="144" spans="1:14" s="5" customFormat="1" ht="20.100000000000001" customHeight="1" x14ac:dyDescent="0.25">
      <c r="A144" s="14" t="s">
        <v>11</v>
      </c>
      <c r="B144" s="16" t="s">
        <v>26</v>
      </c>
      <c r="C144" s="25" t="s">
        <v>60</v>
      </c>
      <c r="D144" s="6" t="s">
        <v>98</v>
      </c>
      <c r="E144" s="37"/>
      <c r="F144" s="37"/>
      <c r="G144" s="37"/>
      <c r="H144" s="37"/>
      <c r="I144" s="47"/>
      <c r="J144" s="103"/>
      <c r="K144" s="104"/>
      <c r="L144" s="105"/>
      <c r="M144" s="106" t="str">
        <f t="shared" si="44"/>
        <v/>
      </c>
      <c r="N144" s="5" t="s">
        <v>1673</v>
      </c>
    </row>
    <row r="145" spans="1:14" s="5" customFormat="1" ht="30" customHeight="1" x14ac:dyDescent="0.25">
      <c r="A145" s="14" t="s">
        <v>11</v>
      </c>
      <c r="B145" s="16" t="s">
        <v>26</v>
      </c>
      <c r="C145" s="25" t="s">
        <v>61</v>
      </c>
      <c r="D145" s="31" t="s">
        <v>21</v>
      </c>
      <c r="E145" s="38">
        <v>0</v>
      </c>
      <c r="F145" s="39">
        <v>0</v>
      </c>
      <c r="G145" s="40">
        <v>0</v>
      </c>
      <c r="H145" s="41">
        <v>0</v>
      </c>
      <c r="I145" s="42">
        <f t="shared" ref="I145:I152" si="45">SUM(E145:H145)</f>
        <v>0</v>
      </c>
      <c r="J145" s="103" t="str">
        <f t="shared" ref="J145:L152" si="46">IFERROR(E145/$I145*100,"")</f>
        <v/>
      </c>
      <c r="K145" s="104" t="str">
        <f t="shared" si="46"/>
        <v/>
      </c>
      <c r="L145" s="105" t="str">
        <f t="shared" si="46"/>
        <v/>
      </c>
      <c r="M145" s="106" t="str">
        <f t="shared" si="44"/>
        <v/>
      </c>
    </row>
    <row r="146" spans="1:14" s="5" customFormat="1" ht="30" customHeight="1" x14ac:dyDescent="0.25">
      <c r="A146" s="14" t="s">
        <v>11</v>
      </c>
      <c r="B146" s="16" t="s">
        <v>26</v>
      </c>
      <c r="C146" s="25" t="s">
        <v>61</v>
      </c>
      <c r="D146" s="31" t="s">
        <v>22</v>
      </c>
      <c r="E146" s="38">
        <v>0</v>
      </c>
      <c r="F146" s="39">
        <v>0</v>
      </c>
      <c r="G146" s="40">
        <v>0</v>
      </c>
      <c r="H146" s="41">
        <v>0</v>
      </c>
      <c r="I146" s="42">
        <f t="shared" si="45"/>
        <v>0</v>
      </c>
      <c r="J146" s="103" t="str">
        <f t="shared" si="46"/>
        <v/>
      </c>
      <c r="K146" s="104" t="str">
        <f t="shared" si="46"/>
        <v/>
      </c>
      <c r="L146" s="105" t="str">
        <f t="shared" si="46"/>
        <v/>
      </c>
      <c r="M146" s="106" t="str">
        <f t="shared" si="44"/>
        <v/>
      </c>
    </row>
    <row r="147" spans="1:14" s="5" customFormat="1" ht="30" customHeight="1" x14ac:dyDescent="0.25">
      <c r="A147" s="14" t="s">
        <v>11</v>
      </c>
      <c r="B147" s="16" t="s">
        <v>26</v>
      </c>
      <c r="C147" s="25" t="s">
        <v>61</v>
      </c>
      <c r="D147" s="31" t="s">
        <v>27</v>
      </c>
      <c r="E147" s="38">
        <v>0</v>
      </c>
      <c r="F147" s="39">
        <v>0</v>
      </c>
      <c r="G147" s="40">
        <v>0</v>
      </c>
      <c r="H147" s="41">
        <v>0</v>
      </c>
      <c r="I147" s="42">
        <f t="shared" si="45"/>
        <v>0</v>
      </c>
      <c r="J147" s="103" t="str">
        <f t="shared" si="46"/>
        <v/>
      </c>
      <c r="K147" s="104" t="str">
        <f t="shared" si="46"/>
        <v/>
      </c>
      <c r="L147" s="105" t="str">
        <f t="shared" si="46"/>
        <v/>
      </c>
      <c r="M147" s="106" t="str">
        <f t="shared" si="44"/>
        <v/>
      </c>
    </row>
    <row r="148" spans="1:14" s="5" customFormat="1" ht="30" customHeight="1" x14ac:dyDescent="0.25">
      <c r="A148" s="14" t="s">
        <v>11</v>
      </c>
      <c r="B148" s="16" t="s">
        <v>26</v>
      </c>
      <c r="C148" s="25" t="s">
        <v>61</v>
      </c>
      <c r="D148" s="31" t="s">
        <v>23</v>
      </c>
      <c r="E148" s="38">
        <v>0</v>
      </c>
      <c r="F148" s="39">
        <v>0</v>
      </c>
      <c r="G148" s="40">
        <v>0</v>
      </c>
      <c r="H148" s="41">
        <v>0</v>
      </c>
      <c r="I148" s="42">
        <f t="shared" si="45"/>
        <v>0</v>
      </c>
      <c r="J148" s="103" t="str">
        <f t="shared" si="46"/>
        <v/>
      </c>
      <c r="K148" s="104" t="str">
        <f t="shared" si="46"/>
        <v/>
      </c>
      <c r="L148" s="105" t="str">
        <f t="shared" si="46"/>
        <v/>
      </c>
      <c r="M148" s="106" t="str">
        <f t="shared" si="44"/>
        <v/>
      </c>
    </row>
    <row r="149" spans="1:14" s="5" customFormat="1" ht="30" customHeight="1" x14ac:dyDescent="0.25">
      <c r="A149" s="14" t="s">
        <v>11</v>
      </c>
      <c r="B149" s="16" t="s">
        <v>26</v>
      </c>
      <c r="C149" s="25" t="s">
        <v>61</v>
      </c>
      <c r="D149" s="31" t="s">
        <v>24</v>
      </c>
      <c r="E149" s="38">
        <v>0</v>
      </c>
      <c r="F149" s="39">
        <v>0</v>
      </c>
      <c r="G149" s="40">
        <v>0</v>
      </c>
      <c r="H149" s="41">
        <v>0</v>
      </c>
      <c r="I149" s="42">
        <f t="shared" si="45"/>
        <v>0</v>
      </c>
      <c r="J149" s="103" t="str">
        <f t="shared" si="46"/>
        <v/>
      </c>
      <c r="K149" s="104" t="str">
        <f t="shared" si="46"/>
        <v/>
      </c>
      <c r="L149" s="105" t="str">
        <f t="shared" si="46"/>
        <v/>
      </c>
      <c r="M149" s="106" t="str">
        <f t="shared" si="44"/>
        <v/>
      </c>
    </row>
    <row r="150" spans="1:14" s="3" customFormat="1" ht="30" customHeight="1" x14ac:dyDescent="0.25">
      <c r="A150" s="14" t="s">
        <v>11</v>
      </c>
      <c r="B150" s="16" t="s">
        <v>26</v>
      </c>
      <c r="C150" s="25" t="s">
        <v>61</v>
      </c>
      <c r="D150" s="31" t="s">
        <v>41</v>
      </c>
      <c r="E150" s="38">
        <v>0</v>
      </c>
      <c r="F150" s="39">
        <v>0</v>
      </c>
      <c r="G150" s="40">
        <v>0</v>
      </c>
      <c r="H150" s="41">
        <v>0</v>
      </c>
      <c r="I150" s="42">
        <f t="shared" si="45"/>
        <v>0</v>
      </c>
      <c r="J150" s="103" t="str">
        <f t="shared" si="46"/>
        <v/>
      </c>
      <c r="K150" s="104" t="str">
        <f t="shared" si="46"/>
        <v/>
      </c>
      <c r="L150" s="105" t="str">
        <f t="shared" si="46"/>
        <v/>
      </c>
      <c r="M150" s="106" t="str">
        <f t="shared" si="44"/>
        <v/>
      </c>
    </row>
    <row r="151" spans="1:14" s="5" customFormat="1" ht="30" customHeight="1" x14ac:dyDescent="0.25">
      <c r="A151" s="14" t="s">
        <v>11</v>
      </c>
      <c r="B151" s="16" t="s">
        <v>26</v>
      </c>
      <c r="C151" s="25" t="s">
        <v>61</v>
      </c>
      <c r="D151" s="31" t="s">
        <v>28</v>
      </c>
      <c r="E151" s="38">
        <v>0</v>
      </c>
      <c r="F151" s="39">
        <v>0</v>
      </c>
      <c r="G151" s="40">
        <v>0</v>
      </c>
      <c r="H151" s="41">
        <v>0</v>
      </c>
      <c r="I151" s="42">
        <f t="shared" si="45"/>
        <v>0</v>
      </c>
      <c r="J151" s="103" t="str">
        <f t="shared" si="46"/>
        <v/>
      </c>
      <c r="K151" s="104" t="str">
        <f t="shared" si="46"/>
        <v/>
      </c>
      <c r="L151" s="105" t="str">
        <f t="shared" si="46"/>
        <v/>
      </c>
      <c r="M151" s="106" t="str">
        <f t="shared" si="44"/>
        <v/>
      </c>
    </row>
    <row r="152" spans="1:14" s="5" customFormat="1" ht="30" customHeight="1" x14ac:dyDescent="0.25">
      <c r="A152" s="14" t="s">
        <v>11</v>
      </c>
      <c r="B152" s="16" t="s">
        <v>26</v>
      </c>
      <c r="C152" s="25" t="s">
        <v>61</v>
      </c>
      <c r="D152" s="31" t="s">
        <v>40</v>
      </c>
      <c r="E152" s="38">
        <v>0</v>
      </c>
      <c r="F152" s="39">
        <v>0</v>
      </c>
      <c r="G152" s="40">
        <v>0</v>
      </c>
      <c r="H152" s="41">
        <v>0</v>
      </c>
      <c r="I152" s="42">
        <f t="shared" si="45"/>
        <v>0</v>
      </c>
      <c r="J152" s="103" t="str">
        <f t="shared" si="46"/>
        <v/>
      </c>
      <c r="K152" s="104" t="str">
        <f t="shared" si="46"/>
        <v/>
      </c>
      <c r="L152" s="105" t="str">
        <f t="shared" si="46"/>
        <v/>
      </c>
      <c r="M152" s="106" t="str">
        <f t="shared" si="44"/>
        <v/>
      </c>
    </row>
    <row r="153" spans="1:14" s="5" customFormat="1" ht="30" customHeight="1" x14ac:dyDescent="0.25">
      <c r="A153" s="14" t="s">
        <v>11</v>
      </c>
      <c r="B153" s="16" t="s">
        <v>26</v>
      </c>
      <c r="C153" s="25"/>
      <c r="D153" s="9" t="s">
        <v>29</v>
      </c>
      <c r="E153" s="38">
        <f>SUM(E145:E152)</f>
        <v>0</v>
      </c>
      <c r="F153" s="39">
        <f t="shared" ref="F153" si="47">SUM(F145:F152)</f>
        <v>0</v>
      </c>
      <c r="G153" s="40">
        <f t="shared" ref="G153" si="48">SUM(G145:G152)</f>
        <v>0</v>
      </c>
      <c r="H153" s="41">
        <f t="shared" ref="H153" si="49">SUM(H145:H152)</f>
        <v>0</v>
      </c>
      <c r="I153" s="43">
        <f t="shared" ref="I153" si="50">SUM(I145:I152)</f>
        <v>0</v>
      </c>
      <c r="J153" s="103" t="str">
        <f>IFERROR(E153/SUM($E153:$H153)*100,"")</f>
        <v/>
      </c>
      <c r="K153" s="104" t="str">
        <f>IFERROR(F153/SUM($E153:$H153)*100,"")</f>
        <v/>
      </c>
      <c r="L153" s="105" t="str">
        <f>IFERROR(G153/SUM($E153:$H153)*100,"")</f>
        <v/>
      </c>
      <c r="M153" s="106" t="str">
        <f t="shared" si="44"/>
        <v/>
      </c>
      <c r="N153" s="5" t="s">
        <v>1671</v>
      </c>
    </row>
    <row r="154" spans="1:14" ht="5.0999999999999996" customHeight="1" x14ac:dyDescent="0.25">
      <c r="A154" s="14" t="s">
        <v>11</v>
      </c>
      <c r="B154" s="16" t="s">
        <v>26</v>
      </c>
      <c r="C154"/>
      <c r="D154" s="57"/>
      <c r="E154" s="59"/>
      <c r="F154" s="59"/>
      <c r="G154" s="59"/>
      <c r="H154" s="59"/>
      <c r="I154" s="59"/>
      <c r="J154" s="103"/>
      <c r="K154" s="104"/>
      <c r="L154" s="105"/>
      <c r="M154" s="106" t="str">
        <f t="shared" si="44"/>
        <v/>
      </c>
    </row>
    <row r="155" spans="1:14" s="5" customFormat="1" ht="20.100000000000001" customHeight="1" x14ac:dyDescent="0.25">
      <c r="A155" s="14" t="s">
        <v>11</v>
      </c>
      <c r="B155" s="16" t="s">
        <v>64</v>
      </c>
      <c r="C155" s="25" t="s">
        <v>60</v>
      </c>
      <c r="D155" s="6" t="s">
        <v>65</v>
      </c>
      <c r="E155" s="37"/>
      <c r="F155" s="37"/>
      <c r="G155" s="37"/>
      <c r="H155" s="37"/>
      <c r="I155" s="48"/>
      <c r="J155" s="103"/>
      <c r="K155" s="104"/>
      <c r="L155" s="105"/>
      <c r="M155" s="106" t="str">
        <f t="shared" si="44"/>
        <v/>
      </c>
      <c r="N155" s="5" t="s">
        <v>1673</v>
      </c>
    </row>
    <row r="156" spans="1:14" s="5" customFormat="1" ht="30" customHeight="1" x14ac:dyDescent="0.25">
      <c r="A156" s="14" t="s">
        <v>11</v>
      </c>
      <c r="B156" s="16" t="s">
        <v>64</v>
      </c>
      <c r="C156" s="25" t="s">
        <v>61</v>
      </c>
      <c r="D156" s="12" t="s">
        <v>66</v>
      </c>
      <c r="E156" s="38">
        <v>0</v>
      </c>
      <c r="F156" s="39">
        <v>0</v>
      </c>
      <c r="G156" s="40">
        <v>0</v>
      </c>
      <c r="H156" s="41">
        <v>0</v>
      </c>
      <c r="I156" s="42">
        <f>SUM(E156:H156)</f>
        <v>0</v>
      </c>
      <c r="J156" s="103" t="str">
        <f>IFERROR(E156/$I156*100,"")</f>
        <v/>
      </c>
      <c r="K156" s="104" t="str">
        <f>IFERROR(F156/$I156*100,"")</f>
        <v/>
      </c>
      <c r="L156" s="105" t="str">
        <f>IFERROR(G156/$I156*100,"")</f>
        <v/>
      </c>
      <c r="M156" s="106" t="str">
        <f t="shared" si="44"/>
        <v/>
      </c>
      <c r="N156" s="5" t="s">
        <v>1671</v>
      </c>
    </row>
    <row r="157" spans="1:14" ht="5.0999999999999996" customHeight="1" x14ac:dyDescent="0.25">
      <c r="A157" s="14" t="s">
        <v>11</v>
      </c>
      <c r="B157" s="16" t="s">
        <v>64</v>
      </c>
      <c r="C157"/>
      <c r="D157" s="57"/>
      <c r="E157" s="59"/>
      <c r="F157" s="59"/>
      <c r="G157" s="59"/>
      <c r="H157" s="59"/>
      <c r="I157" s="59"/>
      <c r="J157" s="103"/>
      <c r="K157" s="104"/>
      <c r="L157" s="105"/>
      <c r="M157" s="106" t="str">
        <f t="shared" si="44"/>
        <v/>
      </c>
    </row>
    <row r="158" spans="1:14" s="5" customFormat="1" ht="20.100000000000001" customHeight="1" x14ac:dyDescent="0.25">
      <c r="A158" s="14" t="s">
        <v>11</v>
      </c>
      <c r="B158" s="16" t="s">
        <v>55</v>
      </c>
      <c r="C158" s="25" t="s">
        <v>60</v>
      </c>
      <c r="D158" s="6" t="s">
        <v>55</v>
      </c>
      <c r="E158" s="37"/>
      <c r="F158" s="37"/>
      <c r="G158" s="37"/>
      <c r="H158" s="37"/>
      <c r="I158" s="48"/>
      <c r="J158" s="103"/>
      <c r="K158" s="104"/>
      <c r="L158" s="105"/>
      <c r="M158" s="106" t="str">
        <f t="shared" si="44"/>
        <v/>
      </c>
      <c r="N158" s="5" t="s">
        <v>1673</v>
      </c>
    </row>
    <row r="159" spans="1:14" s="3" customFormat="1" ht="30" customHeight="1" x14ac:dyDescent="0.25">
      <c r="A159" s="14" t="s">
        <v>11</v>
      </c>
      <c r="B159" s="16" t="s">
        <v>55</v>
      </c>
      <c r="C159" s="25" t="s">
        <v>61</v>
      </c>
      <c r="D159" s="12" t="s">
        <v>56</v>
      </c>
      <c r="E159" s="38">
        <v>0</v>
      </c>
      <c r="F159" s="39">
        <v>0</v>
      </c>
      <c r="G159" s="40">
        <v>0</v>
      </c>
      <c r="H159" s="41">
        <v>0</v>
      </c>
      <c r="I159" s="42">
        <f>SUM(E159:H159)</f>
        <v>0</v>
      </c>
      <c r="J159" s="103" t="str">
        <f t="shared" ref="J159:L161" si="51">IFERROR(E159/$I159*100,"")</f>
        <v/>
      </c>
      <c r="K159" s="104" t="str">
        <f t="shared" si="51"/>
        <v/>
      </c>
      <c r="L159" s="105" t="str">
        <f t="shared" si="51"/>
        <v/>
      </c>
      <c r="M159" s="106" t="str">
        <f t="shared" si="44"/>
        <v/>
      </c>
      <c r="N159" s="5"/>
    </row>
    <row r="160" spans="1:14" s="3" customFormat="1" ht="30" customHeight="1" x14ac:dyDescent="0.25">
      <c r="A160" s="14" t="s">
        <v>11</v>
      </c>
      <c r="B160" s="16" t="s">
        <v>55</v>
      </c>
      <c r="C160" s="25" t="s">
        <v>61</v>
      </c>
      <c r="D160" s="12" t="s">
        <v>57</v>
      </c>
      <c r="E160" s="38">
        <v>0</v>
      </c>
      <c r="F160" s="39">
        <v>0</v>
      </c>
      <c r="G160" s="40">
        <v>0</v>
      </c>
      <c r="H160" s="41">
        <v>0</v>
      </c>
      <c r="I160" s="42">
        <f>SUM(E160:H160)</f>
        <v>0</v>
      </c>
      <c r="J160" s="103" t="str">
        <f t="shared" si="51"/>
        <v/>
      </c>
      <c r="K160" s="104" t="str">
        <f t="shared" si="51"/>
        <v/>
      </c>
      <c r="L160" s="105" t="str">
        <f t="shared" si="51"/>
        <v/>
      </c>
      <c r="M160" s="106" t="str">
        <f t="shared" si="44"/>
        <v/>
      </c>
    </row>
    <row r="161" spans="1:14" s="3" customFormat="1" ht="30" customHeight="1" x14ac:dyDescent="0.25">
      <c r="A161" s="14" t="s">
        <v>11</v>
      </c>
      <c r="B161" s="16" t="s">
        <v>55</v>
      </c>
      <c r="C161" s="25"/>
      <c r="D161" s="91" t="s">
        <v>29</v>
      </c>
      <c r="E161" s="38">
        <f>SUM(E159:E160)</f>
        <v>0</v>
      </c>
      <c r="F161" s="39">
        <f t="shared" ref="F161" si="52">SUM(F159:F160)</f>
        <v>0</v>
      </c>
      <c r="G161" s="40">
        <f t="shared" ref="G161" si="53">SUM(G159:G160)</f>
        <v>0</v>
      </c>
      <c r="H161" s="41">
        <f t="shared" ref="H161" si="54">SUM(H159:H160)</f>
        <v>0</v>
      </c>
      <c r="I161" s="42">
        <f t="shared" ref="I161" si="55">SUM(I159:I160)</f>
        <v>0</v>
      </c>
      <c r="J161" s="103" t="str">
        <f t="shared" si="51"/>
        <v/>
      </c>
      <c r="K161" s="104" t="str">
        <f t="shared" si="51"/>
        <v/>
      </c>
      <c r="L161" s="105" t="str">
        <f t="shared" si="51"/>
        <v/>
      </c>
      <c r="M161" s="106" t="str">
        <f t="shared" si="44"/>
        <v/>
      </c>
      <c r="N161" s="5" t="s">
        <v>1671</v>
      </c>
    </row>
    <row r="162" spans="1:14" ht="5.0999999999999996" customHeight="1" x14ac:dyDescent="0.25">
      <c r="A162" s="14" t="s">
        <v>11</v>
      </c>
      <c r="B162" s="16" t="s">
        <v>55</v>
      </c>
      <c r="C162"/>
      <c r="D162" s="57"/>
      <c r="E162" s="59"/>
      <c r="F162" s="59"/>
      <c r="G162" s="59"/>
      <c r="H162" s="59"/>
      <c r="I162" s="59"/>
      <c r="J162" s="103"/>
      <c r="K162" s="104"/>
      <c r="L162" s="105"/>
      <c r="M162" s="106" t="str">
        <f t="shared" si="44"/>
        <v/>
      </c>
    </row>
    <row r="163" spans="1:14" s="5" customFormat="1" ht="20.100000000000001" customHeight="1" x14ac:dyDescent="0.25">
      <c r="A163" s="14" t="s">
        <v>11</v>
      </c>
      <c r="B163" s="16" t="s">
        <v>74</v>
      </c>
      <c r="C163" s="25" t="s">
        <v>60</v>
      </c>
      <c r="D163" s="6" t="s">
        <v>75</v>
      </c>
      <c r="E163" s="37"/>
      <c r="F163" s="37"/>
      <c r="G163" s="37"/>
      <c r="H163" s="37"/>
      <c r="I163" s="48"/>
      <c r="J163" s="103"/>
      <c r="K163" s="104"/>
      <c r="L163" s="105"/>
      <c r="M163" s="106" t="str">
        <f t="shared" si="44"/>
        <v/>
      </c>
      <c r="N163" s="5" t="s">
        <v>1673</v>
      </c>
    </row>
    <row r="164" spans="1:14" s="3" customFormat="1" ht="30" customHeight="1" x14ac:dyDescent="0.25">
      <c r="A164" s="14" t="s">
        <v>11</v>
      </c>
      <c r="B164" s="16" t="s">
        <v>74</v>
      </c>
      <c r="C164" s="25" t="s">
        <v>61</v>
      </c>
      <c r="D164" s="12" t="s">
        <v>77</v>
      </c>
      <c r="E164" s="38">
        <v>0</v>
      </c>
      <c r="F164" s="39">
        <v>0</v>
      </c>
      <c r="G164" s="40">
        <v>0</v>
      </c>
      <c r="H164" s="41">
        <v>0</v>
      </c>
      <c r="I164" s="42">
        <f>SUM(E164:H164)</f>
        <v>0</v>
      </c>
      <c r="J164" s="103" t="str">
        <f>IFERROR(E164/$I164*100,"")</f>
        <v/>
      </c>
      <c r="K164" s="104" t="str">
        <f>IFERROR(F164/$I164*100,"")</f>
        <v/>
      </c>
      <c r="L164" s="105" t="str">
        <f>IFERROR(G164/$I164*100,"")</f>
        <v/>
      </c>
      <c r="M164" s="106" t="str">
        <f t="shared" si="44"/>
        <v/>
      </c>
      <c r="N164" s="3" t="s">
        <v>1671</v>
      </c>
    </row>
    <row r="165" spans="1:14" ht="5.0999999999999996" customHeight="1" x14ac:dyDescent="0.25">
      <c r="A165" s="14" t="s">
        <v>11</v>
      </c>
      <c r="B165" s="16" t="s">
        <v>74</v>
      </c>
      <c r="C165"/>
      <c r="D165" s="57"/>
      <c r="E165" s="59"/>
      <c r="F165" s="59"/>
      <c r="G165" s="59"/>
      <c r="H165" s="59"/>
      <c r="I165" s="59"/>
      <c r="J165" s="103"/>
      <c r="K165" s="104"/>
      <c r="L165" s="105"/>
      <c r="M165" s="106" t="str">
        <f t="shared" si="44"/>
        <v/>
      </c>
    </row>
    <row r="166" spans="1:14" s="5" customFormat="1" ht="20.100000000000001" customHeight="1" x14ac:dyDescent="0.25">
      <c r="A166" s="14" t="s">
        <v>11</v>
      </c>
      <c r="B166" s="16" t="s">
        <v>78</v>
      </c>
      <c r="C166" s="25" t="s">
        <v>60</v>
      </c>
      <c r="D166" s="6" t="s">
        <v>80</v>
      </c>
      <c r="E166" s="37"/>
      <c r="F166" s="37"/>
      <c r="G166" s="37"/>
      <c r="H166" s="37"/>
      <c r="I166" s="48"/>
      <c r="J166" s="103"/>
      <c r="K166" s="104"/>
      <c r="L166" s="105"/>
      <c r="M166" s="106" t="str">
        <f t="shared" si="44"/>
        <v/>
      </c>
      <c r="N166" s="5" t="s">
        <v>1673</v>
      </c>
    </row>
    <row r="167" spans="1:14" s="5" customFormat="1" ht="30" customHeight="1" x14ac:dyDescent="0.25">
      <c r="A167" s="14" t="s">
        <v>11</v>
      </c>
      <c r="B167" s="16" t="s">
        <v>78</v>
      </c>
      <c r="C167" s="25" t="s">
        <v>61</v>
      </c>
      <c r="D167" s="81" t="s">
        <v>81</v>
      </c>
      <c r="E167" s="38">
        <v>0</v>
      </c>
      <c r="F167" s="39">
        <v>0</v>
      </c>
      <c r="G167" s="40">
        <v>0</v>
      </c>
      <c r="H167" s="41">
        <v>0</v>
      </c>
      <c r="I167" s="42">
        <f t="shared" ref="I167:I173" si="56">SUM(E167:H167)</f>
        <v>0</v>
      </c>
      <c r="J167" s="103" t="str">
        <f t="shared" ref="J167:L173" si="57">IFERROR(E167/$I167*100,"")</f>
        <v/>
      </c>
      <c r="K167" s="104" t="str">
        <f t="shared" si="57"/>
        <v/>
      </c>
      <c r="L167" s="105" t="str">
        <f t="shared" si="57"/>
        <v/>
      </c>
      <c r="M167" s="106" t="str">
        <f t="shared" si="44"/>
        <v/>
      </c>
    </row>
    <row r="168" spans="1:14" s="5" customFormat="1" ht="30" customHeight="1" x14ac:dyDescent="0.25">
      <c r="A168" s="14" t="s">
        <v>11</v>
      </c>
      <c r="B168" s="16" t="s">
        <v>78</v>
      </c>
      <c r="C168" s="25" t="s">
        <v>61</v>
      </c>
      <c r="D168" s="81" t="s">
        <v>82</v>
      </c>
      <c r="E168" s="38">
        <v>0</v>
      </c>
      <c r="F168" s="39">
        <v>0</v>
      </c>
      <c r="G168" s="40">
        <v>0</v>
      </c>
      <c r="H168" s="41">
        <v>0</v>
      </c>
      <c r="I168" s="42">
        <f t="shared" si="56"/>
        <v>0</v>
      </c>
      <c r="J168" s="103" t="str">
        <f t="shared" si="57"/>
        <v/>
      </c>
      <c r="K168" s="104" t="str">
        <f t="shared" si="57"/>
        <v/>
      </c>
      <c r="L168" s="105" t="str">
        <f t="shared" si="57"/>
        <v/>
      </c>
      <c r="M168" s="106" t="str">
        <f t="shared" si="44"/>
        <v/>
      </c>
    </row>
    <row r="169" spans="1:14" s="5" customFormat="1" ht="30" customHeight="1" x14ac:dyDescent="0.25">
      <c r="A169" s="14" t="s">
        <v>11</v>
      </c>
      <c r="B169" s="16" t="s">
        <v>78</v>
      </c>
      <c r="C169" s="25" t="s">
        <v>61</v>
      </c>
      <c r="D169" s="81" t="s">
        <v>83</v>
      </c>
      <c r="E169" s="38">
        <v>0</v>
      </c>
      <c r="F169" s="39">
        <v>0</v>
      </c>
      <c r="G169" s="40">
        <v>0</v>
      </c>
      <c r="H169" s="41">
        <v>0</v>
      </c>
      <c r="I169" s="42">
        <f t="shared" si="56"/>
        <v>0</v>
      </c>
      <c r="J169" s="103" t="str">
        <f t="shared" si="57"/>
        <v/>
      </c>
      <c r="K169" s="104" t="str">
        <f t="shared" si="57"/>
        <v/>
      </c>
      <c r="L169" s="105" t="str">
        <f t="shared" si="57"/>
        <v/>
      </c>
      <c r="M169" s="106" t="str">
        <f t="shared" si="44"/>
        <v/>
      </c>
    </row>
    <row r="170" spans="1:14" s="5" customFormat="1" ht="30" customHeight="1" x14ac:dyDescent="0.25">
      <c r="A170" s="14" t="s">
        <v>11</v>
      </c>
      <c r="B170" s="16" t="s">
        <v>78</v>
      </c>
      <c r="C170" s="25" t="s">
        <v>61</v>
      </c>
      <c r="D170" s="81" t="s">
        <v>88</v>
      </c>
      <c r="E170" s="38">
        <v>0</v>
      </c>
      <c r="F170" s="39">
        <v>0</v>
      </c>
      <c r="G170" s="40">
        <v>0</v>
      </c>
      <c r="H170" s="41">
        <v>0</v>
      </c>
      <c r="I170" s="42">
        <f t="shared" si="56"/>
        <v>0</v>
      </c>
      <c r="J170" s="103" t="str">
        <f t="shared" si="57"/>
        <v/>
      </c>
      <c r="K170" s="104" t="str">
        <f t="shared" si="57"/>
        <v/>
      </c>
      <c r="L170" s="105" t="str">
        <f t="shared" si="57"/>
        <v/>
      </c>
      <c r="M170" s="106" t="str">
        <f t="shared" si="44"/>
        <v/>
      </c>
    </row>
    <row r="171" spans="1:14" s="5" customFormat="1" ht="30" customHeight="1" x14ac:dyDescent="0.25">
      <c r="A171" s="14" t="s">
        <v>11</v>
      </c>
      <c r="B171" s="16" t="s">
        <v>78</v>
      </c>
      <c r="C171" s="25" t="s">
        <v>61</v>
      </c>
      <c r="D171" s="81" t="s">
        <v>87</v>
      </c>
      <c r="E171" s="38">
        <v>0</v>
      </c>
      <c r="F171" s="39">
        <v>0</v>
      </c>
      <c r="G171" s="40">
        <v>0</v>
      </c>
      <c r="H171" s="41">
        <v>0</v>
      </c>
      <c r="I171" s="42">
        <f t="shared" si="56"/>
        <v>0</v>
      </c>
      <c r="J171" s="103" t="str">
        <f t="shared" si="57"/>
        <v/>
      </c>
      <c r="K171" s="104" t="str">
        <f t="shared" si="57"/>
        <v/>
      </c>
      <c r="L171" s="105" t="str">
        <f t="shared" si="57"/>
        <v/>
      </c>
      <c r="M171" s="106" t="str">
        <f t="shared" si="44"/>
        <v/>
      </c>
    </row>
    <row r="172" spans="1:14" s="5" customFormat="1" ht="30" customHeight="1" x14ac:dyDescent="0.25">
      <c r="A172" s="14" t="s">
        <v>11</v>
      </c>
      <c r="B172" s="16" t="s">
        <v>78</v>
      </c>
      <c r="C172" s="25" t="s">
        <v>61</v>
      </c>
      <c r="D172" s="81" t="s">
        <v>84</v>
      </c>
      <c r="E172" s="38">
        <v>0</v>
      </c>
      <c r="F172" s="39">
        <v>0</v>
      </c>
      <c r="G172" s="40">
        <v>0</v>
      </c>
      <c r="H172" s="41">
        <v>0</v>
      </c>
      <c r="I172" s="42">
        <f t="shared" si="56"/>
        <v>0</v>
      </c>
      <c r="J172" s="103" t="str">
        <f t="shared" si="57"/>
        <v/>
      </c>
      <c r="K172" s="104" t="str">
        <f t="shared" si="57"/>
        <v/>
      </c>
      <c r="L172" s="105" t="str">
        <f t="shared" si="57"/>
        <v/>
      </c>
      <c r="M172" s="106" t="str">
        <f t="shared" si="44"/>
        <v/>
      </c>
    </row>
    <row r="173" spans="1:14" s="5" customFormat="1" ht="30" customHeight="1" x14ac:dyDescent="0.25">
      <c r="A173" s="14" t="s">
        <v>11</v>
      </c>
      <c r="B173" s="16" t="s">
        <v>78</v>
      </c>
      <c r="C173" s="25" t="s">
        <v>86</v>
      </c>
      <c r="D173" s="81" t="s">
        <v>79</v>
      </c>
      <c r="E173" s="38">
        <v>0</v>
      </c>
      <c r="F173" s="39">
        <v>0</v>
      </c>
      <c r="G173" s="40">
        <v>0</v>
      </c>
      <c r="H173" s="41">
        <v>0</v>
      </c>
      <c r="I173" s="42">
        <f t="shared" si="56"/>
        <v>0</v>
      </c>
      <c r="J173" s="103" t="str">
        <f t="shared" si="57"/>
        <v/>
      </c>
      <c r="K173" s="104" t="str">
        <f t="shared" si="57"/>
        <v/>
      </c>
      <c r="L173" s="105" t="str">
        <f t="shared" si="57"/>
        <v/>
      </c>
      <c r="M173" s="106" t="str">
        <f t="shared" si="44"/>
        <v/>
      </c>
      <c r="N173" s="5" t="s">
        <v>1671</v>
      </c>
    </row>
    <row r="174" spans="1:14" ht="5.0999999999999996" customHeight="1" x14ac:dyDescent="0.25">
      <c r="A174" s="14" t="s">
        <v>11</v>
      </c>
      <c r="B174" s="16" t="s">
        <v>78</v>
      </c>
      <c r="C174"/>
      <c r="D174" s="57"/>
      <c r="E174" s="59"/>
      <c r="F174" s="59"/>
      <c r="G174" s="59"/>
      <c r="H174" s="59"/>
      <c r="I174" s="59"/>
      <c r="J174" s="103"/>
      <c r="K174" s="104"/>
      <c r="L174" s="105"/>
      <c r="M174" s="106" t="str">
        <f t="shared" si="44"/>
        <v/>
      </c>
    </row>
    <row r="175" spans="1:14" s="5" customFormat="1" ht="20.100000000000001" customHeight="1" x14ac:dyDescent="0.25">
      <c r="A175" s="14" t="s">
        <v>11</v>
      </c>
      <c r="B175" s="16" t="s">
        <v>91</v>
      </c>
      <c r="C175" s="25" t="s">
        <v>60</v>
      </c>
      <c r="D175" s="6" t="s">
        <v>89</v>
      </c>
      <c r="E175" s="37"/>
      <c r="F175" s="37"/>
      <c r="G175" s="37"/>
      <c r="H175" s="37"/>
      <c r="I175" s="48"/>
      <c r="J175" s="103"/>
      <c r="K175" s="104"/>
      <c r="L175" s="105"/>
      <c r="M175" s="106" t="str">
        <f t="shared" si="44"/>
        <v/>
      </c>
      <c r="N175" s="5" t="s">
        <v>1673</v>
      </c>
    </row>
    <row r="176" spans="1:14" s="5" customFormat="1" ht="30" customHeight="1" x14ac:dyDescent="0.25">
      <c r="A176" s="14" t="s">
        <v>11</v>
      </c>
      <c r="B176" s="16" t="s">
        <v>91</v>
      </c>
      <c r="C176" s="25" t="s">
        <v>61</v>
      </c>
      <c r="D176" s="82" t="s">
        <v>90</v>
      </c>
      <c r="E176" s="38">
        <v>0</v>
      </c>
      <c r="F176" s="39">
        <v>0</v>
      </c>
      <c r="G176" s="40">
        <v>0</v>
      </c>
      <c r="H176" s="41">
        <v>0</v>
      </c>
      <c r="I176" s="42">
        <f t="shared" ref="I176" si="58">SUM(E176:H176)</f>
        <v>0</v>
      </c>
      <c r="J176" s="103" t="str">
        <f>IFERROR(E176/$I176*100,"")</f>
        <v/>
      </c>
      <c r="K176" s="104" t="str">
        <f>IFERROR(F176/$I176*100,"")</f>
        <v/>
      </c>
      <c r="L176" s="105" t="str">
        <f>IFERROR(G176/$I176*100,"")</f>
        <v/>
      </c>
      <c r="M176" s="106" t="str">
        <f t="shared" si="44"/>
        <v/>
      </c>
      <c r="N176" s="5" t="s">
        <v>1671</v>
      </c>
    </row>
    <row r="177" spans="1:14" ht="5.0999999999999996" customHeight="1" x14ac:dyDescent="0.25">
      <c r="A177" s="14" t="s">
        <v>11</v>
      </c>
      <c r="B177" s="16" t="s">
        <v>91</v>
      </c>
      <c r="C177"/>
      <c r="D177" s="57"/>
      <c r="E177" s="59"/>
      <c r="F177" s="59"/>
      <c r="G177" s="59"/>
      <c r="H177" s="59"/>
      <c r="I177" s="59"/>
      <c r="J177" s="103"/>
      <c r="K177" s="104"/>
      <c r="L177" s="105"/>
      <c r="M177" s="106" t="str">
        <f t="shared" si="44"/>
        <v/>
      </c>
    </row>
    <row r="178" spans="1:14" s="5" customFormat="1" ht="20.100000000000001" customHeight="1" x14ac:dyDescent="0.25">
      <c r="A178" s="14" t="s">
        <v>11</v>
      </c>
      <c r="B178" s="16" t="s">
        <v>1916</v>
      </c>
      <c r="C178" s="25" t="s">
        <v>60</v>
      </c>
      <c r="D178" s="6" t="s">
        <v>1853</v>
      </c>
      <c r="E178" s="37"/>
      <c r="F178" s="37"/>
      <c r="G178" s="37"/>
      <c r="H178" s="37"/>
      <c r="I178" s="48"/>
      <c r="J178" s="103"/>
      <c r="K178" s="104"/>
      <c r="L178" s="105"/>
      <c r="M178" s="106" t="str">
        <f t="shared" si="44"/>
        <v/>
      </c>
      <c r="N178" s="5" t="s">
        <v>1673</v>
      </c>
    </row>
    <row r="179" spans="1:14" s="5" customFormat="1" ht="30" customHeight="1" x14ac:dyDescent="0.25">
      <c r="A179" s="14" t="s">
        <v>11</v>
      </c>
      <c r="B179" s="16" t="s">
        <v>1916</v>
      </c>
      <c r="C179" s="25" t="s">
        <v>61</v>
      </c>
      <c r="D179" s="175" t="s">
        <v>1917</v>
      </c>
      <c r="E179" s="38">
        <v>0</v>
      </c>
      <c r="F179" s="39">
        <v>0</v>
      </c>
      <c r="G179" s="40">
        <v>0</v>
      </c>
      <c r="H179" s="41">
        <v>0</v>
      </c>
      <c r="I179" s="42">
        <f t="shared" ref="I179" si="59">SUM(E179:H179)</f>
        <v>0</v>
      </c>
      <c r="J179" s="103" t="str">
        <f>IFERROR(E179/$I179*100,"")</f>
        <v/>
      </c>
      <c r="K179" s="104" t="str">
        <f>IFERROR(F179/$I179*100,"")</f>
        <v/>
      </c>
      <c r="L179" s="105" t="str">
        <f>IFERROR(G179/$I179*100,"")</f>
        <v/>
      </c>
      <c r="M179" s="106" t="str">
        <f t="shared" si="44"/>
        <v/>
      </c>
      <c r="N179" s="5" t="s">
        <v>1671</v>
      </c>
    </row>
    <row r="180" spans="1:14" ht="5.0999999999999996" customHeight="1" x14ac:dyDescent="0.25">
      <c r="A180" s="14" t="s">
        <v>11</v>
      </c>
      <c r="B180" s="16" t="s">
        <v>1916</v>
      </c>
      <c r="C180"/>
      <c r="D180" s="57"/>
      <c r="E180" s="59"/>
      <c r="F180" s="59"/>
      <c r="G180" s="59"/>
      <c r="H180" s="59"/>
      <c r="I180" s="59"/>
      <c r="J180" s="103"/>
      <c r="K180" s="104"/>
      <c r="L180" s="105"/>
      <c r="M180" s="106" t="str">
        <f t="shared" si="44"/>
        <v/>
      </c>
    </row>
    <row r="181" spans="1:14" s="5" customFormat="1" ht="20.100000000000001" customHeight="1" x14ac:dyDescent="0.25">
      <c r="A181" s="14" t="s">
        <v>11</v>
      </c>
      <c r="B181" s="16" t="s">
        <v>1637</v>
      </c>
      <c r="C181" s="25" t="s">
        <v>60</v>
      </c>
      <c r="D181" s="6" t="s">
        <v>1636</v>
      </c>
      <c r="E181" s="37"/>
      <c r="F181" s="37"/>
      <c r="G181" s="37"/>
      <c r="H181" s="37"/>
      <c r="I181" s="48"/>
      <c r="J181" s="103"/>
      <c r="K181" s="104"/>
      <c r="L181" s="105"/>
      <c r="M181" s="106" t="str">
        <f t="shared" si="44"/>
        <v/>
      </c>
      <c r="N181" s="5" t="s">
        <v>1673</v>
      </c>
    </row>
    <row r="182" spans="1:14" s="3" customFormat="1" ht="30" customHeight="1" x14ac:dyDescent="0.25">
      <c r="A182" s="14" t="s">
        <v>11</v>
      </c>
      <c r="B182" s="16" t="s">
        <v>1637</v>
      </c>
      <c r="C182" s="25" t="s">
        <v>61</v>
      </c>
      <c r="D182" s="87" t="s">
        <v>1638</v>
      </c>
      <c r="E182" s="38">
        <v>0</v>
      </c>
      <c r="F182" s="39">
        <v>0</v>
      </c>
      <c r="G182" s="40">
        <v>0</v>
      </c>
      <c r="H182" s="41">
        <v>0</v>
      </c>
      <c r="I182" s="42">
        <f t="shared" ref="I182:I187" si="60">SUM(E182:H182)</f>
        <v>0</v>
      </c>
      <c r="J182" s="103" t="str">
        <f t="shared" ref="J182:L186" si="61">IFERROR(E182/$I182*100,"")</f>
        <v/>
      </c>
      <c r="K182" s="104" t="str">
        <f t="shared" si="61"/>
        <v/>
      </c>
      <c r="L182" s="105" t="str">
        <f t="shared" si="61"/>
        <v/>
      </c>
      <c r="M182" s="106" t="str">
        <f t="shared" si="44"/>
        <v/>
      </c>
    </row>
    <row r="183" spans="1:14" s="3" customFormat="1" ht="30" customHeight="1" x14ac:dyDescent="0.25">
      <c r="A183" s="14" t="s">
        <v>11</v>
      </c>
      <c r="B183" s="16" t="s">
        <v>1637</v>
      </c>
      <c r="C183" s="25" t="s">
        <v>61</v>
      </c>
      <c r="D183" s="87" t="s">
        <v>1669</v>
      </c>
      <c r="E183" s="38">
        <v>0</v>
      </c>
      <c r="F183" s="39">
        <v>0</v>
      </c>
      <c r="G183" s="40">
        <v>0</v>
      </c>
      <c r="H183" s="41">
        <v>0</v>
      </c>
      <c r="I183" s="42">
        <f t="shared" si="60"/>
        <v>0</v>
      </c>
      <c r="J183" s="103" t="str">
        <f t="shared" si="61"/>
        <v/>
      </c>
      <c r="K183" s="104" t="str">
        <f t="shared" si="61"/>
        <v/>
      </c>
      <c r="L183" s="105" t="str">
        <f t="shared" si="61"/>
        <v/>
      </c>
      <c r="M183" s="106" t="str">
        <f t="shared" si="44"/>
        <v/>
      </c>
    </row>
    <row r="184" spans="1:14" s="3" customFormat="1" ht="30" customHeight="1" x14ac:dyDescent="0.25">
      <c r="A184" s="14" t="s">
        <v>11</v>
      </c>
      <c r="B184" s="16" t="s">
        <v>1637</v>
      </c>
      <c r="C184" s="25" t="s">
        <v>61</v>
      </c>
      <c r="D184" s="87" t="s">
        <v>1640</v>
      </c>
      <c r="E184" s="38">
        <v>0</v>
      </c>
      <c r="F184" s="39">
        <v>0</v>
      </c>
      <c r="G184" s="40">
        <v>0</v>
      </c>
      <c r="H184" s="41">
        <v>0</v>
      </c>
      <c r="I184" s="42">
        <f t="shared" si="60"/>
        <v>0</v>
      </c>
      <c r="J184" s="103" t="str">
        <f t="shared" si="61"/>
        <v/>
      </c>
      <c r="K184" s="104" t="str">
        <f t="shared" si="61"/>
        <v/>
      </c>
      <c r="L184" s="105" t="str">
        <f t="shared" si="61"/>
        <v/>
      </c>
      <c r="M184" s="106" t="str">
        <f t="shared" si="44"/>
        <v/>
      </c>
    </row>
    <row r="185" spans="1:14" s="3" customFormat="1" ht="30" customHeight="1" x14ac:dyDescent="0.25">
      <c r="A185" s="14" t="s">
        <v>11</v>
      </c>
      <c r="B185" s="16" t="s">
        <v>1637</v>
      </c>
      <c r="C185" s="25" t="s">
        <v>61</v>
      </c>
      <c r="D185" s="87" t="s">
        <v>1639</v>
      </c>
      <c r="E185" s="38">
        <v>0</v>
      </c>
      <c r="F185" s="39">
        <v>0</v>
      </c>
      <c r="G185" s="40">
        <v>0</v>
      </c>
      <c r="H185" s="41">
        <v>0</v>
      </c>
      <c r="I185" s="42">
        <f t="shared" si="60"/>
        <v>0</v>
      </c>
      <c r="J185" s="103" t="str">
        <f t="shared" si="61"/>
        <v/>
      </c>
      <c r="K185" s="104" t="str">
        <f t="shared" si="61"/>
        <v/>
      </c>
      <c r="L185" s="105" t="str">
        <f t="shared" si="61"/>
        <v/>
      </c>
      <c r="M185" s="106" t="str">
        <f t="shared" si="44"/>
        <v/>
      </c>
    </row>
    <row r="186" spans="1:14" s="3" customFormat="1" ht="30" customHeight="1" x14ac:dyDescent="0.25">
      <c r="A186" s="14" t="s">
        <v>11</v>
      </c>
      <c r="B186" s="16" t="s">
        <v>1637</v>
      </c>
      <c r="C186" s="25" t="s">
        <v>61</v>
      </c>
      <c r="D186" s="87" t="s">
        <v>1641</v>
      </c>
      <c r="E186" s="38">
        <v>0</v>
      </c>
      <c r="F186" s="39">
        <v>0</v>
      </c>
      <c r="G186" s="40">
        <v>0</v>
      </c>
      <c r="H186" s="41">
        <v>0</v>
      </c>
      <c r="I186" s="42">
        <f t="shared" si="60"/>
        <v>0</v>
      </c>
      <c r="J186" s="103" t="str">
        <f t="shared" si="61"/>
        <v/>
      </c>
      <c r="K186" s="104" t="str">
        <f t="shared" si="61"/>
        <v/>
      </c>
      <c r="L186" s="105" t="str">
        <f t="shared" si="61"/>
        <v/>
      </c>
      <c r="M186" s="106" t="str">
        <f t="shared" si="44"/>
        <v/>
      </c>
    </row>
    <row r="187" spans="1:14" s="3" customFormat="1" ht="30" customHeight="1" x14ac:dyDescent="0.25">
      <c r="A187" s="14" t="s">
        <v>11</v>
      </c>
      <c r="B187" s="16" t="s">
        <v>1637</v>
      </c>
      <c r="C187" s="25"/>
      <c r="D187" s="87" t="s">
        <v>29</v>
      </c>
      <c r="E187" s="38">
        <f>SUM(E182:E186)</f>
        <v>0</v>
      </c>
      <c r="F187" s="39">
        <f>SUM(F182:F186)</f>
        <v>0</v>
      </c>
      <c r="G187" s="40">
        <f>SUM(G182:G186)</f>
        <v>0</v>
      </c>
      <c r="H187" s="41">
        <f>SUM(H182:H186)</f>
        <v>0</v>
      </c>
      <c r="I187" s="42">
        <f t="shared" si="60"/>
        <v>0</v>
      </c>
      <c r="J187" s="103" t="str">
        <f>IFERROR(E187/SUM($E187:$H187)*100,"")</f>
        <v/>
      </c>
      <c r="K187" s="104" t="str">
        <f>IFERROR(F187/SUM($E187:$H187)*100,"")</f>
        <v/>
      </c>
      <c r="L187" s="105" t="str">
        <f>IFERROR(G187/SUM($E187:$H187)*100,"")</f>
        <v/>
      </c>
      <c r="M187" s="106" t="str">
        <f t="shared" si="44"/>
        <v/>
      </c>
      <c r="N187" s="5" t="s">
        <v>1671</v>
      </c>
    </row>
    <row r="188" spans="1:14" ht="5.0999999999999996" customHeight="1" x14ac:dyDescent="0.25">
      <c r="A188" s="14" t="s">
        <v>11</v>
      </c>
      <c r="B188" s="16" t="s">
        <v>1637</v>
      </c>
      <c r="C188"/>
      <c r="J188" s="103"/>
      <c r="K188" s="104"/>
      <c r="L188" s="105"/>
      <c r="M188" s="106" t="str">
        <f t="shared" si="44"/>
        <v/>
      </c>
    </row>
    <row r="189" spans="1:14" s="5" customFormat="1" ht="20.100000000000001" customHeight="1" x14ac:dyDescent="0.25">
      <c r="A189" s="14" t="s">
        <v>11</v>
      </c>
      <c r="B189" s="16" t="s">
        <v>42</v>
      </c>
      <c r="C189" s="25" t="s">
        <v>60</v>
      </c>
      <c r="D189" s="6" t="s">
        <v>1744</v>
      </c>
      <c r="E189" s="37"/>
      <c r="F189" s="37"/>
      <c r="G189" s="37"/>
      <c r="H189" s="37"/>
      <c r="I189" s="48"/>
      <c r="J189" s="103"/>
      <c r="K189" s="104"/>
      <c r="L189" s="105"/>
      <c r="M189" s="106" t="str">
        <f t="shared" si="44"/>
        <v/>
      </c>
      <c r="N189" s="5" t="s">
        <v>1673</v>
      </c>
    </row>
    <row r="190" spans="1:14" s="3" customFormat="1" ht="30" customHeight="1" x14ac:dyDescent="0.25">
      <c r="A190" s="14" t="s">
        <v>11</v>
      </c>
      <c r="B190" s="16" t="s">
        <v>42</v>
      </c>
      <c r="C190" s="25" t="s">
        <v>61</v>
      </c>
      <c r="D190" s="12" t="s">
        <v>43</v>
      </c>
      <c r="E190" s="38">
        <v>0</v>
      </c>
      <c r="F190" s="39">
        <v>0</v>
      </c>
      <c r="G190" s="40">
        <v>0</v>
      </c>
      <c r="H190" s="41">
        <v>0</v>
      </c>
      <c r="I190" s="42">
        <f t="shared" ref="I190:I199" si="62">SUM(E190:H190)</f>
        <v>0</v>
      </c>
      <c r="J190" s="103" t="str">
        <f t="shared" ref="J190:J199" si="63">IFERROR(E190/$I190*100,"")</f>
        <v/>
      </c>
      <c r="K190" s="104" t="str">
        <f t="shared" ref="K190:K199" si="64">IFERROR(F190/$I190*100,"")</f>
        <v/>
      </c>
      <c r="L190" s="105" t="str">
        <f t="shared" ref="L190:L199" si="65">IFERROR(G190/$I190*100,"")</f>
        <v/>
      </c>
      <c r="M190" s="106" t="str">
        <f t="shared" si="44"/>
        <v/>
      </c>
    </row>
    <row r="191" spans="1:14" s="3" customFormat="1" ht="30" customHeight="1" x14ac:dyDescent="0.25">
      <c r="A191" s="14" t="s">
        <v>11</v>
      </c>
      <c r="B191" s="16" t="s">
        <v>42</v>
      </c>
      <c r="C191" s="25" t="s">
        <v>61</v>
      </c>
      <c r="D191" s="12" t="s">
        <v>44</v>
      </c>
      <c r="E191" s="38">
        <v>0</v>
      </c>
      <c r="F191" s="39">
        <v>0</v>
      </c>
      <c r="G191" s="40">
        <v>0</v>
      </c>
      <c r="H191" s="41">
        <v>0</v>
      </c>
      <c r="I191" s="42">
        <f t="shared" si="62"/>
        <v>0</v>
      </c>
      <c r="J191" s="103" t="str">
        <f t="shared" si="63"/>
        <v/>
      </c>
      <c r="K191" s="104" t="str">
        <f t="shared" si="64"/>
        <v/>
      </c>
      <c r="L191" s="105" t="str">
        <f t="shared" si="65"/>
        <v/>
      </c>
      <c r="M191" s="106" t="str">
        <f t="shared" si="44"/>
        <v/>
      </c>
    </row>
    <row r="192" spans="1:14" s="3" customFormat="1" ht="30" customHeight="1" x14ac:dyDescent="0.25">
      <c r="A192" s="14" t="s">
        <v>11</v>
      </c>
      <c r="B192" s="16" t="s">
        <v>42</v>
      </c>
      <c r="C192" s="25" t="s">
        <v>61</v>
      </c>
      <c r="D192" s="12" t="s">
        <v>45</v>
      </c>
      <c r="E192" s="38">
        <v>0</v>
      </c>
      <c r="F192" s="39">
        <v>0</v>
      </c>
      <c r="G192" s="40">
        <v>0</v>
      </c>
      <c r="H192" s="41">
        <v>0</v>
      </c>
      <c r="I192" s="42">
        <f t="shared" si="62"/>
        <v>0</v>
      </c>
      <c r="J192" s="103" t="str">
        <f t="shared" si="63"/>
        <v/>
      </c>
      <c r="K192" s="104" t="str">
        <f t="shared" si="64"/>
        <v/>
      </c>
      <c r="L192" s="105" t="str">
        <f t="shared" si="65"/>
        <v/>
      </c>
      <c r="M192" s="106" t="str">
        <f t="shared" si="44"/>
        <v/>
      </c>
    </row>
    <row r="193" spans="1:14" s="3" customFormat="1" ht="30" customHeight="1" x14ac:dyDescent="0.25">
      <c r="A193" s="14" t="s">
        <v>11</v>
      </c>
      <c r="B193" s="16" t="s">
        <v>42</v>
      </c>
      <c r="C193" s="25" t="s">
        <v>61</v>
      </c>
      <c r="D193" s="12" t="s">
        <v>46</v>
      </c>
      <c r="E193" s="38">
        <v>0</v>
      </c>
      <c r="F193" s="39">
        <v>0</v>
      </c>
      <c r="G193" s="40">
        <v>0</v>
      </c>
      <c r="H193" s="41">
        <v>0</v>
      </c>
      <c r="I193" s="42">
        <f t="shared" si="62"/>
        <v>0</v>
      </c>
      <c r="J193" s="103" t="str">
        <f t="shared" si="63"/>
        <v/>
      </c>
      <c r="K193" s="104" t="str">
        <f t="shared" si="64"/>
        <v/>
      </c>
      <c r="L193" s="105" t="str">
        <f t="shared" si="65"/>
        <v/>
      </c>
      <c r="M193" s="106" t="str">
        <f t="shared" si="44"/>
        <v/>
      </c>
    </row>
    <row r="194" spans="1:14" s="3" customFormat="1" ht="30" customHeight="1" x14ac:dyDescent="0.25">
      <c r="A194" s="14" t="s">
        <v>11</v>
      </c>
      <c r="B194" s="16" t="s">
        <v>42</v>
      </c>
      <c r="C194" s="25" t="s">
        <v>61</v>
      </c>
      <c r="D194" s="12" t="s">
        <v>51</v>
      </c>
      <c r="E194" s="38">
        <v>0</v>
      </c>
      <c r="F194" s="39">
        <v>0</v>
      </c>
      <c r="G194" s="40">
        <v>0</v>
      </c>
      <c r="H194" s="41">
        <v>0</v>
      </c>
      <c r="I194" s="42">
        <f t="shared" si="62"/>
        <v>0</v>
      </c>
      <c r="J194" s="103" t="str">
        <f t="shared" si="63"/>
        <v/>
      </c>
      <c r="K194" s="104" t="str">
        <f t="shared" si="64"/>
        <v/>
      </c>
      <c r="L194" s="105" t="str">
        <f t="shared" si="65"/>
        <v/>
      </c>
      <c r="M194" s="106" t="str">
        <f t="shared" si="44"/>
        <v/>
      </c>
    </row>
    <row r="195" spans="1:14" s="3" customFormat="1" ht="30" customHeight="1" x14ac:dyDescent="0.25">
      <c r="A195" s="14" t="s">
        <v>11</v>
      </c>
      <c r="B195" s="16" t="s">
        <v>42</v>
      </c>
      <c r="C195" s="25" t="s">
        <v>61</v>
      </c>
      <c r="D195" s="12" t="s">
        <v>52</v>
      </c>
      <c r="E195" s="38">
        <v>0</v>
      </c>
      <c r="F195" s="39">
        <v>0</v>
      </c>
      <c r="G195" s="40">
        <v>0</v>
      </c>
      <c r="H195" s="41">
        <v>0</v>
      </c>
      <c r="I195" s="42">
        <f t="shared" si="62"/>
        <v>0</v>
      </c>
      <c r="J195" s="103" t="str">
        <f t="shared" si="63"/>
        <v/>
      </c>
      <c r="K195" s="104" t="str">
        <f t="shared" si="64"/>
        <v/>
      </c>
      <c r="L195" s="105" t="str">
        <f t="shared" si="65"/>
        <v/>
      </c>
      <c r="M195" s="106" t="str">
        <f t="shared" si="44"/>
        <v/>
      </c>
    </row>
    <row r="196" spans="1:14" s="3" customFormat="1" ht="30" customHeight="1" x14ac:dyDescent="0.25">
      <c r="A196" s="14" t="s">
        <v>11</v>
      </c>
      <c r="B196" s="16" t="s">
        <v>42</v>
      </c>
      <c r="C196" s="25" t="s">
        <v>61</v>
      </c>
      <c r="D196" s="12" t="s">
        <v>47</v>
      </c>
      <c r="E196" s="38">
        <v>0</v>
      </c>
      <c r="F196" s="39">
        <v>0</v>
      </c>
      <c r="G196" s="40">
        <v>0</v>
      </c>
      <c r="H196" s="41">
        <v>0</v>
      </c>
      <c r="I196" s="42">
        <f t="shared" si="62"/>
        <v>0</v>
      </c>
      <c r="J196" s="103" t="str">
        <f t="shared" si="63"/>
        <v/>
      </c>
      <c r="K196" s="104" t="str">
        <f t="shared" si="64"/>
        <v/>
      </c>
      <c r="L196" s="105" t="str">
        <f t="shared" si="65"/>
        <v/>
      </c>
      <c r="M196" s="106" t="str">
        <f t="shared" si="44"/>
        <v/>
      </c>
    </row>
    <row r="197" spans="1:14" s="3" customFormat="1" ht="30" customHeight="1" x14ac:dyDescent="0.25">
      <c r="A197" s="14" t="s">
        <v>11</v>
      </c>
      <c r="B197" s="16" t="s">
        <v>42</v>
      </c>
      <c r="C197" s="25" t="s">
        <v>61</v>
      </c>
      <c r="D197" s="12" t="s">
        <v>48</v>
      </c>
      <c r="E197" s="38">
        <v>0</v>
      </c>
      <c r="F197" s="39">
        <v>0</v>
      </c>
      <c r="G197" s="40">
        <v>0</v>
      </c>
      <c r="H197" s="41">
        <v>0</v>
      </c>
      <c r="I197" s="42">
        <f t="shared" si="62"/>
        <v>0</v>
      </c>
      <c r="J197" s="103" t="str">
        <f t="shared" si="63"/>
        <v/>
      </c>
      <c r="K197" s="104" t="str">
        <f t="shared" si="64"/>
        <v/>
      </c>
      <c r="L197" s="105" t="str">
        <f t="shared" si="65"/>
        <v/>
      </c>
      <c r="M197" s="106" t="str">
        <f t="shared" si="44"/>
        <v/>
      </c>
    </row>
    <row r="198" spans="1:14" s="3" customFormat="1" ht="30" customHeight="1" x14ac:dyDescent="0.25">
      <c r="A198" s="14" t="s">
        <v>11</v>
      </c>
      <c r="B198" s="16" t="s">
        <v>42</v>
      </c>
      <c r="C198" s="25" t="s">
        <v>61</v>
      </c>
      <c r="D198" s="12" t="s">
        <v>49</v>
      </c>
      <c r="E198" s="38">
        <v>0</v>
      </c>
      <c r="F198" s="39">
        <v>0</v>
      </c>
      <c r="G198" s="40">
        <v>0</v>
      </c>
      <c r="H198" s="41">
        <v>0</v>
      </c>
      <c r="I198" s="42">
        <f t="shared" si="62"/>
        <v>0</v>
      </c>
      <c r="J198" s="103" t="str">
        <f t="shared" si="63"/>
        <v/>
      </c>
      <c r="K198" s="104" t="str">
        <f t="shared" si="64"/>
        <v/>
      </c>
      <c r="L198" s="105" t="str">
        <f t="shared" si="65"/>
        <v/>
      </c>
      <c r="M198" s="106" t="str">
        <f t="shared" si="44"/>
        <v/>
      </c>
    </row>
    <row r="199" spans="1:14" s="3" customFormat="1" ht="30" customHeight="1" x14ac:dyDescent="0.25">
      <c r="A199" s="14" t="s">
        <v>11</v>
      </c>
      <c r="B199" s="16" t="s">
        <v>42</v>
      </c>
      <c r="C199" s="25" t="s">
        <v>61</v>
      </c>
      <c r="D199" s="12" t="s">
        <v>50</v>
      </c>
      <c r="E199" s="38">
        <v>0</v>
      </c>
      <c r="F199" s="39">
        <v>0</v>
      </c>
      <c r="G199" s="40">
        <v>0</v>
      </c>
      <c r="H199" s="41">
        <v>0</v>
      </c>
      <c r="I199" s="42">
        <f t="shared" si="62"/>
        <v>0</v>
      </c>
      <c r="J199" s="103" t="str">
        <f t="shared" si="63"/>
        <v/>
      </c>
      <c r="K199" s="104" t="str">
        <f t="shared" si="64"/>
        <v/>
      </c>
      <c r="L199" s="105" t="str">
        <f t="shared" si="65"/>
        <v/>
      </c>
      <c r="M199" s="106" t="str">
        <f t="shared" si="44"/>
        <v/>
      </c>
    </row>
    <row r="200" spans="1:14" s="8" customFormat="1" ht="30" customHeight="1" x14ac:dyDescent="0.25">
      <c r="A200" s="14" t="s">
        <v>11</v>
      </c>
      <c r="B200" s="16" t="s">
        <v>42</v>
      </c>
      <c r="C200" s="25"/>
      <c r="D200" s="9" t="s">
        <v>29</v>
      </c>
      <c r="E200" s="38">
        <f>SUM(E190:E199)</f>
        <v>0</v>
      </c>
      <c r="F200" s="39">
        <f t="shared" ref="F200" si="66">SUM(F190:F199)</f>
        <v>0</v>
      </c>
      <c r="G200" s="40">
        <f t="shared" ref="G200" si="67">SUM(G190:G199)</f>
        <v>0</v>
      </c>
      <c r="H200" s="41">
        <f t="shared" ref="H200" si="68">SUM(H190:H199)</f>
        <v>0</v>
      </c>
      <c r="I200" s="43">
        <f t="shared" ref="I200" si="69">SUM(I190:I199)</f>
        <v>0</v>
      </c>
      <c r="J200" s="103" t="str">
        <f>IFERROR(E200/SUM($E200:$H200)*100,"")</f>
        <v/>
      </c>
      <c r="K200" s="104" t="str">
        <f>IFERROR(F200/SUM($E200:$H200)*100,"")</f>
        <v/>
      </c>
      <c r="L200" s="105" t="str">
        <f>IFERROR(G200/SUM($E200:$H200)*100,"")</f>
        <v/>
      </c>
      <c r="M200" s="106" t="str">
        <f t="shared" si="44"/>
        <v/>
      </c>
      <c r="N200" s="5" t="s">
        <v>1671</v>
      </c>
    </row>
    <row r="201" spans="1:14" ht="5.0999999999999996" customHeight="1" x14ac:dyDescent="0.25">
      <c r="A201" s="14" t="s">
        <v>11</v>
      </c>
      <c r="B201" s="16" t="s">
        <v>42</v>
      </c>
      <c r="C201"/>
      <c r="D201" s="57"/>
      <c r="E201" s="59"/>
      <c r="F201" s="59"/>
      <c r="G201" s="59"/>
      <c r="H201" s="59"/>
      <c r="I201" s="59"/>
      <c r="J201" s="103"/>
      <c r="K201" s="104"/>
      <c r="L201" s="105"/>
      <c r="M201" s="106" t="str">
        <f t="shared" si="44"/>
        <v/>
      </c>
    </row>
    <row r="202" spans="1:14" s="7" customFormat="1" ht="20.100000000000001" customHeight="1" x14ac:dyDescent="0.25">
      <c r="A202" s="14" t="s">
        <v>11</v>
      </c>
      <c r="B202" s="16" t="s">
        <v>62</v>
      </c>
      <c r="C202" s="25" t="s">
        <v>60</v>
      </c>
      <c r="D202" s="62" t="s">
        <v>63</v>
      </c>
      <c r="E202" s="63"/>
      <c r="F202" s="63"/>
      <c r="G202" s="63"/>
      <c r="H202" s="63"/>
      <c r="I202" s="64"/>
      <c r="J202" s="103"/>
      <c r="K202" s="104"/>
      <c r="L202" s="105"/>
      <c r="M202" s="106" t="str">
        <f t="shared" si="44"/>
        <v/>
      </c>
      <c r="N202" s="5" t="s">
        <v>1673</v>
      </c>
    </row>
    <row r="203" spans="1:14" s="8" customFormat="1" ht="30" customHeight="1" x14ac:dyDescent="0.25">
      <c r="A203" s="14" t="s">
        <v>11</v>
      </c>
      <c r="B203" s="16" t="s">
        <v>62</v>
      </c>
      <c r="C203" s="25"/>
      <c r="D203" s="12" t="s">
        <v>29</v>
      </c>
      <c r="E203" s="38" t="e">
        <f>SUM(E153,E142,E161,E200,E156,E164,E173,E176,E187,#REF!)</f>
        <v>#REF!</v>
      </c>
      <c r="F203" s="39" t="e">
        <f>SUM(F153,F142,F161,F200,F156,F164,F173,F176,F187,#REF!)</f>
        <v>#REF!</v>
      </c>
      <c r="G203" s="40" t="e">
        <f>SUM(G153,G142,G161,G200,G156,G164,G173,G176,G187,#REF!)</f>
        <v>#REF!</v>
      </c>
      <c r="H203" s="41" t="e">
        <f>SUM(H153,H142,H161,H200,H156,H164,H173,H176,H187,#REF!)</f>
        <v>#REF!</v>
      </c>
      <c r="I203" s="42" t="e">
        <f>SUM(I153,I142,I161,I200,I156,I164,I173,I176,I187,#REF!)</f>
        <v>#REF!</v>
      </c>
      <c r="J203" s="103" t="str">
        <f>IFERROR(E203/SUM($E203:$H203)*100,"")</f>
        <v/>
      </c>
      <c r="K203" s="104" t="str">
        <f>IFERROR(F203/SUM($E203:$H203)*100,"")</f>
        <v/>
      </c>
      <c r="L203" s="105" t="str">
        <f>IFERROR(G203/SUM($E203:$H203)*100,"")</f>
        <v/>
      </c>
      <c r="M203" s="106" t="str">
        <f t="shared" si="44"/>
        <v/>
      </c>
      <c r="N203" s="5" t="s">
        <v>1671</v>
      </c>
    </row>
    <row r="204" spans="1:14" s="5" customFormat="1" ht="20.100000000000001" customHeight="1" x14ac:dyDescent="0.25">
      <c r="A204" s="14" t="s">
        <v>11</v>
      </c>
      <c r="B204" s="14"/>
      <c r="C204" s="25" t="s">
        <v>60</v>
      </c>
      <c r="D204" s="58"/>
      <c r="E204" s="60"/>
      <c r="F204" s="60"/>
      <c r="G204" s="60"/>
      <c r="H204" s="60"/>
      <c r="I204" s="60"/>
      <c r="J204" s="103"/>
      <c r="K204" s="104"/>
      <c r="L204" s="105"/>
      <c r="M204" s="106" t="str">
        <f t="shared" si="44"/>
        <v/>
      </c>
    </row>
    <row r="205" spans="1:14" s="5" customFormat="1" ht="20.100000000000001" customHeight="1" x14ac:dyDescent="0.25">
      <c r="A205" s="14" t="s">
        <v>1670</v>
      </c>
      <c r="B205" s="14"/>
      <c r="C205" s="25" t="s">
        <v>60</v>
      </c>
      <c r="D205" s="20" t="str">
        <f>IFERROR(A205&amp;"   ("&amp;COUNTIFS(#REF!,"="&amp;A205)&amp;")",A205)</f>
        <v>CMD</v>
      </c>
      <c r="E205" s="45"/>
      <c r="F205" s="45"/>
      <c r="G205" s="45"/>
      <c r="H205" s="45"/>
      <c r="I205" s="46"/>
      <c r="J205" s="103"/>
      <c r="K205" s="104"/>
      <c r="L205" s="105"/>
      <c r="M205" s="106" t="str">
        <f t="shared" ref="M205:M268" si="70">IFERROR(H205/$I205*100,"")</f>
        <v/>
      </c>
      <c r="N205" s="5" t="s">
        <v>1672</v>
      </c>
    </row>
    <row r="206" spans="1:14" s="5" customFormat="1" ht="20.100000000000001" customHeight="1" x14ac:dyDescent="0.25">
      <c r="A206" s="14" t="s">
        <v>1670</v>
      </c>
      <c r="B206" s="16" t="s">
        <v>20</v>
      </c>
      <c r="C206" s="25" t="s">
        <v>60</v>
      </c>
      <c r="D206" s="6" t="s">
        <v>20</v>
      </c>
      <c r="E206" s="37"/>
      <c r="F206" s="37"/>
      <c r="G206" s="37"/>
      <c r="H206" s="37"/>
      <c r="I206" s="48"/>
      <c r="J206" s="103"/>
      <c r="K206" s="104"/>
      <c r="L206" s="105"/>
      <c r="M206" s="106" t="str">
        <f t="shared" si="70"/>
        <v/>
      </c>
      <c r="N206" s="5" t="s">
        <v>1673</v>
      </c>
    </row>
    <row r="207" spans="1:14" s="5" customFormat="1" ht="30" customHeight="1" x14ac:dyDescent="0.25">
      <c r="A207" s="14" t="s">
        <v>1670</v>
      </c>
      <c r="B207" s="16" t="s">
        <v>20</v>
      </c>
      <c r="C207" s="25" t="s">
        <v>61</v>
      </c>
      <c r="D207" s="12" t="s">
        <v>25</v>
      </c>
      <c r="E207" s="38">
        <v>0</v>
      </c>
      <c r="F207" s="39">
        <v>0</v>
      </c>
      <c r="G207" s="40">
        <v>0</v>
      </c>
      <c r="H207" s="41">
        <v>0</v>
      </c>
      <c r="I207" s="42">
        <f>SUM(E207:H207)</f>
        <v>0</v>
      </c>
      <c r="J207" s="103" t="str">
        <f>IFERROR(E207/$I207*100,"")</f>
        <v/>
      </c>
      <c r="K207" s="104" t="str">
        <f>IFERROR(F207/$I207*100,"")</f>
        <v/>
      </c>
      <c r="L207" s="105" t="str">
        <f>IFERROR(G207/$I207*100,"")</f>
        <v/>
      </c>
      <c r="M207" s="106" t="str">
        <f t="shared" si="70"/>
        <v/>
      </c>
      <c r="N207" s="5" t="s">
        <v>1671</v>
      </c>
    </row>
    <row r="208" spans="1:14" ht="5.0999999999999996" customHeight="1" x14ac:dyDescent="0.25">
      <c r="A208" s="14" t="s">
        <v>1670</v>
      </c>
      <c r="B208" s="16" t="s">
        <v>20</v>
      </c>
      <c r="C208"/>
      <c r="D208" s="57"/>
      <c r="E208" s="59"/>
      <c r="F208" s="59"/>
      <c r="G208" s="59"/>
      <c r="H208" s="59"/>
      <c r="I208" s="59"/>
      <c r="J208" s="103"/>
      <c r="K208" s="104"/>
      <c r="L208" s="105"/>
      <c r="M208" s="106" t="str">
        <f t="shared" si="70"/>
        <v/>
      </c>
    </row>
    <row r="209" spans="1:14" s="5" customFormat="1" ht="20.100000000000001" customHeight="1" x14ac:dyDescent="0.25">
      <c r="A209" s="14" t="s">
        <v>1670</v>
      </c>
      <c r="B209" s="16" t="s">
        <v>26</v>
      </c>
      <c r="C209" s="25" t="s">
        <v>60</v>
      </c>
      <c r="D209" s="6" t="s">
        <v>98</v>
      </c>
      <c r="E209" s="37"/>
      <c r="F209" s="37"/>
      <c r="G209" s="37"/>
      <c r="H209" s="37"/>
      <c r="I209" s="47"/>
      <c r="J209" s="103"/>
      <c r="K209" s="104"/>
      <c r="L209" s="105"/>
      <c r="M209" s="106" t="str">
        <f t="shared" si="70"/>
        <v/>
      </c>
      <c r="N209" s="5" t="s">
        <v>1673</v>
      </c>
    </row>
    <row r="210" spans="1:14" s="5" customFormat="1" ht="30" customHeight="1" x14ac:dyDescent="0.25">
      <c r="A210" s="14" t="s">
        <v>1670</v>
      </c>
      <c r="B210" s="16" t="s">
        <v>26</v>
      </c>
      <c r="C210" s="25" t="s">
        <v>61</v>
      </c>
      <c r="D210" s="31" t="s">
        <v>21</v>
      </c>
      <c r="E210" s="38">
        <v>0</v>
      </c>
      <c r="F210" s="39">
        <v>0</v>
      </c>
      <c r="G210" s="40">
        <v>0</v>
      </c>
      <c r="H210" s="41">
        <v>0</v>
      </c>
      <c r="I210" s="42">
        <f t="shared" ref="I210:I217" si="71">SUM(E210:H210)</f>
        <v>0</v>
      </c>
      <c r="J210" s="103" t="str">
        <f t="shared" ref="J210:L217" si="72">IFERROR(E210/$I210*100,"")</f>
        <v/>
      </c>
      <c r="K210" s="104" t="str">
        <f t="shared" si="72"/>
        <v/>
      </c>
      <c r="L210" s="105" t="str">
        <f t="shared" si="72"/>
        <v/>
      </c>
      <c r="M210" s="106" t="str">
        <f t="shared" si="70"/>
        <v/>
      </c>
    </row>
    <row r="211" spans="1:14" s="5" customFormat="1" ht="30" customHeight="1" x14ac:dyDescent="0.25">
      <c r="A211" s="14" t="s">
        <v>1670</v>
      </c>
      <c r="B211" s="16" t="s">
        <v>26</v>
      </c>
      <c r="C211" s="25" t="s">
        <v>61</v>
      </c>
      <c r="D211" s="31" t="s">
        <v>22</v>
      </c>
      <c r="E211" s="38">
        <v>0</v>
      </c>
      <c r="F211" s="39">
        <v>0</v>
      </c>
      <c r="G211" s="40">
        <v>0</v>
      </c>
      <c r="H211" s="41">
        <v>0</v>
      </c>
      <c r="I211" s="42">
        <f t="shared" si="71"/>
        <v>0</v>
      </c>
      <c r="J211" s="103" t="str">
        <f t="shared" si="72"/>
        <v/>
      </c>
      <c r="K211" s="104" t="str">
        <f t="shared" si="72"/>
        <v/>
      </c>
      <c r="L211" s="105" t="str">
        <f t="shared" si="72"/>
        <v/>
      </c>
      <c r="M211" s="106" t="str">
        <f t="shared" si="70"/>
        <v/>
      </c>
    </row>
    <row r="212" spans="1:14" s="5" customFormat="1" ht="30" customHeight="1" x14ac:dyDescent="0.25">
      <c r="A212" s="14" t="s">
        <v>1670</v>
      </c>
      <c r="B212" s="16" t="s">
        <v>26</v>
      </c>
      <c r="C212" s="25" t="s">
        <v>61</v>
      </c>
      <c r="D212" s="31" t="s">
        <v>27</v>
      </c>
      <c r="E212" s="38">
        <v>0</v>
      </c>
      <c r="F212" s="39">
        <v>0</v>
      </c>
      <c r="G212" s="40">
        <v>0</v>
      </c>
      <c r="H212" s="41">
        <v>0</v>
      </c>
      <c r="I212" s="42">
        <f t="shared" si="71"/>
        <v>0</v>
      </c>
      <c r="J212" s="103" t="str">
        <f t="shared" si="72"/>
        <v/>
      </c>
      <c r="K212" s="104" t="str">
        <f t="shared" si="72"/>
        <v/>
      </c>
      <c r="L212" s="105" t="str">
        <f t="shared" si="72"/>
        <v/>
      </c>
      <c r="M212" s="106" t="str">
        <f t="shared" si="70"/>
        <v/>
      </c>
    </row>
    <row r="213" spans="1:14" s="5" customFormat="1" ht="30" customHeight="1" x14ac:dyDescent="0.25">
      <c r="A213" s="14" t="s">
        <v>1670</v>
      </c>
      <c r="B213" s="16" t="s">
        <v>26</v>
      </c>
      <c r="C213" s="25" t="s">
        <v>61</v>
      </c>
      <c r="D213" s="31" t="s">
        <v>23</v>
      </c>
      <c r="E213" s="38">
        <v>0</v>
      </c>
      <c r="F213" s="39">
        <v>0</v>
      </c>
      <c r="G213" s="40">
        <v>0</v>
      </c>
      <c r="H213" s="41">
        <v>0</v>
      </c>
      <c r="I213" s="42">
        <f t="shared" si="71"/>
        <v>0</v>
      </c>
      <c r="J213" s="103" t="str">
        <f t="shared" si="72"/>
        <v/>
      </c>
      <c r="K213" s="104" t="str">
        <f t="shared" si="72"/>
        <v/>
      </c>
      <c r="L213" s="105" t="str">
        <f t="shared" si="72"/>
        <v/>
      </c>
      <c r="M213" s="106" t="str">
        <f t="shared" si="70"/>
        <v/>
      </c>
    </row>
    <row r="214" spans="1:14" s="5" customFormat="1" ht="30" customHeight="1" x14ac:dyDescent="0.25">
      <c r="A214" s="14" t="s">
        <v>1670</v>
      </c>
      <c r="B214" s="16" t="s">
        <v>26</v>
      </c>
      <c r="C214" s="25" t="s">
        <v>61</v>
      </c>
      <c r="D214" s="31" t="s">
        <v>24</v>
      </c>
      <c r="E214" s="38">
        <v>0</v>
      </c>
      <c r="F214" s="39">
        <v>0</v>
      </c>
      <c r="G214" s="40">
        <v>0</v>
      </c>
      <c r="H214" s="41">
        <v>0</v>
      </c>
      <c r="I214" s="42">
        <f t="shared" si="71"/>
        <v>0</v>
      </c>
      <c r="J214" s="103" t="str">
        <f t="shared" si="72"/>
        <v/>
      </c>
      <c r="K214" s="104" t="str">
        <f t="shared" si="72"/>
        <v/>
      </c>
      <c r="L214" s="105" t="str">
        <f t="shared" si="72"/>
        <v/>
      </c>
      <c r="M214" s="106" t="str">
        <f t="shared" si="70"/>
        <v/>
      </c>
    </row>
    <row r="215" spans="1:14" s="3" customFormat="1" ht="30" customHeight="1" x14ac:dyDescent="0.25">
      <c r="A215" s="14" t="s">
        <v>1670</v>
      </c>
      <c r="B215" s="16" t="s">
        <v>26</v>
      </c>
      <c r="C215" s="25" t="s">
        <v>61</v>
      </c>
      <c r="D215" s="31" t="s">
        <v>41</v>
      </c>
      <c r="E215" s="38">
        <v>0</v>
      </c>
      <c r="F215" s="39">
        <v>0</v>
      </c>
      <c r="G215" s="40">
        <v>0</v>
      </c>
      <c r="H215" s="41">
        <v>0</v>
      </c>
      <c r="I215" s="42">
        <f t="shared" si="71"/>
        <v>0</v>
      </c>
      <c r="J215" s="103" t="str">
        <f t="shared" si="72"/>
        <v/>
      </c>
      <c r="K215" s="104" t="str">
        <f t="shared" si="72"/>
        <v/>
      </c>
      <c r="L215" s="105" t="str">
        <f t="shared" si="72"/>
        <v/>
      </c>
      <c r="M215" s="106" t="str">
        <f t="shared" si="70"/>
        <v/>
      </c>
    </row>
    <row r="216" spans="1:14" s="5" customFormat="1" ht="30" customHeight="1" x14ac:dyDescent="0.25">
      <c r="A216" s="14" t="s">
        <v>1670</v>
      </c>
      <c r="B216" s="16" t="s">
        <v>26</v>
      </c>
      <c r="C216" s="25" t="s">
        <v>61</v>
      </c>
      <c r="D216" s="31" t="s">
        <v>28</v>
      </c>
      <c r="E216" s="38">
        <v>0</v>
      </c>
      <c r="F216" s="39">
        <v>0</v>
      </c>
      <c r="G216" s="40">
        <v>0</v>
      </c>
      <c r="H216" s="41">
        <v>0</v>
      </c>
      <c r="I216" s="42">
        <f t="shared" si="71"/>
        <v>0</v>
      </c>
      <c r="J216" s="103" t="str">
        <f t="shared" si="72"/>
        <v/>
      </c>
      <c r="K216" s="104" t="str">
        <f t="shared" si="72"/>
        <v/>
      </c>
      <c r="L216" s="105" t="str">
        <f t="shared" si="72"/>
        <v/>
      </c>
      <c r="M216" s="106" t="str">
        <f t="shared" si="70"/>
        <v/>
      </c>
    </row>
    <row r="217" spans="1:14" s="5" customFormat="1" ht="30" customHeight="1" x14ac:dyDescent="0.25">
      <c r="A217" s="14" t="s">
        <v>1670</v>
      </c>
      <c r="B217" s="16" t="s">
        <v>26</v>
      </c>
      <c r="C217" s="25" t="s">
        <v>61</v>
      </c>
      <c r="D217" s="31" t="s">
        <v>40</v>
      </c>
      <c r="E217" s="38">
        <v>0</v>
      </c>
      <c r="F217" s="39">
        <v>0</v>
      </c>
      <c r="G217" s="40">
        <v>0</v>
      </c>
      <c r="H217" s="41">
        <v>0</v>
      </c>
      <c r="I217" s="42">
        <f t="shared" si="71"/>
        <v>0</v>
      </c>
      <c r="J217" s="103" t="str">
        <f t="shared" si="72"/>
        <v/>
      </c>
      <c r="K217" s="104" t="str">
        <f t="shared" si="72"/>
        <v/>
      </c>
      <c r="L217" s="105" t="str">
        <f t="shared" si="72"/>
        <v/>
      </c>
      <c r="M217" s="106" t="str">
        <f t="shared" si="70"/>
        <v/>
      </c>
    </row>
    <row r="218" spans="1:14" s="5" customFormat="1" ht="30" customHeight="1" x14ac:dyDescent="0.25">
      <c r="A218" s="14" t="s">
        <v>1670</v>
      </c>
      <c r="B218" s="16" t="s">
        <v>26</v>
      </c>
      <c r="C218" s="25"/>
      <c r="D218" s="9" t="s">
        <v>29</v>
      </c>
      <c r="E218" s="38">
        <f>SUM(E210:E217)</f>
        <v>0</v>
      </c>
      <c r="F218" s="39">
        <f t="shared" ref="F218" si="73">SUM(F210:F217)</f>
        <v>0</v>
      </c>
      <c r="G218" s="40">
        <f t="shared" ref="G218" si="74">SUM(G210:G217)</f>
        <v>0</v>
      </c>
      <c r="H218" s="41">
        <f t="shared" ref="H218" si="75">SUM(H210:H217)</f>
        <v>0</v>
      </c>
      <c r="I218" s="43">
        <f t="shared" ref="I218" si="76">SUM(I210:I217)</f>
        <v>0</v>
      </c>
      <c r="J218" s="103" t="str">
        <f>IFERROR(E218/SUM($E218:$H218)*100,"")</f>
        <v/>
      </c>
      <c r="K218" s="104" t="str">
        <f>IFERROR(F218/SUM($E218:$H218)*100,"")</f>
        <v/>
      </c>
      <c r="L218" s="105" t="str">
        <f>IFERROR(G218/SUM($E218:$H218)*100,"")</f>
        <v/>
      </c>
      <c r="M218" s="106" t="str">
        <f t="shared" si="70"/>
        <v/>
      </c>
      <c r="N218" s="5" t="s">
        <v>1671</v>
      </c>
    </row>
    <row r="219" spans="1:14" ht="5.0999999999999996" customHeight="1" x14ac:dyDescent="0.25">
      <c r="A219" s="14" t="s">
        <v>1670</v>
      </c>
      <c r="B219" s="16" t="s">
        <v>26</v>
      </c>
      <c r="C219"/>
      <c r="J219" s="103"/>
      <c r="K219" s="104"/>
      <c r="L219" s="105"/>
      <c r="M219" s="106" t="str">
        <f t="shared" si="70"/>
        <v/>
      </c>
    </row>
    <row r="220" spans="1:14" s="5" customFormat="1" ht="20.100000000000001" customHeight="1" x14ac:dyDescent="0.25">
      <c r="A220" s="14" t="s">
        <v>1670</v>
      </c>
      <c r="B220" s="16" t="s">
        <v>64</v>
      </c>
      <c r="C220" s="25" t="s">
        <v>60</v>
      </c>
      <c r="D220" s="6" t="s">
        <v>65</v>
      </c>
      <c r="E220" s="37"/>
      <c r="F220" s="37"/>
      <c r="G220" s="37"/>
      <c r="H220" s="37"/>
      <c r="I220" s="48"/>
      <c r="J220" s="103"/>
      <c r="K220" s="104"/>
      <c r="L220" s="105"/>
      <c r="M220" s="106" t="str">
        <f t="shared" si="70"/>
        <v/>
      </c>
      <c r="N220" s="5" t="s">
        <v>1673</v>
      </c>
    </row>
    <row r="221" spans="1:14" s="5" customFormat="1" ht="30" customHeight="1" x14ac:dyDescent="0.25">
      <c r="A221" s="14" t="s">
        <v>1670</v>
      </c>
      <c r="B221" s="16" t="s">
        <v>64</v>
      </c>
      <c r="C221" s="25" t="s">
        <v>61</v>
      </c>
      <c r="D221" s="12" t="s">
        <v>66</v>
      </c>
      <c r="E221" s="38">
        <v>0</v>
      </c>
      <c r="F221" s="39">
        <v>0</v>
      </c>
      <c r="G221" s="40">
        <v>0</v>
      </c>
      <c r="H221" s="41">
        <v>0</v>
      </c>
      <c r="I221" s="42">
        <f>SUM(E221:H221)</f>
        <v>0</v>
      </c>
      <c r="J221" s="103" t="str">
        <f>IFERROR(E221/$I221*100,"")</f>
        <v/>
      </c>
      <c r="K221" s="104" t="str">
        <f>IFERROR(F221/$I221*100,"")</f>
        <v/>
      </c>
      <c r="L221" s="105" t="str">
        <f>IFERROR(G221/$I221*100,"")</f>
        <v/>
      </c>
      <c r="M221" s="106" t="str">
        <f t="shared" si="70"/>
        <v/>
      </c>
      <c r="N221" s="5" t="s">
        <v>1671</v>
      </c>
    </row>
    <row r="222" spans="1:14" ht="5.0999999999999996" customHeight="1" x14ac:dyDescent="0.25">
      <c r="A222" s="14" t="s">
        <v>1670</v>
      </c>
      <c r="B222" s="16" t="s">
        <v>64</v>
      </c>
      <c r="C222"/>
      <c r="D222" s="57"/>
      <c r="E222" s="59"/>
      <c r="F222" s="59"/>
      <c r="G222" s="59"/>
      <c r="H222" s="59"/>
      <c r="I222" s="59"/>
      <c r="J222" s="103"/>
      <c r="K222" s="104"/>
      <c r="L222" s="105"/>
      <c r="M222" s="106" t="str">
        <f t="shared" si="70"/>
        <v/>
      </c>
    </row>
    <row r="223" spans="1:14" s="5" customFormat="1" ht="20.100000000000001" customHeight="1" x14ac:dyDescent="0.25">
      <c r="A223" s="14" t="s">
        <v>1670</v>
      </c>
      <c r="B223" s="16" t="s">
        <v>55</v>
      </c>
      <c r="C223" s="25" t="s">
        <v>60</v>
      </c>
      <c r="D223" s="6" t="s">
        <v>55</v>
      </c>
      <c r="E223" s="37"/>
      <c r="F223" s="37"/>
      <c r="G223" s="37"/>
      <c r="H223" s="37"/>
      <c r="I223" s="48"/>
      <c r="J223" s="103"/>
      <c r="K223" s="104"/>
      <c r="L223" s="105"/>
      <c r="M223" s="106" t="str">
        <f t="shared" si="70"/>
        <v/>
      </c>
      <c r="N223" s="5" t="s">
        <v>1673</v>
      </c>
    </row>
    <row r="224" spans="1:14" s="3" customFormat="1" ht="30" customHeight="1" x14ac:dyDescent="0.25">
      <c r="A224" s="14" t="s">
        <v>1670</v>
      </c>
      <c r="B224" s="16" t="s">
        <v>55</v>
      </c>
      <c r="C224" s="25" t="s">
        <v>61</v>
      </c>
      <c r="D224" s="12" t="s">
        <v>56</v>
      </c>
      <c r="E224" s="38">
        <v>0</v>
      </c>
      <c r="F224" s="39">
        <v>0</v>
      </c>
      <c r="G224" s="40">
        <v>0</v>
      </c>
      <c r="H224" s="41">
        <v>0</v>
      </c>
      <c r="I224" s="42">
        <f>SUM(E224:H224)</f>
        <v>0</v>
      </c>
      <c r="J224" s="103" t="str">
        <f t="shared" ref="J224:L226" si="77">IFERROR(E224/$I224*100,"")</f>
        <v/>
      </c>
      <c r="K224" s="104" t="str">
        <f t="shared" si="77"/>
        <v/>
      </c>
      <c r="L224" s="105" t="str">
        <f t="shared" si="77"/>
        <v/>
      </c>
      <c r="M224" s="106" t="str">
        <f t="shared" si="70"/>
        <v/>
      </c>
      <c r="N224" s="5"/>
    </row>
    <row r="225" spans="1:14" s="3" customFormat="1" ht="30" customHeight="1" x14ac:dyDescent="0.25">
      <c r="A225" s="14" t="s">
        <v>1670</v>
      </c>
      <c r="B225" s="16" t="s">
        <v>55</v>
      </c>
      <c r="C225" s="25" t="s">
        <v>61</v>
      </c>
      <c r="D225" s="12" t="s">
        <v>57</v>
      </c>
      <c r="E225" s="38">
        <v>0</v>
      </c>
      <c r="F225" s="39">
        <v>0</v>
      </c>
      <c r="G225" s="40">
        <v>0</v>
      </c>
      <c r="H225" s="41">
        <v>0</v>
      </c>
      <c r="I225" s="42">
        <f>SUM(E225:H225)</f>
        <v>0</v>
      </c>
      <c r="J225" s="103" t="str">
        <f t="shared" si="77"/>
        <v/>
      </c>
      <c r="K225" s="104" t="str">
        <f t="shared" si="77"/>
        <v/>
      </c>
      <c r="L225" s="105" t="str">
        <f t="shared" si="77"/>
        <v/>
      </c>
      <c r="M225" s="106" t="str">
        <f t="shared" si="70"/>
        <v/>
      </c>
    </row>
    <row r="226" spans="1:14" s="3" customFormat="1" ht="30" customHeight="1" x14ac:dyDescent="0.25">
      <c r="A226" s="14" t="s">
        <v>1670</v>
      </c>
      <c r="B226" s="16" t="s">
        <v>55</v>
      </c>
      <c r="C226" s="25"/>
      <c r="D226" s="91" t="s">
        <v>29</v>
      </c>
      <c r="E226" s="38">
        <f>SUM(E224:E225)</f>
        <v>0</v>
      </c>
      <c r="F226" s="39">
        <f t="shared" ref="F226" si="78">SUM(F224:F225)</f>
        <v>0</v>
      </c>
      <c r="G226" s="40">
        <f t="shared" ref="G226" si="79">SUM(G224:G225)</f>
        <v>0</v>
      </c>
      <c r="H226" s="41">
        <f t="shared" ref="H226" si="80">SUM(H224:H225)</f>
        <v>0</v>
      </c>
      <c r="I226" s="42">
        <f t="shared" ref="I226" si="81">SUM(I224:I225)</f>
        <v>0</v>
      </c>
      <c r="J226" s="103" t="str">
        <f t="shared" si="77"/>
        <v/>
      </c>
      <c r="K226" s="104" t="str">
        <f t="shared" si="77"/>
        <v/>
      </c>
      <c r="L226" s="105" t="str">
        <f t="shared" si="77"/>
        <v/>
      </c>
      <c r="M226" s="106" t="str">
        <f t="shared" si="70"/>
        <v/>
      </c>
      <c r="N226" s="5" t="s">
        <v>1671</v>
      </c>
    </row>
    <row r="227" spans="1:14" ht="5.0999999999999996" customHeight="1" x14ac:dyDescent="0.25">
      <c r="A227" s="14" t="s">
        <v>1670</v>
      </c>
      <c r="B227" s="16" t="s">
        <v>55</v>
      </c>
      <c r="C227"/>
      <c r="D227" s="57"/>
      <c r="E227" s="59"/>
      <c r="F227" s="59"/>
      <c r="G227" s="59"/>
      <c r="H227" s="59"/>
      <c r="I227" s="59"/>
      <c r="J227" s="103"/>
      <c r="K227" s="104"/>
      <c r="L227" s="105"/>
      <c r="M227" s="106" t="str">
        <f t="shared" si="70"/>
        <v/>
      </c>
    </row>
    <row r="228" spans="1:14" s="5" customFormat="1" ht="20.100000000000001" customHeight="1" x14ac:dyDescent="0.25">
      <c r="A228" s="14" t="s">
        <v>1670</v>
      </c>
      <c r="B228" s="16" t="s">
        <v>74</v>
      </c>
      <c r="C228" s="25" t="s">
        <v>60</v>
      </c>
      <c r="D228" s="6" t="s">
        <v>75</v>
      </c>
      <c r="E228" s="37"/>
      <c r="F228" s="37"/>
      <c r="G228" s="37"/>
      <c r="H228" s="37"/>
      <c r="I228" s="48"/>
      <c r="J228" s="103"/>
      <c r="K228" s="104"/>
      <c r="L228" s="105"/>
      <c r="M228" s="106" t="str">
        <f t="shared" si="70"/>
        <v/>
      </c>
      <c r="N228" s="5" t="s">
        <v>1673</v>
      </c>
    </row>
    <row r="229" spans="1:14" s="3" customFormat="1" ht="30" customHeight="1" x14ac:dyDescent="0.25">
      <c r="A229" s="14" t="s">
        <v>1670</v>
      </c>
      <c r="B229" s="16" t="s">
        <v>74</v>
      </c>
      <c r="C229" s="25" t="s">
        <v>61</v>
      </c>
      <c r="D229" s="12" t="s">
        <v>77</v>
      </c>
      <c r="E229" s="38">
        <v>0</v>
      </c>
      <c r="F229" s="39">
        <v>0</v>
      </c>
      <c r="G229" s="40">
        <v>0</v>
      </c>
      <c r="H229" s="41">
        <v>0</v>
      </c>
      <c r="I229" s="42">
        <f>SUM(E229:H229)</f>
        <v>0</v>
      </c>
      <c r="J229" s="103" t="str">
        <f>IFERROR(E229/$I229*100,"")</f>
        <v/>
      </c>
      <c r="K229" s="104" t="str">
        <f>IFERROR(F229/$I229*100,"")</f>
        <v/>
      </c>
      <c r="L229" s="105" t="str">
        <f>IFERROR(G229/$I229*100,"")</f>
        <v/>
      </c>
      <c r="M229" s="106" t="str">
        <f t="shared" si="70"/>
        <v/>
      </c>
      <c r="N229" s="3" t="s">
        <v>1671</v>
      </c>
    </row>
    <row r="230" spans="1:14" ht="5.0999999999999996" customHeight="1" x14ac:dyDescent="0.25">
      <c r="A230" s="14" t="s">
        <v>1670</v>
      </c>
      <c r="B230" s="16" t="s">
        <v>74</v>
      </c>
      <c r="C230"/>
      <c r="J230" s="103"/>
      <c r="K230" s="104"/>
      <c r="L230" s="105"/>
      <c r="M230" s="106" t="str">
        <f t="shared" si="70"/>
        <v/>
      </c>
    </row>
    <row r="231" spans="1:14" s="5" customFormat="1" ht="20.100000000000001" customHeight="1" x14ac:dyDescent="0.25">
      <c r="A231" s="14" t="s">
        <v>1670</v>
      </c>
      <c r="B231" s="16" t="s">
        <v>78</v>
      </c>
      <c r="C231" s="25" t="s">
        <v>60</v>
      </c>
      <c r="D231" s="6" t="s">
        <v>80</v>
      </c>
      <c r="E231" s="37"/>
      <c r="F231" s="37"/>
      <c r="G231" s="37"/>
      <c r="H231" s="37"/>
      <c r="I231" s="48"/>
      <c r="J231" s="103"/>
      <c r="K231" s="104"/>
      <c r="L231" s="105"/>
      <c r="M231" s="106" t="str">
        <f t="shared" si="70"/>
        <v/>
      </c>
      <c r="N231" s="5" t="s">
        <v>1673</v>
      </c>
    </row>
    <row r="232" spans="1:14" s="5" customFormat="1" ht="30" customHeight="1" x14ac:dyDescent="0.25">
      <c r="A232" s="14" t="s">
        <v>1670</v>
      </c>
      <c r="B232" s="16" t="s">
        <v>78</v>
      </c>
      <c r="C232" s="25" t="s">
        <v>61</v>
      </c>
      <c r="D232" s="81" t="s">
        <v>81</v>
      </c>
      <c r="E232" s="38">
        <v>0</v>
      </c>
      <c r="F232" s="39">
        <v>0</v>
      </c>
      <c r="G232" s="40">
        <v>0</v>
      </c>
      <c r="H232" s="41">
        <v>0</v>
      </c>
      <c r="I232" s="42">
        <f t="shared" ref="I232:I238" si="82">SUM(E232:H232)</f>
        <v>0</v>
      </c>
      <c r="J232" s="103" t="str">
        <f t="shared" ref="J232:L238" si="83">IFERROR(E232/$I232*100,"")</f>
        <v/>
      </c>
      <c r="K232" s="104" t="str">
        <f t="shared" si="83"/>
        <v/>
      </c>
      <c r="L232" s="105" t="str">
        <f t="shared" si="83"/>
        <v/>
      </c>
      <c r="M232" s="106" t="str">
        <f t="shared" si="70"/>
        <v/>
      </c>
    </row>
    <row r="233" spans="1:14" s="5" customFormat="1" ht="30" customHeight="1" x14ac:dyDescent="0.25">
      <c r="A233" s="14" t="s">
        <v>1670</v>
      </c>
      <c r="B233" s="16" t="s">
        <v>78</v>
      </c>
      <c r="C233" s="25" t="s">
        <v>61</v>
      </c>
      <c r="D233" s="81" t="s">
        <v>82</v>
      </c>
      <c r="E233" s="38">
        <v>0</v>
      </c>
      <c r="F233" s="39">
        <v>0</v>
      </c>
      <c r="G233" s="40">
        <v>0</v>
      </c>
      <c r="H233" s="41">
        <v>0</v>
      </c>
      <c r="I233" s="42">
        <f t="shared" si="82"/>
        <v>0</v>
      </c>
      <c r="J233" s="103" t="str">
        <f t="shared" si="83"/>
        <v/>
      </c>
      <c r="K233" s="104" t="str">
        <f t="shared" si="83"/>
        <v/>
      </c>
      <c r="L233" s="105" t="str">
        <f t="shared" si="83"/>
        <v/>
      </c>
      <c r="M233" s="106" t="str">
        <f t="shared" si="70"/>
        <v/>
      </c>
    </row>
    <row r="234" spans="1:14" s="5" customFormat="1" ht="30" customHeight="1" x14ac:dyDescent="0.25">
      <c r="A234" s="14" t="s">
        <v>1670</v>
      </c>
      <c r="B234" s="16" t="s">
        <v>78</v>
      </c>
      <c r="C234" s="25" t="s">
        <v>61</v>
      </c>
      <c r="D234" s="81" t="s">
        <v>83</v>
      </c>
      <c r="E234" s="38">
        <v>0</v>
      </c>
      <c r="F234" s="39">
        <v>0</v>
      </c>
      <c r="G234" s="40">
        <v>0</v>
      </c>
      <c r="H234" s="41">
        <v>0</v>
      </c>
      <c r="I234" s="42">
        <f t="shared" si="82"/>
        <v>0</v>
      </c>
      <c r="J234" s="103" t="str">
        <f t="shared" si="83"/>
        <v/>
      </c>
      <c r="K234" s="104" t="str">
        <f t="shared" si="83"/>
        <v/>
      </c>
      <c r="L234" s="105" t="str">
        <f t="shared" si="83"/>
        <v/>
      </c>
      <c r="M234" s="106" t="str">
        <f t="shared" si="70"/>
        <v/>
      </c>
    </row>
    <row r="235" spans="1:14" s="5" customFormat="1" ht="30" customHeight="1" x14ac:dyDescent="0.25">
      <c r="A235" s="14" t="s">
        <v>1670</v>
      </c>
      <c r="B235" s="16" t="s">
        <v>78</v>
      </c>
      <c r="C235" s="25" t="s">
        <v>61</v>
      </c>
      <c r="D235" s="81" t="s">
        <v>88</v>
      </c>
      <c r="E235" s="38">
        <v>0</v>
      </c>
      <c r="F235" s="39">
        <v>0</v>
      </c>
      <c r="G235" s="40">
        <v>0</v>
      </c>
      <c r="H235" s="41">
        <v>0</v>
      </c>
      <c r="I235" s="42">
        <f t="shared" si="82"/>
        <v>0</v>
      </c>
      <c r="J235" s="103" t="str">
        <f t="shared" si="83"/>
        <v/>
      </c>
      <c r="K235" s="104" t="str">
        <f t="shared" si="83"/>
        <v/>
      </c>
      <c r="L235" s="105" t="str">
        <f t="shared" si="83"/>
        <v/>
      </c>
      <c r="M235" s="106" t="str">
        <f t="shared" si="70"/>
        <v/>
      </c>
    </row>
    <row r="236" spans="1:14" s="5" customFormat="1" ht="30" customHeight="1" x14ac:dyDescent="0.25">
      <c r="A236" s="14" t="s">
        <v>1670</v>
      </c>
      <c r="B236" s="16" t="s">
        <v>78</v>
      </c>
      <c r="C236" s="25" t="s">
        <v>61</v>
      </c>
      <c r="D236" s="81" t="s">
        <v>87</v>
      </c>
      <c r="E236" s="38">
        <v>0</v>
      </c>
      <c r="F236" s="39">
        <v>0</v>
      </c>
      <c r="G236" s="40">
        <v>0</v>
      </c>
      <c r="H236" s="41">
        <v>0</v>
      </c>
      <c r="I236" s="42">
        <f t="shared" si="82"/>
        <v>0</v>
      </c>
      <c r="J236" s="103" t="str">
        <f t="shared" si="83"/>
        <v/>
      </c>
      <c r="K236" s="104" t="str">
        <f t="shared" si="83"/>
        <v/>
      </c>
      <c r="L236" s="105" t="str">
        <f t="shared" si="83"/>
        <v/>
      </c>
      <c r="M236" s="106" t="str">
        <f t="shared" si="70"/>
        <v/>
      </c>
    </row>
    <row r="237" spans="1:14" s="5" customFormat="1" ht="30" customHeight="1" x14ac:dyDescent="0.25">
      <c r="A237" s="14" t="s">
        <v>1670</v>
      </c>
      <c r="B237" s="16" t="s">
        <v>78</v>
      </c>
      <c r="C237" s="25" t="s">
        <v>61</v>
      </c>
      <c r="D237" s="81" t="s">
        <v>84</v>
      </c>
      <c r="E237" s="38">
        <v>0</v>
      </c>
      <c r="F237" s="39">
        <v>0</v>
      </c>
      <c r="G237" s="40">
        <v>0</v>
      </c>
      <c r="H237" s="41">
        <v>0</v>
      </c>
      <c r="I237" s="42">
        <f t="shared" si="82"/>
        <v>0</v>
      </c>
      <c r="J237" s="103" t="str">
        <f t="shared" si="83"/>
        <v/>
      </c>
      <c r="K237" s="104" t="str">
        <f t="shared" si="83"/>
        <v/>
      </c>
      <c r="L237" s="105" t="str">
        <f t="shared" si="83"/>
        <v/>
      </c>
      <c r="M237" s="106" t="str">
        <f t="shared" si="70"/>
        <v/>
      </c>
    </row>
    <row r="238" spans="1:14" s="5" customFormat="1" ht="30" customHeight="1" x14ac:dyDescent="0.25">
      <c r="A238" s="14" t="s">
        <v>1670</v>
      </c>
      <c r="B238" s="16" t="s">
        <v>78</v>
      </c>
      <c r="C238" s="25" t="s">
        <v>86</v>
      </c>
      <c r="D238" s="81" t="s">
        <v>79</v>
      </c>
      <c r="E238" s="38">
        <v>0</v>
      </c>
      <c r="F238" s="39">
        <v>0</v>
      </c>
      <c r="G238" s="40">
        <v>0</v>
      </c>
      <c r="H238" s="41">
        <v>0</v>
      </c>
      <c r="I238" s="42">
        <f t="shared" si="82"/>
        <v>0</v>
      </c>
      <c r="J238" s="103" t="str">
        <f t="shared" si="83"/>
        <v/>
      </c>
      <c r="K238" s="104" t="str">
        <f t="shared" si="83"/>
        <v/>
      </c>
      <c r="L238" s="105" t="str">
        <f t="shared" si="83"/>
        <v/>
      </c>
      <c r="M238" s="106" t="str">
        <f t="shared" si="70"/>
        <v/>
      </c>
      <c r="N238" s="5" t="s">
        <v>1671</v>
      </c>
    </row>
    <row r="239" spans="1:14" ht="5.0999999999999996" customHeight="1" x14ac:dyDescent="0.25">
      <c r="A239" s="14" t="s">
        <v>1670</v>
      </c>
      <c r="B239" s="16" t="s">
        <v>78</v>
      </c>
      <c r="C239"/>
      <c r="D239" s="57"/>
      <c r="E239" s="59"/>
      <c r="F239" s="59"/>
      <c r="G239" s="59"/>
      <c r="H239" s="59"/>
      <c r="I239" s="59"/>
      <c r="J239" s="103"/>
      <c r="K239" s="104"/>
      <c r="L239" s="105"/>
      <c r="M239" s="106" t="str">
        <f t="shared" si="70"/>
        <v/>
      </c>
    </row>
    <row r="240" spans="1:14" s="5" customFormat="1" ht="20.100000000000001" customHeight="1" x14ac:dyDescent="0.25">
      <c r="A240" s="14" t="s">
        <v>1670</v>
      </c>
      <c r="B240" s="16" t="s">
        <v>91</v>
      </c>
      <c r="C240" s="25" t="s">
        <v>60</v>
      </c>
      <c r="D240" s="6" t="s">
        <v>89</v>
      </c>
      <c r="E240" s="37"/>
      <c r="F240" s="37"/>
      <c r="G240" s="37"/>
      <c r="H240" s="37"/>
      <c r="I240" s="48"/>
      <c r="J240" s="103"/>
      <c r="K240" s="104"/>
      <c r="L240" s="105"/>
      <c r="M240" s="106" t="str">
        <f t="shared" si="70"/>
        <v/>
      </c>
      <c r="N240" s="5" t="s">
        <v>1673</v>
      </c>
    </row>
    <row r="241" spans="1:14" s="5" customFormat="1" ht="30" customHeight="1" x14ac:dyDescent="0.25">
      <c r="A241" s="14" t="s">
        <v>1670</v>
      </c>
      <c r="B241" s="16" t="s">
        <v>91</v>
      </c>
      <c r="C241" s="25" t="s">
        <v>61</v>
      </c>
      <c r="D241" s="82" t="s">
        <v>90</v>
      </c>
      <c r="E241" s="38">
        <v>0</v>
      </c>
      <c r="F241" s="39">
        <v>0</v>
      </c>
      <c r="G241" s="40">
        <v>0</v>
      </c>
      <c r="H241" s="41">
        <v>0</v>
      </c>
      <c r="I241" s="42">
        <f t="shared" ref="I241" si="84">SUM(E241:H241)</f>
        <v>0</v>
      </c>
      <c r="J241" s="103" t="str">
        <f>IFERROR(E241/$I241*100,"")</f>
        <v/>
      </c>
      <c r="K241" s="104" t="str">
        <f>IFERROR(F241/$I241*100,"")</f>
        <v/>
      </c>
      <c r="L241" s="105" t="str">
        <f>IFERROR(G241/$I241*100,"")</f>
        <v/>
      </c>
      <c r="M241" s="106" t="str">
        <f t="shared" si="70"/>
        <v/>
      </c>
      <c r="N241" s="5" t="s">
        <v>1671</v>
      </c>
    </row>
    <row r="242" spans="1:14" ht="5.0999999999999996" customHeight="1" x14ac:dyDescent="0.25">
      <c r="A242" s="14" t="s">
        <v>1670</v>
      </c>
      <c r="B242" s="16" t="s">
        <v>91</v>
      </c>
      <c r="C242"/>
      <c r="D242" s="57"/>
      <c r="E242" s="59"/>
      <c r="F242" s="59"/>
      <c r="G242" s="59"/>
      <c r="H242" s="59"/>
      <c r="I242" s="59"/>
      <c r="J242" s="103"/>
      <c r="K242" s="104"/>
      <c r="L242" s="105"/>
      <c r="M242" s="106" t="str">
        <f t="shared" si="70"/>
        <v/>
      </c>
    </row>
    <row r="243" spans="1:14" s="5" customFormat="1" ht="20.100000000000001" customHeight="1" x14ac:dyDescent="0.25">
      <c r="A243" s="14" t="s">
        <v>1670</v>
      </c>
      <c r="B243" s="16" t="s">
        <v>1916</v>
      </c>
      <c r="C243" s="25" t="s">
        <v>60</v>
      </c>
      <c r="D243" s="6" t="s">
        <v>1853</v>
      </c>
      <c r="E243" s="37"/>
      <c r="F243" s="37"/>
      <c r="G243" s="37"/>
      <c r="H243" s="37"/>
      <c r="I243" s="48"/>
      <c r="J243" s="103"/>
      <c r="K243" s="104"/>
      <c r="L243" s="105"/>
      <c r="M243" s="106" t="str">
        <f t="shared" si="70"/>
        <v/>
      </c>
      <c r="N243" s="5" t="s">
        <v>1673</v>
      </c>
    </row>
    <row r="244" spans="1:14" s="5" customFormat="1" ht="30" customHeight="1" x14ac:dyDescent="0.25">
      <c r="A244" s="14" t="s">
        <v>1670</v>
      </c>
      <c r="B244" s="16" t="s">
        <v>1916</v>
      </c>
      <c r="C244" s="25" t="s">
        <v>61</v>
      </c>
      <c r="D244" s="175" t="s">
        <v>1917</v>
      </c>
      <c r="E244" s="38">
        <v>0</v>
      </c>
      <c r="F244" s="39">
        <v>0</v>
      </c>
      <c r="G244" s="40">
        <v>0</v>
      </c>
      <c r="H244" s="41">
        <v>0</v>
      </c>
      <c r="I244" s="42">
        <f t="shared" ref="I244" si="85">SUM(E244:H244)</f>
        <v>0</v>
      </c>
      <c r="J244" s="103" t="str">
        <f>IFERROR(E244/$I244*100,"")</f>
        <v/>
      </c>
      <c r="K244" s="104" t="str">
        <f>IFERROR(F244/$I244*100,"")</f>
        <v/>
      </c>
      <c r="L244" s="105" t="str">
        <f>IFERROR(G244/$I244*100,"")</f>
        <v/>
      </c>
      <c r="M244" s="106" t="str">
        <f t="shared" si="70"/>
        <v/>
      </c>
      <c r="N244" s="5" t="s">
        <v>1671</v>
      </c>
    </row>
    <row r="245" spans="1:14" ht="5.0999999999999996" customHeight="1" x14ac:dyDescent="0.25">
      <c r="A245" s="14" t="s">
        <v>1670</v>
      </c>
      <c r="B245" s="16" t="s">
        <v>1916</v>
      </c>
      <c r="C245"/>
      <c r="D245" s="57"/>
      <c r="E245" s="59"/>
      <c r="F245" s="59"/>
      <c r="G245" s="59"/>
      <c r="H245" s="59"/>
      <c r="I245" s="59"/>
      <c r="J245" s="103"/>
      <c r="K245" s="104"/>
      <c r="L245" s="105"/>
      <c r="M245" s="106" t="str">
        <f t="shared" si="70"/>
        <v/>
      </c>
    </row>
    <row r="246" spans="1:14" s="5" customFormat="1" ht="20.100000000000001" customHeight="1" x14ac:dyDescent="0.25">
      <c r="A246" s="14" t="s">
        <v>1670</v>
      </c>
      <c r="B246" s="16" t="s">
        <v>1637</v>
      </c>
      <c r="C246" s="25" t="s">
        <v>60</v>
      </c>
      <c r="D246" s="6" t="s">
        <v>1636</v>
      </c>
      <c r="E246" s="37"/>
      <c r="F246" s="37"/>
      <c r="G246" s="37"/>
      <c r="H246" s="37"/>
      <c r="I246" s="48"/>
      <c r="J246" s="103"/>
      <c r="K246" s="104"/>
      <c r="L246" s="105"/>
      <c r="M246" s="106" t="str">
        <f t="shared" si="70"/>
        <v/>
      </c>
      <c r="N246" s="5" t="s">
        <v>1673</v>
      </c>
    </row>
    <row r="247" spans="1:14" s="3" customFormat="1" ht="30" customHeight="1" x14ac:dyDescent="0.25">
      <c r="A247" s="14" t="s">
        <v>1670</v>
      </c>
      <c r="B247" s="16" t="s">
        <v>1637</v>
      </c>
      <c r="C247" s="25" t="s">
        <v>61</v>
      </c>
      <c r="D247" s="87" t="s">
        <v>1638</v>
      </c>
      <c r="E247" s="38">
        <v>0</v>
      </c>
      <c r="F247" s="39">
        <v>0</v>
      </c>
      <c r="G247" s="40">
        <v>0</v>
      </c>
      <c r="H247" s="41">
        <v>0</v>
      </c>
      <c r="I247" s="42">
        <f t="shared" ref="I247:I252" si="86">SUM(E247:H247)</f>
        <v>0</v>
      </c>
      <c r="J247" s="103" t="str">
        <f t="shared" ref="J247:L251" si="87">IFERROR(E247/$I247*100,"")</f>
        <v/>
      </c>
      <c r="K247" s="104" t="str">
        <f t="shared" si="87"/>
        <v/>
      </c>
      <c r="L247" s="105" t="str">
        <f t="shared" si="87"/>
        <v/>
      </c>
      <c r="M247" s="106" t="str">
        <f t="shared" si="70"/>
        <v/>
      </c>
    </row>
    <row r="248" spans="1:14" s="3" customFormat="1" ht="30" customHeight="1" x14ac:dyDescent="0.25">
      <c r="A248" s="14" t="s">
        <v>1670</v>
      </c>
      <c r="B248" s="16" t="s">
        <v>1637</v>
      </c>
      <c r="C248" s="25" t="s">
        <v>61</v>
      </c>
      <c r="D248" s="87" t="s">
        <v>1669</v>
      </c>
      <c r="E248" s="38">
        <v>0</v>
      </c>
      <c r="F248" s="39">
        <v>0</v>
      </c>
      <c r="G248" s="40">
        <v>0</v>
      </c>
      <c r="H248" s="41">
        <v>0</v>
      </c>
      <c r="I248" s="42">
        <f t="shared" si="86"/>
        <v>0</v>
      </c>
      <c r="J248" s="103" t="str">
        <f t="shared" si="87"/>
        <v/>
      </c>
      <c r="K248" s="104" t="str">
        <f t="shared" si="87"/>
        <v/>
      </c>
      <c r="L248" s="105" t="str">
        <f t="shared" si="87"/>
        <v/>
      </c>
      <c r="M248" s="106" t="str">
        <f t="shared" si="70"/>
        <v/>
      </c>
    </row>
    <row r="249" spans="1:14" s="3" customFormat="1" ht="30" customHeight="1" x14ac:dyDescent="0.25">
      <c r="A249" s="14" t="s">
        <v>1670</v>
      </c>
      <c r="B249" s="16" t="s">
        <v>1637</v>
      </c>
      <c r="C249" s="25" t="s">
        <v>61</v>
      </c>
      <c r="D249" s="87" t="s">
        <v>1640</v>
      </c>
      <c r="E249" s="38">
        <v>0</v>
      </c>
      <c r="F249" s="39">
        <v>0</v>
      </c>
      <c r="G249" s="40">
        <v>0</v>
      </c>
      <c r="H249" s="41">
        <v>0</v>
      </c>
      <c r="I249" s="42">
        <f t="shared" si="86"/>
        <v>0</v>
      </c>
      <c r="J249" s="103" t="str">
        <f t="shared" si="87"/>
        <v/>
      </c>
      <c r="K249" s="104" t="str">
        <f t="shared" si="87"/>
        <v/>
      </c>
      <c r="L249" s="105" t="str">
        <f t="shared" si="87"/>
        <v/>
      </c>
      <c r="M249" s="106" t="str">
        <f t="shared" si="70"/>
        <v/>
      </c>
    </row>
    <row r="250" spans="1:14" s="3" customFormat="1" ht="30" customHeight="1" x14ac:dyDescent="0.25">
      <c r="A250" s="14" t="s">
        <v>1670</v>
      </c>
      <c r="B250" s="16" t="s">
        <v>1637</v>
      </c>
      <c r="C250" s="25" t="s">
        <v>61</v>
      </c>
      <c r="D250" s="87" t="s">
        <v>1639</v>
      </c>
      <c r="E250" s="38">
        <v>0</v>
      </c>
      <c r="F250" s="39">
        <v>0</v>
      </c>
      <c r="G250" s="40">
        <v>0</v>
      </c>
      <c r="H250" s="41">
        <v>0</v>
      </c>
      <c r="I250" s="42">
        <f t="shared" si="86"/>
        <v>0</v>
      </c>
      <c r="J250" s="103" t="str">
        <f t="shared" si="87"/>
        <v/>
      </c>
      <c r="K250" s="104" t="str">
        <f t="shared" si="87"/>
        <v/>
      </c>
      <c r="L250" s="105" t="str">
        <f t="shared" si="87"/>
        <v/>
      </c>
      <c r="M250" s="106" t="str">
        <f t="shared" si="70"/>
        <v/>
      </c>
    </row>
    <row r="251" spans="1:14" s="3" customFormat="1" ht="30" customHeight="1" x14ac:dyDescent="0.25">
      <c r="A251" s="14" t="s">
        <v>1670</v>
      </c>
      <c r="B251" s="16" t="s">
        <v>1637</v>
      </c>
      <c r="C251" s="25" t="s">
        <v>61</v>
      </c>
      <c r="D251" s="87" t="s">
        <v>1641</v>
      </c>
      <c r="E251" s="38">
        <v>0</v>
      </c>
      <c r="F251" s="39">
        <v>0</v>
      </c>
      <c r="G251" s="40">
        <v>0</v>
      </c>
      <c r="H251" s="41">
        <v>0</v>
      </c>
      <c r="I251" s="42">
        <f t="shared" si="86"/>
        <v>0</v>
      </c>
      <c r="J251" s="103" t="str">
        <f t="shared" si="87"/>
        <v/>
      </c>
      <c r="K251" s="104" t="str">
        <f t="shared" si="87"/>
        <v/>
      </c>
      <c r="L251" s="105" t="str">
        <f t="shared" si="87"/>
        <v/>
      </c>
      <c r="M251" s="106" t="str">
        <f t="shared" si="70"/>
        <v/>
      </c>
    </row>
    <row r="252" spans="1:14" s="3" customFormat="1" ht="30" customHeight="1" x14ac:dyDescent="0.25">
      <c r="A252" s="14" t="s">
        <v>1670</v>
      </c>
      <c r="B252" s="16" t="s">
        <v>1637</v>
      </c>
      <c r="C252" s="25"/>
      <c r="D252" s="87" t="s">
        <v>29</v>
      </c>
      <c r="E252" s="38">
        <f>SUM(E247:E251)</f>
        <v>0</v>
      </c>
      <c r="F252" s="39">
        <f>SUM(F247:F251)</f>
        <v>0</v>
      </c>
      <c r="G252" s="40">
        <f>SUM(G247:G251)</f>
        <v>0</v>
      </c>
      <c r="H252" s="41">
        <f>SUM(H247:H251)</f>
        <v>0</v>
      </c>
      <c r="I252" s="42">
        <f t="shared" si="86"/>
        <v>0</v>
      </c>
      <c r="J252" s="103" t="str">
        <f>IFERROR(E252/SUM($E252:$H252)*100,"")</f>
        <v/>
      </c>
      <c r="K252" s="104" t="str">
        <f>IFERROR(F252/SUM($E252:$H252)*100,"")</f>
        <v/>
      </c>
      <c r="L252" s="105" t="str">
        <f>IFERROR(G252/SUM($E252:$H252)*100,"")</f>
        <v/>
      </c>
      <c r="M252" s="106" t="str">
        <f t="shared" si="70"/>
        <v/>
      </c>
      <c r="N252" s="5" t="s">
        <v>1671</v>
      </c>
    </row>
    <row r="253" spans="1:14" ht="5.0999999999999996" customHeight="1" x14ac:dyDescent="0.25">
      <c r="A253" s="14" t="s">
        <v>1670</v>
      </c>
      <c r="B253" s="16" t="s">
        <v>1637</v>
      </c>
      <c r="C253"/>
      <c r="J253" s="103"/>
      <c r="K253" s="104"/>
      <c r="L253" s="105"/>
      <c r="M253" s="106" t="str">
        <f t="shared" si="70"/>
        <v/>
      </c>
    </row>
    <row r="254" spans="1:14" s="5" customFormat="1" ht="20.100000000000001" customHeight="1" x14ac:dyDescent="0.25">
      <c r="A254" s="14" t="s">
        <v>1670</v>
      </c>
      <c r="B254" s="16" t="s">
        <v>42</v>
      </c>
      <c r="C254" s="25" t="s">
        <v>60</v>
      </c>
      <c r="D254" s="6" t="s">
        <v>1744</v>
      </c>
      <c r="E254" s="37"/>
      <c r="F254" s="37"/>
      <c r="G254" s="37"/>
      <c r="H254" s="37"/>
      <c r="I254" s="48"/>
      <c r="J254" s="103"/>
      <c r="K254" s="104"/>
      <c r="L254" s="105"/>
      <c r="M254" s="106" t="str">
        <f t="shared" si="70"/>
        <v/>
      </c>
      <c r="N254" s="5" t="s">
        <v>1673</v>
      </c>
    </row>
    <row r="255" spans="1:14" s="3" customFormat="1" ht="30" customHeight="1" x14ac:dyDescent="0.25">
      <c r="A255" s="14" t="s">
        <v>1670</v>
      </c>
      <c r="B255" s="16" t="s">
        <v>42</v>
      </c>
      <c r="C255" s="25" t="s">
        <v>61</v>
      </c>
      <c r="D255" s="12" t="s">
        <v>43</v>
      </c>
      <c r="E255" s="38">
        <v>0</v>
      </c>
      <c r="F255" s="39">
        <v>0</v>
      </c>
      <c r="G255" s="40">
        <v>0</v>
      </c>
      <c r="H255" s="41">
        <v>0</v>
      </c>
      <c r="I255" s="42">
        <f t="shared" ref="I255:I264" si="88">SUM(E255:H255)</f>
        <v>0</v>
      </c>
      <c r="J255" s="103" t="str">
        <f t="shared" ref="J255:J264" si="89">IFERROR(E255/$I255*100,"")</f>
        <v/>
      </c>
      <c r="K255" s="104" t="str">
        <f t="shared" ref="K255:K264" si="90">IFERROR(F255/$I255*100,"")</f>
        <v/>
      </c>
      <c r="L255" s="105" t="str">
        <f t="shared" ref="L255:L264" si="91">IFERROR(G255/$I255*100,"")</f>
        <v/>
      </c>
      <c r="M255" s="106" t="str">
        <f t="shared" si="70"/>
        <v/>
      </c>
    </row>
    <row r="256" spans="1:14" s="3" customFormat="1" ht="30" customHeight="1" x14ac:dyDescent="0.25">
      <c r="A256" s="14" t="s">
        <v>1670</v>
      </c>
      <c r="B256" s="16" t="s">
        <v>42</v>
      </c>
      <c r="C256" s="25" t="s">
        <v>61</v>
      </c>
      <c r="D256" s="12" t="s">
        <v>44</v>
      </c>
      <c r="E256" s="38">
        <v>0</v>
      </c>
      <c r="F256" s="39">
        <v>0</v>
      </c>
      <c r="G256" s="40">
        <v>0</v>
      </c>
      <c r="H256" s="41">
        <v>0</v>
      </c>
      <c r="I256" s="42">
        <f t="shared" si="88"/>
        <v>0</v>
      </c>
      <c r="J256" s="103" t="str">
        <f t="shared" si="89"/>
        <v/>
      </c>
      <c r="K256" s="104" t="str">
        <f t="shared" si="90"/>
        <v/>
      </c>
      <c r="L256" s="105" t="str">
        <f t="shared" si="91"/>
        <v/>
      </c>
      <c r="M256" s="106" t="str">
        <f t="shared" si="70"/>
        <v/>
      </c>
    </row>
    <row r="257" spans="1:14" s="3" customFormat="1" ht="30" customHeight="1" x14ac:dyDescent="0.25">
      <c r="A257" s="14" t="s">
        <v>1670</v>
      </c>
      <c r="B257" s="16" t="s">
        <v>42</v>
      </c>
      <c r="C257" s="25" t="s">
        <v>61</v>
      </c>
      <c r="D257" s="12" t="s">
        <v>45</v>
      </c>
      <c r="E257" s="38">
        <v>0</v>
      </c>
      <c r="F257" s="39">
        <v>0</v>
      </c>
      <c r="G257" s="40">
        <v>0</v>
      </c>
      <c r="H257" s="41">
        <v>0</v>
      </c>
      <c r="I257" s="42">
        <f t="shared" si="88"/>
        <v>0</v>
      </c>
      <c r="J257" s="103" t="str">
        <f t="shared" si="89"/>
        <v/>
      </c>
      <c r="K257" s="104" t="str">
        <f t="shared" si="90"/>
        <v/>
      </c>
      <c r="L257" s="105" t="str">
        <f t="shared" si="91"/>
        <v/>
      </c>
      <c r="M257" s="106" t="str">
        <f t="shared" si="70"/>
        <v/>
      </c>
    </row>
    <row r="258" spans="1:14" s="3" customFormat="1" ht="30" customHeight="1" x14ac:dyDescent="0.25">
      <c r="A258" s="14" t="s">
        <v>1670</v>
      </c>
      <c r="B258" s="16" t="s">
        <v>42</v>
      </c>
      <c r="C258" s="25" t="s">
        <v>61</v>
      </c>
      <c r="D258" s="12" t="s">
        <v>46</v>
      </c>
      <c r="E258" s="38">
        <v>0</v>
      </c>
      <c r="F258" s="39">
        <v>0</v>
      </c>
      <c r="G258" s="40">
        <v>0</v>
      </c>
      <c r="H258" s="41">
        <v>0</v>
      </c>
      <c r="I258" s="42">
        <f t="shared" si="88"/>
        <v>0</v>
      </c>
      <c r="J258" s="103" t="str">
        <f t="shared" si="89"/>
        <v/>
      </c>
      <c r="K258" s="104" t="str">
        <f t="shared" si="90"/>
        <v/>
      </c>
      <c r="L258" s="105" t="str">
        <f t="shared" si="91"/>
        <v/>
      </c>
      <c r="M258" s="106" t="str">
        <f t="shared" si="70"/>
        <v/>
      </c>
    </row>
    <row r="259" spans="1:14" s="3" customFormat="1" ht="30" customHeight="1" x14ac:dyDescent="0.25">
      <c r="A259" s="14" t="s">
        <v>1670</v>
      </c>
      <c r="B259" s="16" t="s">
        <v>42</v>
      </c>
      <c r="C259" s="25" t="s">
        <v>61</v>
      </c>
      <c r="D259" s="12" t="s">
        <v>51</v>
      </c>
      <c r="E259" s="38">
        <v>0</v>
      </c>
      <c r="F259" s="39">
        <v>0</v>
      </c>
      <c r="G259" s="40">
        <v>0</v>
      </c>
      <c r="H259" s="41">
        <v>0</v>
      </c>
      <c r="I259" s="42">
        <f t="shared" si="88"/>
        <v>0</v>
      </c>
      <c r="J259" s="103" t="str">
        <f t="shared" si="89"/>
        <v/>
      </c>
      <c r="K259" s="104" t="str">
        <f t="shared" si="90"/>
        <v/>
      </c>
      <c r="L259" s="105" t="str">
        <f t="shared" si="91"/>
        <v/>
      </c>
      <c r="M259" s="106" t="str">
        <f t="shared" si="70"/>
        <v/>
      </c>
    </row>
    <row r="260" spans="1:14" s="3" customFormat="1" ht="30" customHeight="1" x14ac:dyDescent="0.25">
      <c r="A260" s="14" t="s">
        <v>1670</v>
      </c>
      <c r="B260" s="16" t="s">
        <v>42</v>
      </c>
      <c r="C260" s="25" t="s">
        <v>61</v>
      </c>
      <c r="D260" s="12" t="s">
        <v>52</v>
      </c>
      <c r="E260" s="38">
        <v>0</v>
      </c>
      <c r="F260" s="39">
        <v>0</v>
      </c>
      <c r="G260" s="40">
        <v>0</v>
      </c>
      <c r="H260" s="41">
        <v>0</v>
      </c>
      <c r="I260" s="42">
        <f t="shared" si="88"/>
        <v>0</v>
      </c>
      <c r="J260" s="103" t="str">
        <f t="shared" si="89"/>
        <v/>
      </c>
      <c r="K260" s="104" t="str">
        <f t="shared" si="90"/>
        <v/>
      </c>
      <c r="L260" s="105" t="str">
        <f t="shared" si="91"/>
        <v/>
      </c>
      <c r="M260" s="106" t="str">
        <f t="shared" si="70"/>
        <v/>
      </c>
    </row>
    <row r="261" spans="1:14" s="3" customFormat="1" ht="30" customHeight="1" x14ac:dyDescent="0.25">
      <c r="A261" s="14" t="s">
        <v>1670</v>
      </c>
      <c r="B261" s="16" t="s">
        <v>42</v>
      </c>
      <c r="C261" s="25" t="s">
        <v>61</v>
      </c>
      <c r="D261" s="12" t="s">
        <v>47</v>
      </c>
      <c r="E261" s="38">
        <v>0</v>
      </c>
      <c r="F261" s="39">
        <v>0</v>
      </c>
      <c r="G261" s="40">
        <v>0</v>
      </c>
      <c r="H261" s="41">
        <v>0</v>
      </c>
      <c r="I261" s="42">
        <f t="shared" si="88"/>
        <v>0</v>
      </c>
      <c r="J261" s="103" t="str">
        <f t="shared" si="89"/>
        <v/>
      </c>
      <c r="K261" s="104" t="str">
        <f t="shared" si="90"/>
        <v/>
      </c>
      <c r="L261" s="105" t="str">
        <f t="shared" si="91"/>
        <v/>
      </c>
      <c r="M261" s="106" t="str">
        <f t="shared" si="70"/>
        <v/>
      </c>
    </row>
    <row r="262" spans="1:14" s="3" customFormat="1" ht="30" customHeight="1" x14ac:dyDescent="0.25">
      <c r="A262" s="14" t="s">
        <v>1670</v>
      </c>
      <c r="B262" s="16" t="s">
        <v>42</v>
      </c>
      <c r="C262" s="25" t="s">
        <v>61</v>
      </c>
      <c r="D262" s="12" t="s">
        <v>48</v>
      </c>
      <c r="E262" s="38">
        <v>0</v>
      </c>
      <c r="F262" s="39">
        <v>0</v>
      </c>
      <c r="G262" s="40">
        <v>0</v>
      </c>
      <c r="H262" s="41">
        <v>0</v>
      </c>
      <c r="I262" s="42">
        <f t="shared" si="88"/>
        <v>0</v>
      </c>
      <c r="J262" s="103" t="str">
        <f t="shared" si="89"/>
        <v/>
      </c>
      <c r="K262" s="104" t="str">
        <f t="shared" si="90"/>
        <v/>
      </c>
      <c r="L262" s="105" t="str">
        <f t="shared" si="91"/>
        <v/>
      </c>
      <c r="M262" s="106" t="str">
        <f t="shared" si="70"/>
        <v/>
      </c>
    </row>
    <row r="263" spans="1:14" s="3" customFormat="1" ht="30" customHeight="1" x14ac:dyDescent="0.25">
      <c r="A263" s="14" t="s">
        <v>1670</v>
      </c>
      <c r="B263" s="16" t="s">
        <v>42</v>
      </c>
      <c r="C263" s="25" t="s">
        <v>61</v>
      </c>
      <c r="D263" s="12" t="s">
        <v>49</v>
      </c>
      <c r="E263" s="38">
        <v>0</v>
      </c>
      <c r="F263" s="39">
        <v>0</v>
      </c>
      <c r="G263" s="40">
        <v>0</v>
      </c>
      <c r="H263" s="41">
        <v>0</v>
      </c>
      <c r="I263" s="42">
        <f t="shared" si="88"/>
        <v>0</v>
      </c>
      <c r="J263" s="103" t="str">
        <f t="shared" si="89"/>
        <v/>
      </c>
      <c r="K263" s="104" t="str">
        <f t="shared" si="90"/>
        <v/>
      </c>
      <c r="L263" s="105" t="str">
        <f t="shared" si="91"/>
        <v/>
      </c>
      <c r="M263" s="106" t="str">
        <f t="shared" si="70"/>
        <v/>
      </c>
    </row>
    <row r="264" spans="1:14" s="3" customFormat="1" ht="30" customHeight="1" x14ac:dyDescent="0.25">
      <c r="A264" s="14" t="s">
        <v>1670</v>
      </c>
      <c r="B264" s="16" t="s">
        <v>42</v>
      </c>
      <c r="C264" s="25" t="s">
        <v>61</v>
      </c>
      <c r="D264" s="12" t="s">
        <v>50</v>
      </c>
      <c r="E264" s="38">
        <v>0</v>
      </c>
      <c r="F264" s="39">
        <v>0</v>
      </c>
      <c r="G264" s="40">
        <v>0</v>
      </c>
      <c r="H264" s="41">
        <v>0</v>
      </c>
      <c r="I264" s="42">
        <f t="shared" si="88"/>
        <v>0</v>
      </c>
      <c r="J264" s="103" t="str">
        <f t="shared" si="89"/>
        <v/>
      </c>
      <c r="K264" s="104" t="str">
        <f t="shared" si="90"/>
        <v/>
      </c>
      <c r="L264" s="105" t="str">
        <f t="shared" si="91"/>
        <v/>
      </c>
      <c r="M264" s="106" t="str">
        <f t="shared" si="70"/>
        <v/>
      </c>
    </row>
    <row r="265" spans="1:14" s="8" customFormat="1" ht="30" customHeight="1" x14ac:dyDescent="0.25">
      <c r="A265" s="14" t="s">
        <v>1670</v>
      </c>
      <c r="B265" s="16" t="s">
        <v>42</v>
      </c>
      <c r="C265" s="25"/>
      <c r="D265" s="9" t="s">
        <v>29</v>
      </c>
      <c r="E265" s="38">
        <f>SUM(E255:E264)</f>
        <v>0</v>
      </c>
      <c r="F265" s="39">
        <f t="shared" ref="F265" si="92">SUM(F255:F264)</f>
        <v>0</v>
      </c>
      <c r="G265" s="40">
        <f t="shared" ref="G265" si="93">SUM(G255:G264)</f>
        <v>0</v>
      </c>
      <c r="H265" s="41">
        <f t="shared" ref="H265" si="94">SUM(H255:H264)</f>
        <v>0</v>
      </c>
      <c r="I265" s="43">
        <f t="shared" ref="I265" si="95">SUM(I255:I264)</f>
        <v>0</v>
      </c>
      <c r="J265" s="103" t="str">
        <f>IFERROR(E265/SUM($E265:$H265)*100,"")</f>
        <v/>
      </c>
      <c r="K265" s="104" t="str">
        <f>IFERROR(F265/SUM($E265:$H265)*100,"")</f>
        <v/>
      </c>
      <c r="L265" s="105" t="str">
        <f>IFERROR(G265/SUM($E265:$H265)*100,"")</f>
        <v/>
      </c>
      <c r="M265" s="106" t="str">
        <f t="shared" si="70"/>
        <v/>
      </c>
      <c r="N265" s="5" t="s">
        <v>1671</v>
      </c>
    </row>
    <row r="266" spans="1:14" ht="5.0999999999999996" customHeight="1" x14ac:dyDescent="0.25">
      <c r="A266" s="14" t="s">
        <v>1670</v>
      </c>
      <c r="B266" s="16" t="s">
        <v>42</v>
      </c>
      <c r="C266"/>
      <c r="D266" s="57"/>
      <c r="E266" s="59"/>
      <c r="F266" s="59"/>
      <c r="G266" s="59"/>
      <c r="H266" s="59"/>
      <c r="I266" s="59"/>
      <c r="J266" s="103"/>
      <c r="K266" s="104"/>
      <c r="L266" s="105"/>
      <c r="M266" s="106" t="str">
        <f t="shared" si="70"/>
        <v/>
      </c>
    </row>
    <row r="267" spans="1:14" s="7" customFormat="1" ht="20.100000000000001" customHeight="1" x14ac:dyDescent="0.25">
      <c r="A267" s="14" t="s">
        <v>1670</v>
      </c>
      <c r="B267" s="16" t="s">
        <v>62</v>
      </c>
      <c r="C267" s="25" t="s">
        <v>60</v>
      </c>
      <c r="D267" s="62" t="s">
        <v>63</v>
      </c>
      <c r="E267" s="63"/>
      <c r="F267" s="63"/>
      <c r="G267" s="63"/>
      <c r="H267" s="63"/>
      <c r="I267" s="64"/>
      <c r="J267" s="103"/>
      <c r="K267" s="104"/>
      <c r="L267" s="105"/>
      <c r="M267" s="106" t="str">
        <f t="shared" si="70"/>
        <v/>
      </c>
      <c r="N267" s="5" t="s">
        <v>1673</v>
      </c>
    </row>
    <row r="268" spans="1:14" s="8" customFormat="1" ht="30" customHeight="1" x14ac:dyDescent="0.25">
      <c r="A268" s="14" t="s">
        <v>1670</v>
      </c>
      <c r="B268" s="16" t="s">
        <v>62</v>
      </c>
      <c r="C268" s="25"/>
      <c r="D268" s="12" t="s">
        <v>29</v>
      </c>
      <c r="E268" s="38" t="e">
        <f>SUM(E218,E207,E226,E265,E221,E229,E238,E241,E252,#REF!)</f>
        <v>#REF!</v>
      </c>
      <c r="F268" s="39" t="e">
        <f>SUM(F218,F207,F226,F265,F221,F229,F238,F241,F252,#REF!)</f>
        <v>#REF!</v>
      </c>
      <c r="G268" s="40" t="e">
        <f>SUM(G218,G207,G226,G265,G221,G229,G238,G241,G252,#REF!)</f>
        <v>#REF!</v>
      </c>
      <c r="H268" s="41" t="e">
        <f>SUM(H218,H207,H226,H265,H221,H229,H238,H241,H252,#REF!)</f>
        <v>#REF!</v>
      </c>
      <c r="I268" s="42" t="e">
        <f>SUM(I218,I207,I226,I265,I221,I229,I238,I241,I252,#REF!)</f>
        <v>#REF!</v>
      </c>
      <c r="J268" s="103" t="str">
        <f>IFERROR(E268/SUM($E268:$H268)*100,"")</f>
        <v/>
      </c>
      <c r="K268" s="104" t="str">
        <f>IFERROR(F268/SUM($E268:$H268)*100,"")</f>
        <v/>
      </c>
      <c r="L268" s="105" t="str">
        <f>IFERROR(G268/SUM($E268:$H268)*100,"")</f>
        <v/>
      </c>
      <c r="M268" s="106" t="str">
        <f t="shared" si="70"/>
        <v/>
      </c>
      <c r="N268" s="5" t="s">
        <v>1671</v>
      </c>
    </row>
    <row r="269" spans="1:14" s="5" customFormat="1" ht="20.100000000000001" customHeight="1" x14ac:dyDescent="0.25">
      <c r="A269" s="14" t="s">
        <v>1670</v>
      </c>
      <c r="B269" s="14"/>
      <c r="C269" s="25" t="s">
        <v>60</v>
      </c>
      <c r="D269" s="7"/>
      <c r="E269" s="8"/>
      <c r="F269" s="8"/>
      <c r="G269" s="8"/>
      <c r="H269" s="8"/>
      <c r="I269" s="8"/>
      <c r="J269" s="103"/>
      <c r="K269" s="104"/>
      <c r="L269" s="105"/>
      <c r="M269" s="106" t="str">
        <f t="shared" ref="M269:M332" si="96">IFERROR(H269/$I269*100,"")</f>
        <v/>
      </c>
    </row>
    <row r="270" spans="1:14" s="5" customFormat="1" ht="20.100000000000001" customHeight="1" x14ac:dyDescent="0.25">
      <c r="A270" s="14" t="s">
        <v>17</v>
      </c>
      <c r="B270" s="14"/>
      <c r="C270" s="25" t="s">
        <v>60</v>
      </c>
      <c r="D270" s="20" t="str">
        <f>IFERROR(A270&amp;"   ("&amp;COUNTIFS(#REF!,"="&amp;A270)&amp;")",A270)</f>
        <v>DO</v>
      </c>
      <c r="E270" s="45"/>
      <c r="F270" s="45"/>
      <c r="G270" s="45"/>
      <c r="H270" s="45"/>
      <c r="I270" s="46"/>
      <c r="J270" s="103"/>
      <c r="K270" s="104"/>
      <c r="L270" s="105"/>
      <c r="M270" s="106" t="str">
        <f t="shared" si="96"/>
        <v/>
      </c>
      <c r="N270" s="5" t="s">
        <v>1672</v>
      </c>
    </row>
    <row r="271" spans="1:14" s="5" customFormat="1" ht="20.100000000000001" customHeight="1" x14ac:dyDescent="0.25">
      <c r="A271" s="14" t="s">
        <v>17</v>
      </c>
      <c r="B271" s="16" t="s">
        <v>20</v>
      </c>
      <c r="C271" s="25" t="s">
        <v>60</v>
      </c>
      <c r="D271" s="6" t="s">
        <v>20</v>
      </c>
      <c r="E271" s="37"/>
      <c r="F271" s="37"/>
      <c r="G271" s="37"/>
      <c r="H271" s="37"/>
      <c r="I271" s="48"/>
      <c r="J271" s="103"/>
      <c r="K271" s="104"/>
      <c r="L271" s="105"/>
      <c r="M271" s="106" t="str">
        <f t="shared" si="96"/>
        <v/>
      </c>
      <c r="N271" s="5" t="s">
        <v>1673</v>
      </c>
    </row>
    <row r="272" spans="1:14" s="5" customFormat="1" ht="30" customHeight="1" x14ac:dyDescent="0.25">
      <c r="A272" s="14" t="s">
        <v>17</v>
      </c>
      <c r="B272" s="16" t="s">
        <v>20</v>
      </c>
      <c r="C272" s="25" t="s">
        <v>61</v>
      </c>
      <c r="D272" s="12" t="s">
        <v>25</v>
      </c>
      <c r="E272" s="38">
        <v>0</v>
      </c>
      <c r="F272" s="39">
        <v>0</v>
      </c>
      <c r="G272" s="40">
        <v>0</v>
      </c>
      <c r="H272" s="41">
        <v>0</v>
      </c>
      <c r="I272" s="42">
        <f>SUM(E272:H272)</f>
        <v>0</v>
      </c>
      <c r="J272" s="103" t="str">
        <f>IFERROR(E272/$I272*100,"")</f>
        <v/>
      </c>
      <c r="K272" s="104" t="str">
        <f>IFERROR(F272/$I272*100,"")</f>
        <v/>
      </c>
      <c r="L272" s="105" t="str">
        <f>IFERROR(G272/$I272*100,"")</f>
        <v/>
      </c>
      <c r="M272" s="106" t="str">
        <f t="shared" si="96"/>
        <v/>
      </c>
      <c r="N272" s="5" t="s">
        <v>1671</v>
      </c>
    </row>
    <row r="273" spans="1:14" ht="5.0999999999999996" customHeight="1" x14ac:dyDescent="0.25">
      <c r="A273" s="14" t="s">
        <v>17</v>
      </c>
      <c r="B273" s="16" t="s">
        <v>20</v>
      </c>
      <c r="C273"/>
      <c r="J273" s="103"/>
      <c r="K273" s="104"/>
      <c r="L273" s="105"/>
      <c r="M273" s="106" t="str">
        <f t="shared" si="96"/>
        <v/>
      </c>
    </row>
    <row r="274" spans="1:14" s="5" customFormat="1" ht="20.100000000000001" customHeight="1" x14ac:dyDescent="0.25">
      <c r="A274" s="14" t="s">
        <v>17</v>
      </c>
      <c r="B274" s="16" t="s">
        <v>26</v>
      </c>
      <c r="C274" s="25" t="s">
        <v>60</v>
      </c>
      <c r="D274" s="6" t="s">
        <v>98</v>
      </c>
      <c r="E274" s="37"/>
      <c r="F274" s="37"/>
      <c r="G274" s="37"/>
      <c r="H274" s="37"/>
      <c r="I274" s="47"/>
      <c r="J274" s="103"/>
      <c r="K274" s="104"/>
      <c r="L274" s="105"/>
      <c r="M274" s="106" t="str">
        <f t="shared" si="96"/>
        <v/>
      </c>
      <c r="N274" s="5" t="s">
        <v>1673</v>
      </c>
    </row>
    <row r="275" spans="1:14" s="5" customFormat="1" ht="30" customHeight="1" x14ac:dyDescent="0.25">
      <c r="A275" s="14" t="s">
        <v>17</v>
      </c>
      <c r="B275" s="16" t="s">
        <v>26</v>
      </c>
      <c r="C275" s="25" t="s">
        <v>61</v>
      </c>
      <c r="D275" s="31" t="s">
        <v>21</v>
      </c>
      <c r="E275" s="38">
        <v>0</v>
      </c>
      <c r="F275" s="39">
        <v>0</v>
      </c>
      <c r="G275" s="40">
        <v>0</v>
      </c>
      <c r="H275" s="41">
        <v>0</v>
      </c>
      <c r="I275" s="42">
        <f t="shared" ref="I275:I282" si="97">SUM(E275:H275)</f>
        <v>0</v>
      </c>
      <c r="J275" s="103" t="str">
        <f t="shared" ref="J275:L282" si="98">IFERROR(E275/$I275*100,"")</f>
        <v/>
      </c>
      <c r="K275" s="104" t="str">
        <f t="shared" si="98"/>
        <v/>
      </c>
      <c r="L275" s="105" t="str">
        <f t="shared" si="98"/>
        <v/>
      </c>
      <c r="M275" s="106" t="str">
        <f t="shared" si="96"/>
        <v/>
      </c>
    </row>
    <row r="276" spans="1:14" s="5" customFormat="1" ht="30" customHeight="1" x14ac:dyDescent="0.25">
      <c r="A276" s="14" t="s">
        <v>17</v>
      </c>
      <c r="B276" s="16" t="s">
        <v>26</v>
      </c>
      <c r="C276" s="25" t="s">
        <v>61</v>
      </c>
      <c r="D276" s="31" t="s">
        <v>22</v>
      </c>
      <c r="E276" s="38">
        <v>0</v>
      </c>
      <c r="F276" s="39">
        <v>0</v>
      </c>
      <c r="G276" s="40">
        <v>0</v>
      </c>
      <c r="H276" s="41">
        <v>0</v>
      </c>
      <c r="I276" s="42">
        <f t="shared" si="97"/>
        <v>0</v>
      </c>
      <c r="J276" s="103" t="str">
        <f t="shared" si="98"/>
        <v/>
      </c>
      <c r="K276" s="104" t="str">
        <f t="shared" si="98"/>
        <v/>
      </c>
      <c r="L276" s="105" t="str">
        <f t="shared" si="98"/>
        <v/>
      </c>
      <c r="M276" s="106" t="str">
        <f t="shared" si="96"/>
        <v/>
      </c>
    </row>
    <row r="277" spans="1:14" s="5" customFormat="1" ht="30" customHeight="1" x14ac:dyDescent="0.25">
      <c r="A277" s="14" t="s">
        <v>17</v>
      </c>
      <c r="B277" s="16" t="s">
        <v>26</v>
      </c>
      <c r="C277" s="25" t="s">
        <v>61</v>
      </c>
      <c r="D277" s="31" t="s">
        <v>27</v>
      </c>
      <c r="E277" s="38">
        <v>0</v>
      </c>
      <c r="F277" s="39">
        <v>0</v>
      </c>
      <c r="G277" s="40">
        <v>0</v>
      </c>
      <c r="H277" s="41">
        <v>0</v>
      </c>
      <c r="I277" s="42">
        <f t="shared" si="97"/>
        <v>0</v>
      </c>
      <c r="J277" s="103" t="str">
        <f t="shared" si="98"/>
        <v/>
      </c>
      <c r="K277" s="104" t="str">
        <f t="shared" si="98"/>
        <v/>
      </c>
      <c r="L277" s="105" t="str">
        <f t="shared" si="98"/>
        <v/>
      </c>
      <c r="M277" s="106" t="str">
        <f t="shared" si="96"/>
        <v/>
      </c>
    </row>
    <row r="278" spans="1:14" s="5" customFormat="1" ht="30" customHeight="1" x14ac:dyDescent="0.25">
      <c r="A278" s="14" t="s">
        <v>17</v>
      </c>
      <c r="B278" s="16" t="s">
        <v>26</v>
      </c>
      <c r="C278" s="25" t="s">
        <v>61</v>
      </c>
      <c r="D278" s="31" t="s">
        <v>23</v>
      </c>
      <c r="E278" s="38">
        <v>0</v>
      </c>
      <c r="F278" s="39">
        <v>0</v>
      </c>
      <c r="G278" s="40">
        <v>0</v>
      </c>
      <c r="H278" s="41">
        <v>0</v>
      </c>
      <c r="I278" s="42">
        <f t="shared" si="97"/>
        <v>0</v>
      </c>
      <c r="J278" s="103" t="str">
        <f t="shared" si="98"/>
        <v/>
      </c>
      <c r="K278" s="104" t="str">
        <f t="shared" si="98"/>
        <v/>
      </c>
      <c r="L278" s="105" t="str">
        <f t="shared" si="98"/>
        <v/>
      </c>
      <c r="M278" s="106" t="str">
        <f t="shared" si="96"/>
        <v/>
      </c>
    </row>
    <row r="279" spans="1:14" s="5" customFormat="1" ht="30" customHeight="1" x14ac:dyDescent="0.25">
      <c r="A279" s="14" t="s">
        <v>17</v>
      </c>
      <c r="B279" s="16" t="s">
        <v>26</v>
      </c>
      <c r="C279" s="25" t="s">
        <v>61</v>
      </c>
      <c r="D279" s="31" t="s">
        <v>24</v>
      </c>
      <c r="E279" s="38">
        <v>0</v>
      </c>
      <c r="F279" s="39">
        <v>0</v>
      </c>
      <c r="G279" s="40">
        <v>0</v>
      </c>
      <c r="H279" s="41">
        <v>0</v>
      </c>
      <c r="I279" s="42">
        <f t="shared" si="97"/>
        <v>0</v>
      </c>
      <c r="J279" s="103" t="str">
        <f t="shared" si="98"/>
        <v/>
      </c>
      <c r="K279" s="104" t="str">
        <f t="shared" si="98"/>
        <v/>
      </c>
      <c r="L279" s="105" t="str">
        <f t="shared" si="98"/>
        <v/>
      </c>
      <c r="M279" s="106" t="str">
        <f t="shared" si="96"/>
        <v/>
      </c>
    </row>
    <row r="280" spans="1:14" s="3" customFormat="1" ht="30" customHeight="1" x14ac:dyDescent="0.25">
      <c r="A280" s="14" t="s">
        <v>17</v>
      </c>
      <c r="B280" s="16" t="s">
        <v>26</v>
      </c>
      <c r="C280" s="25" t="s">
        <v>61</v>
      </c>
      <c r="D280" s="31" t="s">
        <v>41</v>
      </c>
      <c r="E280" s="38">
        <v>0</v>
      </c>
      <c r="F280" s="39">
        <v>0</v>
      </c>
      <c r="G280" s="40">
        <v>0</v>
      </c>
      <c r="H280" s="41">
        <v>0</v>
      </c>
      <c r="I280" s="42">
        <f t="shared" si="97"/>
        <v>0</v>
      </c>
      <c r="J280" s="103" t="str">
        <f t="shared" si="98"/>
        <v/>
      </c>
      <c r="K280" s="104" t="str">
        <f t="shared" si="98"/>
        <v/>
      </c>
      <c r="L280" s="105" t="str">
        <f t="shared" si="98"/>
        <v/>
      </c>
      <c r="M280" s="106" t="str">
        <f t="shared" si="96"/>
        <v/>
      </c>
    </row>
    <row r="281" spans="1:14" s="5" customFormat="1" ht="30" customHeight="1" x14ac:dyDescent="0.25">
      <c r="A281" s="14" t="s">
        <v>17</v>
      </c>
      <c r="B281" s="16" t="s">
        <v>26</v>
      </c>
      <c r="C281" s="25" t="s">
        <v>61</v>
      </c>
      <c r="D281" s="31" t="s">
        <v>28</v>
      </c>
      <c r="E281" s="38">
        <v>0</v>
      </c>
      <c r="F281" s="39">
        <v>0</v>
      </c>
      <c r="G281" s="40">
        <v>0</v>
      </c>
      <c r="H281" s="41">
        <v>0</v>
      </c>
      <c r="I281" s="42">
        <f t="shared" si="97"/>
        <v>0</v>
      </c>
      <c r="J281" s="103" t="str">
        <f t="shared" si="98"/>
        <v/>
      </c>
      <c r="K281" s="104" t="str">
        <f t="shared" si="98"/>
        <v/>
      </c>
      <c r="L281" s="105" t="str">
        <f t="shared" si="98"/>
        <v/>
      </c>
      <c r="M281" s="106" t="str">
        <f t="shared" si="96"/>
        <v/>
      </c>
    </row>
    <row r="282" spans="1:14" s="5" customFormat="1" ht="30" customHeight="1" x14ac:dyDescent="0.25">
      <c r="A282" s="14" t="s">
        <v>17</v>
      </c>
      <c r="B282" s="16" t="s">
        <v>26</v>
      </c>
      <c r="C282" s="25" t="s">
        <v>61</v>
      </c>
      <c r="D282" s="31" t="s">
        <v>40</v>
      </c>
      <c r="E282" s="38">
        <v>0</v>
      </c>
      <c r="F282" s="39">
        <v>0</v>
      </c>
      <c r="G282" s="40">
        <v>0</v>
      </c>
      <c r="H282" s="41">
        <v>0</v>
      </c>
      <c r="I282" s="42">
        <f t="shared" si="97"/>
        <v>0</v>
      </c>
      <c r="J282" s="103" t="str">
        <f t="shared" si="98"/>
        <v/>
      </c>
      <c r="K282" s="104" t="str">
        <f t="shared" si="98"/>
        <v/>
      </c>
      <c r="L282" s="105" t="str">
        <f t="shared" si="98"/>
        <v/>
      </c>
      <c r="M282" s="106" t="str">
        <f t="shared" si="96"/>
        <v/>
      </c>
    </row>
    <row r="283" spans="1:14" s="5" customFormat="1" ht="30" customHeight="1" x14ac:dyDescent="0.25">
      <c r="A283" s="14" t="s">
        <v>17</v>
      </c>
      <c r="B283" s="16" t="s">
        <v>26</v>
      </c>
      <c r="C283" s="25"/>
      <c r="D283" s="9" t="s">
        <v>29</v>
      </c>
      <c r="E283" s="38">
        <f>SUM(E275:E282)</f>
        <v>0</v>
      </c>
      <c r="F283" s="39">
        <f t="shared" ref="F283" si="99">SUM(F275:F282)</f>
        <v>0</v>
      </c>
      <c r="G283" s="40">
        <f t="shared" ref="G283" si="100">SUM(G275:G282)</f>
        <v>0</v>
      </c>
      <c r="H283" s="41">
        <f t="shared" ref="H283" si="101">SUM(H275:H282)</f>
        <v>0</v>
      </c>
      <c r="I283" s="43">
        <f t="shared" ref="I283" si="102">SUM(I275:I282)</f>
        <v>0</v>
      </c>
      <c r="J283" s="103" t="str">
        <f>IFERROR(E283/SUM($E283:$H283)*100,"")</f>
        <v/>
      </c>
      <c r="K283" s="104" t="str">
        <f>IFERROR(F283/SUM($E283:$H283)*100,"")</f>
        <v/>
      </c>
      <c r="L283" s="105" t="str">
        <f>IFERROR(G283/SUM($E283:$H283)*100,"")</f>
        <v/>
      </c>
      <c r="M283" s="106" t="str">
        <f t="shared" si="96"/>
        <v/>
      </c>
      <c r="N283" s="5" t="s">
        <v>1671</v>
      </c>
    </row>
    <row r="284" spans="1:14" ht="5.0999999999999996" customHeight="1" x14ac:dyDescent="0.25">
      <c r="A284" s="14" t="s">
        <v>17</v>
      </c>
      <c r="B284" s="16" t="s">
        <v>26</v>
      </c>
      <c r="C284"/>
      <c r="J284" s="103"/>
      <c r="K284" s="104"/>
      <c r="L284" s="105"/>
      <c r="M284" s="106" t="str">
        <f t="shared" si="96"/>
        <v/>
      </c>
    </row>
    <row r="285" spans="1:14" s="5" customFormat="1" ht="20.100000000000001" customHeight="1" x14ac:dyDescent="0.25">
      <c r="A285" s="14" t="s">
        <v>17</v>
      </c>
      <c r="B285" s="16" t="s">
        <v>64</v>
      </c>
      <c r="C285" s="25" t="s">
        <v>60</v>
      </c>
      <c r="D285" s="6" t="s">
        <v>65</v>
      </c>
      <c r="E285" s="37"/>
      <c r="F285" s="37"/>
      <c r="G285" s="37"/>
      <c r="H285" s="37"/>
      <c r="I285" s="48"/>
      <c r="J285" s="103"/>
      <c r="K285" s="104"/>
      <c r="L285" s="105"/>
      <c r="M285" s="106" t="str">
        <f t="shared" si="96"/>
        <v/>
      </c>
      <c r="N285" s="5" t="s">
        <v>1673</v>
      </c>
    </row>
    <row r="286" spans="1:14" s="5" customFormat="1" ht="30" customHeight="1" x14ac:dyDescent="0.25">
      <c r="A286" s="14" t="s">
        <v>17</v>
      </c>
      <c r="B286" s="16" t="s">
        <v>64</v>
      </c>
      <c r="C286" s="25" t="s">
        <v>61</v>
      </c>
      <c r="D286" s="12" t="s">
        <v>66</v>
      </c>
      <c r="E286" s="38">
        <v>0</v>
      </c>
      <c r="F286" s="39">
        <v>0</v>
      </c>
      <c r="G286" s="40">
        <v>0</v>
      </c>
      <c r="H286" s="41">
        <v>0</v>
      </c>
      <c r="I286" s="42">
        <f>SUM(E286:H286)</f>
        <v>0</v>
      </c>
      <c r="J286" s="103" t="str">
        <f>IFERROR(E286/$I286*100,"")</f>
        <v/>
      </c>
      <c r="K286" s="104" t="str">
        <f>IFERROR(F286/$I286*100,"")</f>
        <v/>
      </c>
      <c r="L286" s="105" t="str">
        <f>IFERROR(G286/$I286*100,"")</f>
        <v/>
      </c>
      <c r="M286" s="106" t="str">
        <f t="shared" si="96"/>
        <v/>
      </c>
      <c r="N286" s="5" t="s">
        <v>1671</v>
      </c>
    </row>
    <row r="287" spans="1:14" ht="5.0999999999999996" customHeight="1" x14ac:dyDescent="0.25">
      <c r="A287" s="14" t="s">
        <v>17</v>
      </c>
      <c r="B287" s="16" t="s">
        <v>64</v>
      </c>
      <c r="C287"/>
      <c r="D287" s="57"/>
      <c r="E287" s="59"/>
      <c r="F287" s="59"/>
      <c r="G287" s="59"/>
      <c r="H287" s="59"/>
      <c r="I287" s="59"/>
      <c r="J287" s="103"/>
      <c r="K287" s="104"/>
      <c r="L287" s="105"/>
      <c r="M287" s="106" t="str">
        <f t="shared" si="96"/>
        <v/>
      </c>
    </row>
    <row r="288" spans="1:14" s="5" customFormat="1" ht="20.100000000000001" customHeight="1" x14ac:dyDescent="0.25">
      <c r="A288" s="14" t="s">
        <v>17</v>
      </c>
      <c r="B288" s="16" t="s">
        <v>55</v>
      </c>
      <c r="C288" s="25" t="s">
        <v>60</v>
      </c>
      <c r="D288" s="6" t="s">
        <v>55</v>
      </c>
      <c r="E288" s="37"/>
      <c r="F288" s="37"/>
      <c r="G288" s="37"/>
      <c r="H288" s="37"/>
      <c r="I288" s="48"/>
      <c r="J288" s="103"/>
      <c r="K288" s="104"/>
      <c r="L288" s="105"/>
      <c r="M288" s="106" t="str">
        <f t="shared" si="96"/>
        <v/>
      </c>
      <c r="N288" s="5" t="s">
        <v>1673</v>
      </c>
    </row>
    <row r="289" spans="1:14" s="3" customFormat="1" ht="30" customHeight="1" x14ac:dyDescent="0.25">
      <c r="A289" s="14" t="s">
        <v>17</v>
      </c>
      <c r="B289" s="16" t="s">
        <v>55</v>
      </c>
      <c r="C289" s="25" t="s">
        <v>61</v>
      </c>
      <c r="D289" s="12" t="s">
        <v>56</v>
      </c>
      <c r="E289" s="38">
        <v>0</v>
      </c>
      <c r="F289" s="39">
        <v>0</v>
      </c>
      <c r="G289" s="40">
        <v>0</v>
      </c>
      <c r="H289" s="41">
        <v>0</v>
      </c>
      <c r="I289" s="42">
        <f>SUM(E289:H289)</f>
        <v>0</v>
      </c>
      <c r="J289" s="103" t="str">
        <f t="shared" ref="J289:L291" si="103">IFERROR(E289/$I289*100,"")</f>
        <v/>
      </c>
      <c r="K289" s="104" t="str">
        <f t="shared" si="103"/>
        <v/>
      </c>
      <c r="L289" s="105" t="str">
        <f t="shared" si="103"/>
        <v/>
      </c>
      <c r="M289" s="106" t="str">
        <f t="shared" si="96"/>
        <v/>
      </c>
      <c r="N289" s="5"/>
    </row>
    <row r="290" spans="1:14" s="3" customFormat="1" ht="30" customHeight="1" x14ac:dyDescent="0.25">
      <c r="A290" s="14" t="s">
        <v>17</v>
      </c>
      <c r="B290" s="16" t="s">
        <v>55</v>
      </c>
      <c r="C290" s="25" t="s">
        <v>61</v>
      </c>
      <c r="D290" s="12" t="s">
        <v>57</v>
      </c>
      <c r="E290" s="38">
        <v>0</v>
      </c>
      <c r="F290" s="39">
        <v>0</v>
      </c>
      <c r="G290" s="40">
        <v>0</v>
      </c>
      <c r="H290" s="41">
        <v>0</v>
      </c>
      <c r="I290" s="42">
        <f>SUM(E290:H290)</f>
        <v>0</v>
      </c>
      <c r="J290" s="103" t="str">
        <f t="shared" si="103"/>
        <v/>
      </c>
      <c r="K290" s="104" t="str">
        <f t="shared" si="103"/>
        <v/>
      </c>
      <c r="L290" s="105" t="str">
        <f t="shared" si="103"/>
        <v/>
      </c>
      <c r="M290" s="106" t="str">
        <f t="shared" si="96"/>
        <v/>
      </c>
    </row>
    <row r="291" spans="1:14" s="3" customFormat="1" ht="30" customHeight="1" x14ac:dyDescent="0.25">
      <c r="A291" s="14" t="s">
        <v>17</v>
      </c>
      <c r="B291" s="16" t="s">
        <v>55</v>
      </c>
      <c r="C291" s="25"/>
      <c r="D291" s="91" t="s">
        <v>29</v>
      </c>
      <c r="E291" s="38">
        <f>SUM(E289:E290)</f>
        <v>0</v>
      </c>
      <c r="F291" s="39">
        <f t="shared" ref="F291" si="104">SUM(F289:F290)</f>
        <v>0</v>
      </c>
      <c r="G291" s="40">
        <f t="shared" ref="G291" si="105">SUM(G289:G290)</f>
        <v>0</v>
      </c>
      <c r="H291" s="41">
        <f t="shared" ref="H291" si="106">SUM(H289:H290)</f>
        <v>0</v>
      </c>
      <c r="I291" s="42">
        <f t="shared" ref="I291" si="107">SUM(I289:I290)</f>
        <v>0</v>
      </c>
      <c r="J291" s="103" t="str">
        <f t="shared" si="103"/>
        <v/>
      </c>
      <c r="K291" s="104" t="str">
        <f t="shared" si="103"/>
        <v/>
      </c>
      <c r="L291" s="105" t="str">
        <f t="shared" si="103"/>
        <v/>
      </c>
      <c r="M291" s="106" t="str">
        <f t="shared" si="96"/>
        <v/>
      </c>
      <c r="N291" s="5" t="s">
        <v>1671</v>
      </c>
    </row>
    <row r="292" spans="1:14" ht="5.0999999999999996" customHeight="1" x14ac:dyDescent="0.25">
      <c r="A292" s="14" t="s">
        <v>17</v>
      </c>
      <c r="B292" s="16" t="s">
        <v>55</v>
      </c>
      <c r="C292"/>
      <c r="D292" s="57"/>
      <c r="E292" s="59"/>
      <c r="F292" s="59"/>
      <c r="G292" s="59"/>
      <c r="H292" s="59"/>
      <c r="I292" s="59"/>
      <c r="J292" s="103"/>
      <c r="K292" s="104"/>
      <c r="L292" s="105"/>
      <c r="M292" s="106" t="str">
        <f t="shared" si="96"/>
        <v/>
      </c>
    </row>
    <row r="293" spans="1:14" s="5" customFormat="1" ht="20.100000000000001" customHeight="1" x14ac:dyDescent="0.25">
      <c r="A293" s="14" t="s">
        <v>17</v>
      </c>
      <c r="B293" s="16" t="s">
        <v>74</v>
      </c>
      <c r="C293" s="25" t="s">
        <v>60</v>
      </c>
      <c r="D293" s="6" t="s">
        <v>75</v>
      </c>
      <c r="E293" s="37"/>
      <c r="F293" s="37"/>
      <c r="G293" s="37"/>
      <c r="H293" s="37"/>
      <c r="I293" s="48"/>
      <c r="J293" s="103"/>
      <c r="K293" s="104"/>
      <c r="L293" s="105"/>
      <c r="M293" s="106" t="str">
        <f t="shared" si="96"/>
        <v/>
      </c>
      <c r="N293" s="5" t="s">
        <v>1673</v>
      </c>
    </row>
    <row r="294" spans="1:14" s="3" customFormat="1" ht="30" customHeight="1" x14ac:dyDescent="0.25">
      <c r="A294" s="14" t="s">
        <v>17</v>
      </c>
      <c r="B294" s="16" t="s">
        <v>74</v>
      </c>
      <c r="C294" s="25" t="s">
        <v>61</v>
      </c>
      <c r="D294" s="12" t="s">
        <v>77</v>
      </c>
      <c r="E294" s="38">
        <v>0</v>
      </c>
      <c r="F294" s="39">
        <v>0</v>
      </c>
      <c r="G294" s="40">
        <v>0</v>
      </c>
      <c r="H294" s="41">
        <v>0</v>
      </c>
      <c r="I294" s="42">
        <f>SUM(E294:H294)</f>
        <v>0</v>
      </c>
      <c r="J294" s="103" t="str">
        <f>IFERROR(E294/$I294*100,"")</f>
        <v/>
      </c>
      <c r="K294" s="104" t="str">
        <f>IFERROR(F294/$I294*100,"")</f>
        <v/>
      </c>
      <c r="L294" s="105" t="str">
        <f>IFERROR(G294/$I294*100,"")</f>
        <v/>
      </c>
      <c r="M294" s="106" t="str">
        <f t="shared" si="96"/>
        <v/>
      </c>
      <c r="N294" s="3" t="s">
        <v>1671</v>
      </c>
    </row>
    <row r="295" spans="1:14" ht="5.0999999999999996" customHeight="1" x14ac:dyDescent="0.25">
      <c r="A295" s="14" t="s">
        <v>17</v>
      </c>
      <c r="B295" s="16" t="s">
        <v>74</v>
      </c>
      <c r="C295"/>
      <c r="D295" s="57"/>
      <c r="E295" s="59"/>
      <c r="F295" s="59"/>
      <c r="G295" s="59"/>
      <c r="H295" s="59"/>
      <c r="I295" s="59"/>
      <c r="J295" s="103"/>
      <c r="K295" s="104"/>
      <c r="L295" s="105"/>
      <c r="M295" s="106" t="str">
        <f t="shared" si="96"/>
        <v/>
      </c>
    </row>
    <row r="296" spans="1:14" s="5" customFormat="1" ht="20.100000000000001" customHeight="1" x14ac:dyDescent="0.25">
      <c r="A296" s="14" t="s">
        <v>17</v>
      </c>
      <c r="B296" s="16" t="s">
        <v>78</v>
      </c>
      <c r="C296" s="25" t="s">
        <v>60</v>
      </c>
      <c r="D296" s="6" t="s">
        <v>80</v>
      </c>
      <c r="E296" s="37"/>
      <c r="F296" s="37"/>
      <c r="G296" s="37"/>
      <c r="H296" s="37"/>
      <c r="I296" s="48"/>
      <c r="J296" s="103"/>
      <c r="K296" s="104"/>
      <c r="L296" s="105"/>
      <c r="M296" s="106" t="str">
        <f t="shared" si="96"/>
        <v/>
      </c>
      <c r="N296" s="5" t="s">
        <v>1673</v>
      </c>
    </row>
    <row r="297" spans="1:14" s="5" customFormat="1" ht="30" customHeight="1" x14ac:dyDescent="0.25">
      <c r="A297" s="14" t="s">
        <v>17</v>
      </c>
      <c r="B297" s="16" t="s">
        <v>78</v>
      </c>
      <c r="C297" s="25" t="s">
        <v>61</v>
      </c>
      <c r="D297" s="81" t="s">
        <v>81</v>
      </c>
      <c r="E297" s="38">
        <v>0</v>
      </c>
      <c r="F297" s="39">
        <v>0</v>
      </c>
      <c r="G297" s="40">
        <v>0</v>
      </c>
      <c r="H297" s="41">
        <v>0</v>
      </c>
      <c r="I297" s="42">
        <f t="shared" ref="I297:I303" si="108">SUM(E297:H297)</f>
        <v>0</v>
      </c>
      <c r="J297" s="103" t="str">
        <f t="shared" ref="J297:L303" si="109">IFERROR(E297/$I297*100,"")</f>
        <v/>
      </c>
      <c r="K297" s="104" t="str">
        <f t="shared" si="109"/>
        <v/>
      </c>
      <c r="L297" s="105" t="str">
        <f t="shared" si="109"/>
        <v/>
      </c>
      <c r="M297" s="106" t="str">
        <f t="shared" si="96"/>
        <v/>
      </c>
    </row>
    <row r="298" spans="1:14" s="5" customFormat="1" ht="30" customHeight="1" x14ac:dyDescent="0.25">
      <c r="A298" s="14" t="s">
        <v>17</v>
      </c>
      <c r="B298" s="16" t="s">
        <v>78</v>
      </c>
      <c r="C298" s="25" t="s">
        <v>61</v>
      </c>
      <c r="D298" s="81" t="s">
        <v>82</v>
      </c>
      <c r="E298" s="38">
        <v>0</v>
      </c>
      <c r="F298" s="39">
        <v>0</v>
      </c>
      <c r="G298" s="40">
        <v>0</v>
      </c>
      <c r="H298" s="41">
        <v>0</v>
      </c>
      <c r="I298" s="42">
        <f t="shared" si="108"/>
        <v>0</v>
      </c>
      <c r="J298" s="103" t="str">
        <f t="shared" si="109"/>
        <v/>
      </c>
      <c r="K298" s="104" t="str">
        <f t="shared" si="109"/>
        <v/>
      </c>
      <c r="L298" s="105" t="str">
        <f t="shared" si="109"/>
        <v/>
      </c>
      <c r="M298" s="106" t="str">
        <f t="shared" si="96"/>
        <v/>
      </c>
    </row>
    <row r="299" spans="1:14" s="5" customFormat="1" ht="30" customHeight="1" x14ac:dyDescent="0.25">
      <c r="A299" s="14" t="s">
        <v>17</v>
      </c>
      <c r="B299" s="16" t="s">
        <v>78</v>
      </c>
      <c r="C299" s="25" t="s">
        <v>61</v>
      </c>
      <c r="D299" s="81" t="s">
        <v>83</v>
      </c>
      <c r="E299" s="38">
        <v>0</v>
      </c>
      <c r="F299" s="39">
        <v>0</v>
      </c>
      <c r="G299" s="40">
        <v>0</v>
      </c>
      <c r="H299" s="41">
        <v>0</v>
      </c>
      <c r="I299" s="42">
        <f t="shared" si="108"/>
        <v>0</v>
      </c>
      <c r="J299" s="103" t="str">
        <f t="shared" si="109"/>
        <v/>
      </c>
      <c r="K299" s="104" t="str">
        <f t="shared" si="109"/>
        <v/>
      </c>
      <c r="L299" s="105" t="str">
        <f t="shared" si="109"/>
        <v/>
      </c>
      <c r="M299" s="106" t="str">
        <f t="shared" si="96"/>
        <v/>
      </c>
    </row>
    <row r="300" spans="1:14" s="5" customFormat="1" ht="30" customHeight="1" x14ac:dyDescent="0.25">
      <c r="A300" s="14" t="s">
        <v>17</v>
      </c>
      <c r="B300" s="16" t="s">
        <v>78</v>
      </c>
      <c r="C300" s="25" t="s">
        <v>61</v>
      </c>
      <c r="D300" s="81" t="s">
        <v>88</v>
      </c>
      <c r="E300" s="38">
        <v>0</v>
      </c>
      <c r="F300" s="39">
        <v>0</v>
      </c>
      <c r="G300" s="40">
        <v>0</v>
      </c>
      <c r="H300" s="41">
        <v>0</v>
      </c>
      <c r="I300" s="42">
        <f t="shared" si="108"/>
        <v>0</v>
      </c>
      <c r="J300" s="103" t="str">
        <f t="shared" si="109"/>
        <v/>
      </c>
      <c r="K300" s="104" t="str">
        <f t="shared" si="109"/>
        <v/>
      </c>
      <c r="L300" s="105" t="str">
        <f t="shared" si="109"/>
        <v/>
      </c>
      <c r="M300" s="106" t="str">
        <f t="shared" si="96"/>
        <v/>
      </c>
    </row>
    <row r="301" spans="1:14" s="5" customFormat="1" ht="30" customHeight="1" x14ac:dyDescent="0.25">
      <c r="A301" s="14" t="s">
        <v>17</v>
      </c>
      <c r="B301" s="16" t="s">
        <v>78</v>
      </c>
      <c r="C301" s="25" t="s">
        <v>61</v>
      </c>
      <c r="D301" s="81" t="s">
        <v>87</v>
      </c>
      <c r="E301" s="38">
        <v>0</v>
      </c>
      <c r="F301" s="39">
        <v>0</v>
      </c>
      <c r="G301" s="40">
        <v>0</v>
      </c>
      <c r="H301" s="41">
        <v>0</v>
      </c>
      <c r="I301" s="42">
        <f t="shared" si="108"/>
        <v>0</v>
      </c>
      <c r="J301" s="103" t="str">
        <f t="shared" si="109"/>
        <v/>
      </c>
      <c r="K301" s="104" t="str">
        <f t="shared" si="109"/>
        <v/>
      </c>
      <c r="L301" s="105" t="str">
        <f t="shared" si="109"/>
        <v/>
      </c>
      <c r="M301" s="106" t="str">
        <f t="shared" si="96"/>
        <v/>
      </c>
    </row>
    <row r="302" spans="1:14" s="5" customFormat="1" ht="30" customHeight="1" x14ac:dyDescent="0.25">
      <c r="A302" s="14" t="s">
        <v>17</v>
      </c>
      <c r="B302" s="16" t="s">
        <v>78</v>
      </c>
      <c r="C302" s="25" t="s">
        <v>61</v>
      </c>
      <c r="D302" s="81" t="s">
        <v>84</v>
      </c>
      <c r="E302" s="38">
        <v>0</v>
      </c>
      <c r="F302" s="39">
        <v>0</v>
      </c>
      <c r="G302" s="40">
        <v>0</v>
      </c>
      <c r="H302" s="41">
        <v>0</v>
      </c>
      <c r="I302" s="42">
        <f t="shared" si="108"/>
        <v>0</v>
      </c>
      <c r="J302" s="103" t="str">
        <f t="shared" si="109"/>
        <v/>
      </c>
      <c r="K302" s="104" t="str">
        <f t="shared" si="109"/>
        <v/>
      </c>
      <c r="L302" s="105" t="str">
        <f t="shared" si="109"/>
        <v/>
      </c>
      <c r="M302" s="106" t="str">
        <f t="shared" si="96"/>
        <v/>
      </c>
    </row>
    <row r="303" spans="1:14" s="5" customFormat="1" ht="30" customHeight="1" x14ac:dyDescent="0.25">
      <c r="A303" s="14" t="s">
        <v>17</v>
      </c>
      <c r="B303" s="16" t="s">
        <v>78</v>
      </c>
      <c r="C303" s="25" t="s">
        <v>86</v>
      </c>
      <c r="D303" s="81" t="s">
        <v>79</v>
      </c>
      <c r="E303" s="38">
        <v>0</v>
      </c>
      <c r="F303" s="39">
        <v>0</v>
      </c>
      <c r="G303" s="40">
        <v>0</v>
      </c>
      <c r="H303" s="41">
        <v>0</v>
      </c>
      <c r="I303" s="42">
        <f t="shared" si="108"/>
        <v>0</v>
      </c>
      <c r="J303" s="103" t="str">
        <f t="shared" si="109"/>
        <v/>
      </c>
      <c r="K303" s="104" t="str">
        <f t="shared" si="109"/>
        <v/>
      </c>
      <c r="L303" s="105" t="str">
        <f t="shared" si="109"/>
        <v/>
      </c>
      <c r="M303" s="106" t="str">
        <f t="shared" si="96"/>
        <v/>
      </c>
      <c r="N303" s="5" t="s">
        <v>1671</v>
      </c>
    </row>
    <row r="304" spans="1:14" ht="5.0999999999999996" customHeight="1" x14ac:dyDescent="0.25">
      <c r="A304" s="14" t="s">
        <v>17</v>
      </c>
      <c r="B304" s="16" t="s">
        <v>78</v>
      </c>
      <c r="C304"/>
      <c r="D304" s="57"/>
      <c r="E304" s="59"/>
      <c r="F304" s="59"/>
      <c r="G304" s="59"/>
      <c r="H304" s="59"/>
      <c r="I304" s="59"/>
      <c r="J304" s="103"/>
      <c r="K304" s="104"/>
      <c r="L304" s="105"/>
      <c r="M304" s="106" t="str">
        <f t="shared" si="96"/>
        <v/>
      </c>
    </row>
    <row r="305" spans="1:14" s="5" customFormat="1" ht="20.100000000000001" customHeight="1" x14ac:dyDescent="0.25">
      <c r="A305" s="14" t="s">
        <v>17</v>
      </c>
      <c r="B305" s="16" t="s">
        <v>91</v>
      </c>
      <c r="C305" s="25" t="s">
        <v>60</v>
      </c>
      <c r="D305" s="6" t="s">
        <v>89</v>
      </c>
      <c r="E305" s="37"/>
      <c r="F305" s="37"/>
      <c r="G305" s="37"/>
      <c r="H305" s="37"/>
      <c r="I305" s="48"/>
      <c r="J305" s="103"/>
      <c r="K305" s="104"/>
      <c r="L305" s="105"/>
      <c r="M305" s="106" t="str">
        <f t="shared" si="96"/>
        <v/>
      </c>
      <c r="N305" s="5" t="s">
        <v>1673</v>
      </c>
    </row>
    <row r="306" spans="1:14" s="5" customFormat="1" ht="30" customHeight="1" x14ac:dyDescent="0.25">
      <c r="A306" s="14" t="s">
        <v>17</v>
      </c>
      <c r="B306" s="16" t="s">
        <v>91</v>
      </c>
      <c r="C306" s="25" t="s">
        <v>61</v>
      </c>
      <c r="D306" s="82" t="s">
        <v>90</v>
      </c>
      <c r="E306" s="38">
        <v>0</v>
      </c>
      <c r="F306" s="39">
        <v>0</v>
      </c>
      <c r="G306" s="40">
        <v>0</v>
      </c>
      <c r="H306" s="41">
        <v>0</v>
      </c>
      <c r="I306" s="42">
        <f t="shared" ref="I306" si="110">SUM(E306:H306)</f>
        <v>0</v>
      </c>
      <c r="J306" s="103" t="str">
        <f>IFERROR(E306/$I306*100,"")</f>
        <v/>
      </c>
      <c r="K306" s="104" t="str">
        <f>IFERROR(F306/$I306*100,"")</f>
        <v/>
      </c>
      <c r="L306" s="105" t="str">
        <f>IFERROR(G306/$I306*100,"")</f>
        <v/>
      </c>
      <c r="M306" s="106" t="str">
        <f t="shared" si="96"/>
        <v/>
      </c>
      <c r="N306" s="5" t="s">
        <v>1671</v>
      </c>
    </row>
    <row r="307" spans="1:14" ht="5.0999999999999996" customHeight="1" x14ac:dyDescent="0.25">
      <c r="A307" s="14" t="s">
        <v>17</v>
      </c>
      <c r="B307" s="16" t="s">
        <v>91</v>
      </c>
      <c r="C307"/>
      <c r="D307" s="57"/>
      <c r="E307" s="59"/>
      <c r="F307" s="59"/>
      <c r="G307" s="59"/>
      <c r="H307" s="59"/>
      <c r="I307" s="59"/>
      <c r="J307" s="103"/>
      <c r="K307" s="104"/>
      <c r="L307" s="105"/>
      <c r="M307" s="106" t="str">
        <f t="shared" si="96"/>
        <v/>
      </c>
    </row>
    <row r="308" spans="1:14" s="5" customFormat="1" ht="20.100000000000001" customHeight="1" x14ac:dyDescent="0.25">
      <c r="A308" s="14" t="s">
        <v>17</v>
      </c>
      <c r="B308" s="16" t="s">
        <v>1916</v>
      </c>
      <c r="C308" s="25" t="s">
        <v>60</v>
      </c>
      <c r="D308" s="6" t="s">
        <v>1853</v>
      </c>
      <c r="E308" s="37"/>
      <c r="F308" s="37"/>
      <c r="G308" s="37"/>
      <c r="H308" s="37"/>
      <c r="I308" s="48"/>
      <c r="J308" s="103"/>
      <c r="K308" s="104"/>
      <c r="L308" s="105"/>
      <c r="M308" s="106" t="str">
        <f t="shared" si="96"/>
        <v/>
      </c>
      <c r="N308" s="5" t="s">
        <v>1673</v>
      </c>
    </row>
    <row r="309" spans="1:14" s="5" customFormat="1" ht="30" customHeight="1" x14ac:dyDescent="0.25">
      <c r="A309" s="14" t="s">
        <v>17</v>
      </c>
      <c r="B309" s="16" t="s">
        <v>1916</v>
      </c>
      <c r="C309" s="25" t="s">
        <v>61</v>
      </c>
      <c r="D309" s="175" t="s">
        <v>1917</v>
      </c>
      <c r="E309" s="38">
        <v>0</v>
      </c>
      <c r="F309" s="39">
        <v>0</v>
      </c>
      <c r="G309" s="40">
        <v>0</v>
      </c>
      <c r="H309" s="41">
        <v>0</v>
      </c>
      <c r="I309" s="42">
        <f t="shared" ref="I309" si="111">SUM(E309:H309)</f>
        <v>0</v>
      </c>
      <c r="J309" s="103" t="str">
        <f>IFERROR(E309/$I309*100,"")</f>
        <v/>
      </c>
      <c r="K309" s="104" t="str">
        <f>IFERROR(F309/$I309*100,"")</f>
        <v/>
      </c>
      <c r="L309" s="105" t="str">
        <f>IFERROR(G309/$I309*100,"")</f>
        <v/>
      </c>
      <c r="M309" s="106" t="str">
        <f t="shared" si="96"/>
        <v/>
      </c>
      <c r="N309" s="5" t="s">
        <v>1671</v>
      </c>
    </row>
    <row r="310" spans="1:14" ht="5.0999999999999996" customHeight="1" x14ac:dyDescent="0.25">
      <c r="A310" s="14" t="s">
        <v>17</v>
      </c>
      <c r="B310" s="16" t="s">
        <v>1916</v>
      </c>
      <c r="C310"/>
      <c r="D310" s="57"/>
      <c r="E310" s="59"/>
      <c r="F310" s="59"/>
      <c r="G310" s="59"/>
      <c r="H310" s="59"/>
      <c r="I310" s="59"/>
      <c r="J310" s="103"/>
      <c r="K310" s="104"/>
      <c r="L310" s="105"/>
      <c r="M310" s="106" t="str">
        <f t="shared" si="96"/>
        <v/>
      </c>
    </row>
    <row r="311" spans="1:14" s="5" customFormat="1" ht="20.100000000000001" customHeight="1" x14ac:dyDescent="0.25">
      <c r="A311" s="14" t="s">
        <v>17</v>
      </c>
      <c r="B311" s="16" t="s">
        <v>1637</v>
      </c>
      <c r="C311" s="25" t="s">
        <v>60</v>
      </c>
      <c r="D311" s="6" t="s">
        <v>1636</v>
      </c>
      <c r="E311" s="37"/>
      <c r="F311" s="37"/>
      <c r="G311" s="37"/>
      <c r="H311" s="37"/>
      <c r="I311" s="48"/>
      <c r="J311" s="103"/>
      <c r="K311" s="104"/>
      <c r="L311" s="105"/>
      <c r="M311" s="106" t="str">
        <f t="shared" si="96"/>
        <v/>
      </c>
      <c r="N311" s="5" t="s">
        <v>1673</v>
      </c>
    </row>
    <row r="312" spans="1:14" s="3" customFormat="1" ht="30" customHeight="1" x14ac:dyDescent="0.25">
      <c r="A312" s="14" t="s">
        <v>17</v>
      </c>
      <c r="B312" s="16" t="s">
        <v>1637</v>
      </c>
      <c r="C312" s="25" t="s">
        <v>61</v>
      </c>
      <c r="D312" s="87" t="s">
        <v>1638</v>
      </c>
      <c r="E312" s="38">
        <v>0</v>
      </c>
      <c r="F312" s="39">
        <v>0</v>
      </c>
      <c r="G312" s="40">
        <v>0</v>
      </c>
      <c r="H312" s="41">
        <v>0</v>
      </c>
      <c r="I312" s="42">
        <f t="shared" ref="I312:I317" si="112">SUM(E312:H312)</f>
        <v>0</v>
      </c>
      <c r="J312" s="103" t="str">
        <f t="shared" ref="J312:L316" si="113">IFERROR(E312/$I312*100,"")</f>
        <v/>
      </c>
      <c r="K312" s="104" t="str">
        <f t="shared" si="113"/>
        <v/>
      </c>
      <c r="L312" s="105" t="str">
        <f t="shared" si="113"/>
        <v/>
      </c>
      <c r="M312" s="106" t="str">
        <f t="shared" si="96"/>
        <v/>
      </c>
    </row>
    <row r="313" spans="1:14" s="3" customFormat="1" ht="30" customHeight="1" x14ac:dyDescent="0.25">
      <c r="A313" s="14" t="s">
        <v>17</v>
      </c>
      <c r="B313" s="16" t="s">
        <v>1637</v>
      </c>
      <c r="C313" s="25" t="s">
        <v>61</v>
      </c>
      <c r="D313" s="87" t="s">
        <v>1669</v>
      </c>
      <c r="E313" s="38">
        <v>0</v>
      </c>
      <c r="F313" s="39">
        <v>0</v>
      </c>
      <c r="G313" s="40">
        <v>0</v>
      </c>
      <c r="H313" s="41">
        <v>0</v>
      </c>
      <c r="I313" s="42">
        <f t="shared" si="112"/>
        <v>0</v>
      </c>
      <c r="J313" s="103" t="str">
        <f t="shared" si="113"/>
        <v/>
      </c>
      <c r="K313" s="104" t="str">
        <f t="shared" si="113"/>
        <v/>
      </c>
      <c r="L313" s="105" t="str">
        <f t="shared" si="113"/>
        <v/>
      </c>
      <c r="M313" s="106" t="str">
        <f t="shared" si="96"/>
        <v/>
      </c>
    </row>
    <row r="314" spans="1:14" s="3" customFormat="1" ht="30" customHeight="1" x14ac:dyDescent="0.25">
      <c r="A314" s="14" t="s">
        <v>17</v>
      </c>
      <c r="B314" s="16" t="s">
        <v>1637</v>
      </c>
      <c r="C314" s="25" t="s">
        <v>61</v>
      </c>
      <c r="D314" s="87" t="s">
        <v>1640</v>
      </c>
      <c r="E314" s="38">
        <v>0</v>
      </c>
      <c r="F314" s="39">
        <v>0</v>
      </c>
      <c r="G314" s="40">
        <v>0</v>
      </c>
      <c r="H314" s="41">
        <v>0</v>
      </c>
      <c r="I314" s="42">
        <f t="shared" si="112"/>
        <v>0</v>
      </c>
      <c r="J314" s="103" t="str">
        <f t="shared" si="113"/>
        <v/>
      </c>
      <c r="K314" s="104" t="str">
        <f t="shared" si="113"/>
        <v/>
      </c>
      <c r="L314" s="105" t="str">
        <f t="shared" si="113"/>
        <v/>
      </c>
      <c r="M314" s="106" t="str">
        <f t="shared" si="96"/>
        <v/>
      </c>
    </row>
    <row r="315" spans="1:14" s="3" customFormat="1" ht="30" customHeight="1" x14ac:dyDescent="0.25">
      <c r="A315" s="14" t="s">
        <v>17</v>
      </c>
      <c r="B315" s="16" t="s">
        <v>1637</v>
      </c>
      <c r="C315" s="25" t="s">
        <v>61</v>
      </c>
      <c r="D315" s="87" t="s">
        <v>1639</v>
      </c>
      <c r="E315" s="38">
        <v>0</v>
      </c>
      <c r="F315" s="39">
        <v>0</v>
      </c>
      <c r="G315" s="40">
        <v>0</v>
      </c>
      <c r="H315" s="41">
        <v>0</v>
      </c>
      <c r="I315" s="42">
        <f t="shared" si="112"/>
        <v>0</v>
      </c>
      <c r="J315" s="103" t="str">
        <f t="shared" si="113"/>
        <v/>
      </c>
      <c r="K315" s="104" t="str">
        <f t="shared" si="113"/>
        <v/>
      </c>
      <c r="L315" s="105" t="str">
        <f t="shared" si="113"/>
        <v/>
      </c>
      <c r="M315" s="106" t="str">
        <f t="shared" si="96"/>
        <v/>
      </c>
    </row>
    <row r="316" spans="1:14" s="3" customFormat="1" ht="30" customHeight="1" x14ac:dyDescent="0.25">
      <c r="A316" s="14" t="s">
        <v>17</v>
      </c>
      <c r="B316" s="16" t="s">
        <v>1637</v>
      </c>
      <c r="C316" s="25" t="s">
        <v>61</v>
      </c>
      <c r="D316" s="87" t="s">
        <v>1641</v>
      </c>
      <c r="E316" s="38">
        <v>0</v>
      </c>
      <c r="F316" s="39">
        <v>0</v>
      </c>
      <c r="G316" s="40">
        <v>0</v>
      </c>
      <c r="H316" s="41">
        <v>0</v>
      </c>
      <c r="I316" s="42">
        <f t="shared" si="112"/>
        <v>0</v>
      </c>
      <c r="J316" s="103" t="str">
        <f t="shared" si="113"/>
        <v/>
      </c>
      <c r="K316" s="104" t="str">
        <f t="shared" si="113"/>
        <v/>
      </c>
      <c r="L316" s="105" t="str">
        <f t="shared" si="113"/>
        <v/>
      </c>
      <c r="M316" s="106" t="str">
        <f t="shared" si="96"/>
        <v/>
      </c>
    </row>
    <row r="317" spans="1:14" s="3" customFormat="1" ht="30" customHeight="1" x14ac:dyDescent="0.25">
      <c r="A317" s="14" t="s">
        <v>17</v>
      </c>
      <c r="B317" s="16" t="s">
        <v>1637</v>
      </c>
      <c r="C317" s="25"/>
      <c r="D317" s="87" t="s">
        <v>29</v>
      </c>
      <c r="E317" s="38">
        <f>SUM(E312:E316)</f>
        <v>0</v>
      </c>
      <c r="F317" s="39">
        <f>SUM(F312:F316)</f>
        <v>0</v>
      </c>
      <c r="G317" s="40">
        <f>SUM(G312:G316)</f>
        <v>0</v>
      </c>
      <c r="H317" s="41">
        <f>SUM(H312:H316)</f>
        <v>0</v>
      </c>
      <c r="I317" s="42">
        <f t="shared" si="112"/>
        <v>0</v>
      </c>
      <c r="J317" s="103" t="str">
        <f>IFERROR(E317/SUM($E317:$H317)*100,"")</f>
        <v/>
      </c>
      <c r="K317" s="104" t="str">
        <f>IFERROR(F317/SUM($E317:$H317)*100,"")</f>
        <v/>
      </c>
      <c r="L317" s="105" t="str">
        <f>IFERROR(G317/SUM($E317:$H317)*100,"")</f>
        <v/>
      </c>
      <c r="M317" s="106" t="str">
        <f t="shared" si="96"/>
        <v/>
      </c>
      <c r="N317" s="5" t="s">
        <v>1671</v>
      </c>
    </row>
    <row r="318" spans="1:14" ht="5.0999999999999996" customHeight="1" x14ac:dyDescent="0.25">
      <c r="A318" s="14" t="s">
        <v>17</v>
      </c>
      <c r="B318" s="16" t="s">
        <v>1637</v>
      </c>
      <c r="C318"/>
      <c r="J318" s="103"/>
      <c r="K318" s="104"/>
      <c r="L318" s="105"/>
      <c r="M318" s="106" t="str">
        <f t="shared" si="96"/>
        <v/>
      </c>
    </row>
    <row r="319" spans="1:14" s="5" customFormat="1" ht="20.100000000000001" customHeight="1" x14ac:dyDescent="0.25">
      <c r="A319" s="14" t="s">
        <v>17</v>
      </c>
      <c r="B319" s="16" t="s">
        <v>42</v>
      </c>
      <c r="C319" s="25" t="s">
        <v>60</v>
      </c>
      <c r="D319" s="6" t="s">
        <v>1744</v>
      </c>
      <c r="E319" s="37"/>
      <c r="F319" s="37"/>
      <c r="G319" s="37"/>
      <c r="H319" s="37"/>
      <c r="I319" s="48"/>
      <c r="J319" s="103"/>
      <c r="K319" s="104"/>
      <c r="L319" s="105"/>
      <c r="M319" s="106" t="str">
        <f t="shared" si="96"/>
        <v/>
      </c>
      <c r="N319" s="5" t="s">
        <v>1673</v>
      </c>
    </row>
    <row r="320" spans="1:14" s="3" customFormat="1" ht="30" customHeight="1" x14ac:dyDescent="0.25">
      <c r="A320" s="14" t="s">
        <v>17</v>
      </c>
      <c r="B320" s="16" t="s">
        <v>42</v>
      </c>
      <c r="C320" s="25" t="s">
        <v>61</v>
      </c>
      <c r="D320" s="12" t="s">
        <v>43</v>
      </c>
      <c r="E320" s="38">
        <v>0</v>
      </c>
      <c r="F320" s="39">
        <v>0</v>
      </c>
      <c r="G320" s="40">
        <v>0</v>
      </c>
      <c r="H320" s="41">
        <v>0</v>
      </c>
      <c r="I320" s="42">
        <f t="shared" ref="I320:I329" si="114">SUM(E320:H320)</f>
        <v>0</v>
      </c>
      <c r="J320" s="103" t="str">
        <f t="shared" ref="J320:J329" si="115">IFERROR(E320/$I320*100,"")</f>
        <v/>
      </c>
      <c r="K320" s="104" t="str">
        <f t="shared" ref="K320:K329" si="116">IFERROR(F320/$I320*100,"")</f>
        <v/>
      </c>
      <c r="L320" s="105" t="str">
        <f t="shared" ref="L320:L329" si="117">IFERROR(G320/$I320*100,"")</f>
        <v/>
      </c>
      <c r="M320" s="106" t="str">
        <f t="shared" si="96"/>
        <v/>
      </c>
    </row>
    <row r="321" spans="1:14" s="3" customFormat="1" ht="30" customHeight="1" x14ac:dyDescent="0.25">
      <c r="A321" s="14" t="s">
        <v>17</v>
      </c>
      <c r="B321" s="16" t="s">
        <v>42</v>
      </c>
      <c r="C321" s="25" t="s">
        <v>61</v>
      </c>
      <c r="D321" s="12" t="s">
        <v>44</v>
      </c>
      <c r="E321" s="38">
        <v>0</v>
      </c>
      <c r="F321" s="39">
        <v>0</v>
      </c>
      <c r="G321" s="40">
        <v>0</v>
      </c>
      <c r="H321" s="41">
        <v>0</v>
      </c>
      <c r="I321" s="42">
        <f t="shared" si="114"/>
        <v>0</v>
      </c>
      <c r="J321" s="103" t="str">
        <f t="shared" si="115"/>
        <v/>
      </c>
      <c r="K321" s="104" t="str">
        <f t="shared" si="116"/>
        <v/>
      </c>
      <c r="L321" s="105" t="str">
        <f t="shared" si="117"/>
        <v/>
      </c>
      <c r="M321" s="106" t="str">
        <f t="shared" si="96"/>
        <v/>
      </c>
    </row>
    <row r="322" spans="1:14" s="3" customFormat="1" ht="30" customHeight="1" x14ac:dyDescent="0.25">
      <c r="A322" s="14" t="s">
        <v>17</v>
      </c>
      <c r="B322" s="16" t="s">
        <v>42</v>
      </c>
      <c r="C322" s="25" t="s">
        <v>61</v>
      </c>
      <c r="D322" s="12" t="s">
        <v>45</v>
      </c>
      <c r="E322" s="38">
        <v>0</v>
      </c>
      <c r="F322" s="39">
        <v>0</v>
      </c>
      <c r="G322" s="40">
        <v>0</v>
      </c>
      <c r="H322" s="41">
        <v>0</v>
      </c>
      <c r="I322" s="42">
        <f t="shared" si="114"/>
        <v>0</v>
      </c>
      <c r="J322" s="103" t="str">
        <f t="shared" si="115"/>
        <v/>
      </c>
      <c r="K322" s="104" t="str">
        <f t="shared" si="116"/>
        <v/>
      </c>
      <c r="L322" s="105" t="str">
        <f t="shared" si="117"/>
        <v/>
      </c>
      <c r="M322" s="106" t="str">
        <f t="shared" si="96"/>
        <v/>
      </c>
    </row>
    <row r="323" spans="1:14" s="3" customFormat="1" ht="30" customHeight="1" x14ac:dyDescent="0.25">
      <c r="A323" s="14" t="s">
        <v>17</v>
      </c>
      <c r="B323" s="16" t="s">
        <v>42</v>
      </c>
      <c r="C323" s="25" t="s">
        <v>61</v>
      </c>
      <c r="D323" s="12" t="s">
        <v>46</v>
      </c>
      <c r="E323" s="38">
        <v>0</v>
      </c>
      <c r="F323" s="39">
        <v>0</v>
      </c>
      <c r="G323" s="40">
        <v>0</v>
      </c>
      <c r="H323" s="41">
        <v>0</v>
      </c>
      <c r="I323" s="42">
        <f t="shared" si="114"/>
        <v>0</v>
      </c>
      <c r="J323" s="103" t="str">
        <f t="shared" si="115"/>
        <v/>
      </c>
      <c r="K323" s="104" t="str">
        <f t="shared" si="116"/>
        <v/>
      </c>
      <c r="L323" s="105" t="str">
        <f t="shared" si="117"/>
        <v/>
      </c>
      <c r="M323" s="106" t="str">
        <f t="shared" si="96"/>
        <v/>
      </c>
    </row>
    <row r="324" spans="1:14" s="3" customFormat="1" ht="30" customHeight="1" x14ac:dyDescent="0.25">
      <c r="A324" s="14" t="s">
        <v>17</v>
      </c>
      <c r="B324" s="16" t="s">
        <v>42</v>
      </c>
      <c r="C324" s="25" t="s">
        <v>61</v>
      </c>
      <c r="D324" s="12" t="s">
        <v>51</v>
      </c>
      <c r="E324" s="38">
        <v>0</v>
      </c>
      <c r="F324" s="39">
        <v>0</v>
      </c>
      <c r="G324" s="40">
        <v>0</v>
      </c>
      <c r="H324" s="41">
        <v>0</v>
      </c>
      <c r="I324" s="42">
        <f t="shared" si="114"/>
        <v>0</v>
      </c>
      <c r="J324" s="103" t="str">
        <f t="shared" si="115"/>
        <v/>
      </c>
      <c r="K324" s="104" t="str">
        <f t="shared" si="116"/>
        <v/>
      </c>
      <c r="L324" s="105" t="str">
        <f t="shared" si="117"/>
        <v/>
      </c>
      <c r="M324" s="106" t="str">
        <f t="shared" si="96"/>
        <v/>
      </c>
    </row>
    <row r="325" spans="1:14" s="3" customFormat="1" ht="30" customHeight="1" x14ac:dyDescent="0.25">
      <c r="A325" s="14" t="s">
        <v>17</v>
      </c>
      <c r="B325" s="16" t="s">
        <v>42</v>
      </c>
      <c r="C325" s="25" t="s">
        <v>61</v>
      </c>
      <c r="D325" s="12" t="s">
        <v>52</v>
      </c>
      <c r="E325" s="38">
        <v>0</v>
      </c>
      <c r="F325" s="39">
        <v>0</v>
      </c>
      <c r="G325" s="40">
        <v>0</v>
      </c>
      <c r="H325" s="41">
        <v>0</v>
      </c>
      <c r="I325" s="42">
        <f t="shared" si="114"/>
        <v>0</v>
      </c>
      <c r="J325" s="103" t="str">
        <f t="shared" si="115"/>
        <v/>
      </c>
      <c r="K325" s="104" t="str">
        <f t="shared" si="116"/>
        <v/>
      </c>
      <c r="L325" s="105" t="str">
        <f t="shared" si="117"/>
        <v/>
      </c>
      <c r="M325" s="106" t="str">
        <f t="shared" si="96"/>
        <v/>
      </c>
    </row>
    <row r="326" spans="1:14" s="3" customFormat="1" ht="30" customHeight="1" x14ac:dyDescent="0.25">
      <c r="A326" s="14" t="s">
        <v>17</v>
      </c>
      <c r="B326" s="16" t="s">
        <v>42</v>
      </c>
      <c r="C326" s="25" t="s">
        <v>61</v>
      </c>
      <c r="D326" s="12" t="s">
        <v>47</v>
      </c>
      <c r="E326" s="38">
        <v>0</v>
      </c>
      <c r="F326" s="39">
        <v>0</v>
      </c>
      <c r="G326" s="40">
        <v>0</v>
      </c>
      <c r="H326" s="41">
        <v>0</v>
      </c>
      <c r="I326" s="42">
        <f t="shared" si="114"/>
        <v>0</v>
      </c>
      <c r="J326" s="103" t="str">
        <f t="shared" si="115"/>
        <v/>
      </c>
      <c r="K326" s="104" t="str">
        <f t="shared" si="116"/>
        <v/>
      </c>
      <c r="L326" s="105" t="str">
        <f t="shared" si="117"/>
        <v/>
      </c>
      <c r="M326" s="106" t="str">
        <f t="shared" si="96"/>
        <v/>
      </c>
    </row>
    <row r="327" spans="1:14" s="3" customFormat="1" ht="30" customHeight="1" x14ac:dyDescent="0.25">
      <c r="A327" s="14" t="s">
        <v>17</v>
      </c>
      <c r="B327" s="16" t="s">
        <v>42</v>
      </c>
      <c r="C327" s="25" t="s">
        <v>61</v>
      </c>
      <c r="D327" s="12" t="s">
        <v>48</v>
      </c>
      <c r="E327" s="38">
        <v>0</v>
      </c>
      <c r="F327" s="39">
        <v>0</v>
      </c>
      <c r="G327" s="40">
        <v>0</v>
      </c>
      <c r="H327" s="41">
        <v>0</v>
      </c>
      <c r="I327" s="42">
        <f t="shared" si="114"/>
        <v>0</v>
      </c>
      <c r="J327" s="103" t="str">
        <f t="shared" si="115"/>
        <v/>
      </c>
      <c r="K327" s="104" t="str">
        <f t="shared" si="116"/>
        <v/>
      </c>
      <c r="L327" s="105" t="str">
        <f t="shared" si="117"/>
        <v/>
      </c>
      <c r="M327" s="106" t="str">
        <f t="shared" si="96"/>
        <v/>
      </c>
    </row>
    <row r="328" spans="1:14" s="3" customFormat="1" ht="30" customHeight="1" x14ac:dyDescent="0.25">
      <c r="A328" s="14" t="s">
        <v>17</v>
      </c>
      <c r="B328" s="16" t="s">
        <v>42</v>
      </c>
      <c r="C328" s="25" t="s">
        <v>61</v>
      </c>
      <c r="D328" s="12" t="s">
        <v>49</v>
      </c>
      <c r="E328" s="38">
        <v>0</v>
      </c>
      <c r="F328" s="39">
        <v>0</v>
      </c>
      <c r="G328" s="40">
        <v>0</v>
      </c>
      <c r="H328" s="41">
        <v>0</v>
      </c>
      <c r="I328" s="42">
        <f t="shared" si="114"/>
        <v>0</v>
      </c>
      <c r="J328" s="103" t="str">
        <f t="shared" si="115"/>
        <v/>
      </c>
      <c r="K328" s="104" t="str">
        <f t="shared" si="116"/>
        <v/>
      </c>
      <c r="L328" s="105" t="str">
        <f t="shared" si="117"/>
        <v/>
      </c>
      <c r="M328" s="106" t="str">
        <f t="shared" si="96"/>
        <v/>
      </c>
    </row>
    <row r="329" spans="1:14" s="3" customFormat="1" ht="30" customHeight="1" x14ac:dyDescent="0.25">
      <c r="A329" s="14" t="s">
        <v>17</v>
      </c>
      <c r="B329" s="16" t="s">
        <v>42</v>
      </c>
      <c r="C329" s="25" t="s">
        <v>61</v>
      </c>
      <c r="D329" s="12" t="s">
        <v>50</v>
      </c>
      <c r="E329" s="38">
        <v>0</v>
      </c>
      <c r="F329" s="39">
        <v>0</v>
      </c>
      <c r="G329" s="40">
        <v>0</v>
      </c>
      <c r="H329" s="41">
        <v>0</v>
      </c>
      <c r="I329" s="42">
        <f t="shared" si="114"/>
        <v>0</v>
      </c>
      <c r="J329" s="103" t="str">
        <f t="shared" si="115"/>
        <v/>
      </c>
      <c r="K329" s="104" t="str">
        <f t="shared" si="116"/>
        <v/>
      </c>
      <c r="L329" s="105" t="str">
        <f t="shared" si="117"/>
        <v/>
      </c>
      <c r="M329" s="106" t="str">
        <f t="shared" si="96"/>
        <v/>
      </c>
    </row>
    <row r="330" spans="1:14" s="8" customFormat="1" ht="30" customHeight="1" x14ac:dyDescent="0.25">
      <c r="A330" s="14" t="s">
        <v>17</v>
      </c>
      <c r="B330" s="16" t="s">
        <v>42</v>
      </c>
      <c r="C330" s="25"/>
      <c r="D330" s="9" t="s">
        <v>29</v>
      </c>
      <c r="E330" s="38">
        <f>SUM(E320:E329)</f>
        <v>0</v>
      </c>
      <c r="F330" s="39">
        <f t="shared" ref="F330" si="118">SUM(F320:F329)</f>
        <v>0</v>
      </c>
      <c r="G330" s="40">
        <f t="shared" ref="G330" si="119">SUM(G320:G329)</f>
        <v>0</v>
      </c>
      <c r="H330" s="41">
        <f t="shared" ref="H330" si="120">SUM(H320:H329)</f>
        <v>0</v>
      </c>
      <c r="I330" s="43">
        <f t="shared" ref="I330" si="121">SUM(I320:I329)</f>
        <v>0</v>
      </c>
      <c r="J330" s="103" t="str">
        <f>IFERROR(E330/SUM($E330:$H330)*100,"")</f>
        <v/>
      </c>
      <c r="K330" s="104" t="str">
        <f>IFERROR(F330/SUM($E330:$H330)*100,"")</f>
        <v/>
      </c>
      <c r="L330" s="105" t="str">
        <f>IFERROR(G330/SUM($E330:$H330)*100,"")</f>
        <v/>
      </c>
      <c r="M330" s="106" t="str">
        <f t="shared" si="96"/>
        <v/>
      </c>
      <c r="N330" s="5" t="s">
        <v>1671</v>
      </c>
    </row>
    <row r="331" spans="1:14" ht="5.0999999999999996" customHeight="1" x14ac:dyDescent="0.25">
      <c r="A331" s="14" t="s">
        <v>17</v>
      </c>
      <c r="B331" s="16" t="s">
        <v>42</v>
      </c>
      <c r="C331"/>
      <c r="D331" s="57"/>
      <c r="E331" s="59"/>
      <c r="F331" s="59"/>
      <c r="G331" s="59"/>
      <c r="H331" s="59"/>
      <c r="I331" s="59"/>
      <c r="J331" s="103"/>
      <c r="K331" s="104"/>
      <c r="L331" s="105"/>
      <c r="M331" s="106" t="str">
        <f t="shared" si="96"/>
        <v/>
      </c>
    </row>
    <row r="332" spans="1:14" s="7" customFormat="1" ht="20.100000000000001" customHeight="1" x14ac:dyDescent="0.25">
      <c r="A332" s="14" t="s">
        <v>17</v>
      </c>
      <c r="B332" s="16" t="s">
        <v>62</v>
      </c>
      <c r="C332" s="25" t="s">
        <v>60</v>
      </c>
      <c r="D332" s="62" t="s">
        <v>63</v>
      </c>
      <c r="E332" s="63"/>
      <c r="F332" s="63"/>
      <c r="G332" s="63"/>
      <c r="H332" s="63"/>
      <c r="I332" s="64"/>
      <c r="J332" s="103"/>
      <c r="K332" s="104"/>
      <c r="L332" s="105"/>
      <c r="M332" s="106" t="str">
        <f t="shared" si="96"/>
        <v/>
      </c>
      <c r="N332" s="5" t="s">
        <v>1673</v>
      </c>
    </row>
    <row r="333" spans="1:14" s="8" customFormat="1" ht="30" customHeight="1" x14ac:dyDescent="0.25">
      <c r="A333" s="14" t="s">
        <v>17</v>
      </c>
      <c r="B333" s="16" t="s">
        <v>62</v>
      </c>
      <c r="C333" s="25"/>
      <c r="D333" s="12" t="s">
        <v>29</v>
      </c>
      <c r="E333" s="38" t="e">
        <f>SUM(E283,E272,E291,E330,E286,E294,E303,E306,E317,#REF!)</f>
        <v>#REF!</v>
      </c>
      <c r="F333" s="39" t="e">
        <f>SUM(F283,F272,F291,F330,F286,F294,F303,F306,F317,#REF!)</f>
        <v>#REF!</v>
      </c>
      <c r="G333" s="40" t="e">
        <f>SUM(G283,G272,G291,G330,G286,G294,G303,G306,G317,#REF!)</f>
        <v>#REF!</v>
      </c>
      <c r="H333" s="41" t="e">
        <f>SUM(H283,H272,H291,H330,H286,H294,H303,H306,H317,#REF!)</f>
        <v>#REF!</v>
      </c>
      <c r="I333" s="42" t="e">
        <f>SUM(I283,I272,I291,I330,I286,I294,I303,I306,I317,#REF!)</f>
        <v>#REF!</v>
      </c>
      <c r="J333" s="103" t="str">
        <f>IFERROR(E333/SUM($E333:$H333)*100,"")</f>
        <v/>
      </c>
      <c r="K333" s="104" t="str">
        <f>IFERROR(F333/SUM($E333:$H333)*100,"")</f>
        <v/>
      </c>
      <c r="L333" s="105" t="str">
        <f>IFERROR(G333/SUM($E333:$H333)*100,"")</f>
        <v/>
      </c>
      <c r="M333" s="106" t="str">
        <f t="shared" ref="M333:M396" si="122">IFERROR(H333/$I333*100,"")</f>
        <v/>
      </c>
      <c r="N333" s="5" t="s">
        <v>1671</v>
      </c>
    </row>
    <row r="334" spans="1:14" s="5" customFormat="1" ht="20.100000000000001" customHeight="1" x14ac:dyDescent="0.25">
      <c r="A334" s="14" t="s">
        <v>17</v>
      </c>
      <c r="B334" s="14"/>
      <c r="C334" s="25" t="s">
        <v>60</v>
      </c>
      <c r="D334" s="58"/>
      <c r="E334" s="60"/>
      <c r="F334" s="60"/>
      <c r="G334" s="60"/>
      <c r="H334" s="60"/>
      <c r="I334" s="60"/>
      <c r="J334" s="103"/>
      <c r="K334" s="104"/>
      <c r="L334" s="105"/>
      <c r="M334" s="106" t="str">
        <f t="shared" si="122"/>
        <v/>
      </c>
    </row>
    <row r="335" spans="1:14" s="5" customFormat="1" ht="20.100000000000001" customHeight="1" x14ac:dyDescent="0.25">
      <c r="A335" s="14" t="s">
        <v>8</v>
      </c>
      <c r="B335" s="14"/>
      <c r="C335" s="23"/>
      <c r="D335" s="20" t="str">
        <f>IFERROR(A335&amp;"   ("&amp;COUNTIFS(#REF!,"="&amp;A335)&amp;")",A335)</f>
        <v>DOA</v>
      </c>
      <c r="E335" s="35"/>
      <c r="F335" s="35"/>
      <c r="G335" s="35"/>
      <c r="H335" s="35"/>
      <c r="I335" s="36"/>
      <c r="J335" s="103"/>
      <c r="K335" s="104"/>
      <c r="L335" s="105"/>
      <c r="M335" s="106" t="str">
        <f t="shared" si="122"/>
        <v/>
      </c>
      <c r="N335" s="5" t="s">
        <v>1672</v>
      </c>
    </row>
    <row r="336" spans="1:14" s="5" customFormat="1" ht="20.100000000000001" customHeight="1" x14ac:dyDescent="0.25">
      <c r="A336" s="14" t="s">
        <v>8</v>
      </c>
      <c r="B336" s="16" t="s">
        <v>20</v>
      </c>
      <c r="C336" s="25" t="s">
        <v>60</v>
      </c>
      <c r="D336" s="6" t="s">
        <v>20</v>
      </c>
      <c r="E336" s="37"/>
      <c r="F336" s="37"/>
      <c r="G336" s="37"/>
      <c r="H336" s="37"/>
      <c r="I336" s="48"/>
      <c r="J336" s="103"/>
      <c r="K336" s="104"/>
      <c r="L336" s="105"/>
      <c r="M336" s="106" t="str">
        <f t="shared" si="122"/>
        <v/>
      </c>
      <c r="N336" s="5" t="s">
        <v>1673</v>
      </c>
    </row>
    <row r="337" spans="1:14" s="3" customFormat="1" ht="30" customHeight="1" x14ac:dyDescent="0.25">
      <c r="A337" s="14" t="s">
        <v>8</v>
      </c>
      <c r="B337" s="16" t="s">
        <v>20</v>
      </c>
      <c r="C337" s="25" t="s">
        <v>61</v>
      </c>
      <c r="D337" s="12" t="s">
        <v>25</v>
      </c>
      <c r="E337" s="38">
        <v>0</v>
      </c>
      <c r="F337" s="39">
        <v>0</v>
      </c>
      <c r="G337" s="40">
        <v>0</v>
      </c>
      <c r="H337" s="41">
        <v>0</v>
      </c>
      <c r="I337" s="42">
        <f>SUM(E337:H337)</f>
        <v>0</v>
      </c>
      <c r="J337" s="103" t="str">
        <f>IFERROR(E337/$I337*100,"")</f>
        <v/>
      </c>
      <c r="K337" s="104" t="str">
        <f>IFERROR(F337/$I337*100,"")</f>
        <v/>
      </c>
      <c r="L337" s="105" t="str">
        <f>IFERROR(G337/$I337*100,"")</f>
        <v/>
      </c>
      <c r="M337" s="106" t="str">
        <f t="shared" si="122"/>
        <v/>
      </c>
      <c r="N337" s="5" t="s">
        <v>1671</v>
      </c>
    </row>
    <row r="338" spans="1:14" ht="5.0999999999999996" customHeight="1" x14ac:dyDescent="0.25">
      <c r="A338" s="14" t="s">
        <v>8</v>
      </c>
      <c r="B338" s="16" t="s">
        <v>20</v>
      </c>
      <c r="C338"/>
      <c r="D338" s="57"/>
      <c r="E338" s="59"/>
      <c r="F338" s="59"/>
      <c r="G338" s="59"/>
      <c r="H338" s="59"/>
      <c r="I338" s="59"/>
      <c r="J338" s="103"/>
      <c r="K338" s="104"/>
      <c r="L338" s="105"/>
      <c r="M338" s="106" t="str">
        <f t="shared" si="122"/>
        <v/>
      </c>
    </row>
    <row r="339" spans="1:14" s="5" customFormat="1" ht="20.100000000000001" customHeight="1" x14ac:dyDescent="0.25">
      <c r="A339" s="14" t="s">
        <v>8</v>
      </c>
      <c r="B339" s="16" t="s">
        <v>26</v>
      </c>
      <c r="C339" s="25" t="s">
        <v>60</v>
      </c>
      <c r="D339" s="6" t="s">
        <v>98</v>
      </c>
      <c r="E339" s="37"/>
      <c r="F339" s="37"/>
      <c r="G339" s="37"/>
      <c r="H339" s="37"/>
      <c r="I339" s="47"/>
      <c r="J339" s="103"/>
      <c r="K339" s="104"/>
      <c r="L339" s="105"/>
      <c r="M339" s="106" t="str">
        <f t="shared" si="122"/>
        <v/>
      </c>
      <c r="N339" s="5" t="s">
        <v>1673</v>
      </c>
    </row>
    <row r="340" spans="1:14" s="3" customFormat="1" ht="30" customHeight="1" x14ac:dyDescent="0.25">
      <c r="A340" s="14" t="s">
        <v>8</v>
      </c>
      <c r="B340" s="16" t="s">
        <v>26</v>
      </c>
      <c r="C340" s="25" t="s">
        <v>61</v>
      </c>
      <c r="D340" s="31" t="s">
        <v>21</v>
      </c>
      <c r="E340" s="38">
        <v>0</v>
      </c>
      <c r="F340" s="39">
        <v>0</v>
      </c>
      <c r="G340" s="40">
        <v>0</v>
      </c>
      <c r="H340" s="41">
        <v>0</v>
      </c>
      <c r="I340" s="42">
        <f t="shared" ref="I340:I347" si="123">SUM(E340:H340)</f>
        <v>0</v>
      </c>
      <c r="J340" s="103" t="str">
        <f t="shared" ref="J340:L347" si="124">IFERROR(E340/$I340*100,"")</f>
        <v/>
      </c>
      <c r="K340" s="104" t="str">
        <f t="shared" si="124"/>
        <v/>
      </c>
      <c r="L340" s="105" t="str">
        <f t="shared" si="124"/>
        <v/>
      </c>
      <c r="M340" s="106" t="str">
        <f t="shared" si="122"/>
        <v/>
      </c>
      <c r="N340" s="5"/>
    </row>
    <row r="341" spans="1:14" s="3" customFormat="1" ht="30" customHeight="1" x14ac:dyDescent="0.25">
      <c r="A341" s="14" t="s">
        <v>8</v>
      </c>
      <c r="B341" s="16" t="s">
        <v>26</v>
      </c>
      <c r="C341" s="25" t="s">
        <v>61</v>
      </c>
      <c r="D341" s="31" t="s">
        <v>22</v>
      </c>
      <c r="E341" s="38">
        <v>0</v>
      </c>
      <c r="F341" s="39">
        <v>0</v>
      </c>
      <c r="G341" s="40">
        <v>0</v>
      </c>
      <c r="H341" s="41">
        <v>0</v>
      </c>
      <c r="I341" s="42">
        <f t="shared" si="123"/>
        <v>0</v>
      </c>
      <c r="J341" s="103" t="str">
        <f t="shared" si="124"/>
        <v/>
      </c>
      <c r="K341" s="104" t="str">
        <f t="shared" si="124"/>
        <v/>
      </c>
      <c r="L341" s="105" t="str">
        <f t="shared" si="124"/>
        <v/>
      </c>
      <c r="M341" s="106" t="str">
        <f t="shared" si="122"/>
        <v/>
      </c>
      <c r="N341" s="5"/>
    </row>
    <row r="342" spans="1:14" s="3" customFormat="1" ht="30" customHeight="1" x14ac:dyDescent="0.25">
      <c r="A342" s="14" t="s">
        <v>8</v>
      </c>
      <c r="B342" s="16" t="s">
        <v>26</v>
      </c>
      <c r="C342" s="25" t="s">
        <v>61</v>
      </c>
      <c r="D342" s="31" t="s">
        <v>27</v>
      </c>
      <c r="E342" s="38">
        <v>0</v>
      </c>
      <c r="F342" s="39">
        <v>0</v>
      </c>
      <c r="G342" s="40">
        <v>0</v>
      </c>
      <c r="H342" s="41">
        <v>0</v>
      </c>
      <c r="I342" s="42">
        <f t="shared" si="123"/>
        <v>0</v>
      </c>
      <c r="J342" s="103" t="str">
        <f t="shared" si="124"/>
        <v/>
      </c>
      <c r="K342" s="104" t="str">
        <f t="shared" si="124"/>
        <v/>
      </c>
      <c r="L342" s="105" t="str">
        <f t="shared" si="124"/>
        <v/>
      </c>
      <c r="M342" s="106" t="str">
        <f t="shared" si="122"/>
        <v/>
      </c>
      <c r="N342" s="5"/>
    </row>
    <row r="343" spans="1:14" s="3" customFormat="1" ht="30" customHeight="1" x14ac:dyDescent="0.25">
      <c r="A343" s="14" t="s">
        <v>8</v>
      </c>
      <c r="B343" s="16" t="s">
        <v>26</v>
      </c>
      <c r="C343" s="25" t="s">
        <v>61</v>
      </c>
      <c r="D343" s="31" t="s">
        <v>23</v>
      </c>
      <c r="E343" s="38">
        <v>0</v>
      </c>
      <c r="F343" s="39">
        <v>0</v>
      </c>
      <c r="G343" s="40">
        <v>0</v>
      </c>
      <c r="H343" s="41">
        <v>0</v>
      </c>
      <c r="I343" s="42">
        <f t="shared" si="123"/>
        <v>0</v>
      </c>
      <c r="J343" s="103" t="str">
        <f t="shared" si="124"/>
        <v/>
      </c>
      <c r="K343" s="104" t="str">
        <f t="shared" si="124"/>
        <v/>
      </c>
      <c r="L343" s="105" t="str">
        <f t="shared" si="124"/>
        <v/>
      </c>
      <c r="M343" s="106" t="str">
        <f t="shared" si="122"/>
        <v/>
      </c>
      <c r="N343" s="5"/>
    </row>
    <row r="344" spans="1:14" s="3" customFormat="1" ht="30" customHeight="1" x14ac:dyDescent="0.25">
      <c r="A344" s="14" t="s">
        <v>8</v>
      </c>
      <c r="B344" s="16" t="s">
        <v>26</v>
      </c>
      <c r="C344" s="25" t="s">
        <v>61</v>
      </c>
      <c r="D344" s="31" t="s">
        <v>24</v>
      </c>
      <c r="E344" s="38">
        <v>0</v>
      </c>
      <c r="F344" s="39">
        <v>0</v>
      </c>
      <c r="G344" s="40">
        <v>0</v>
      </c>
      <c r="H344" s="41">
        <v>0</v>
      </c>
      <c r="I344" s="42">
        <f t="shared" si="123"/>
        <v>0</v>
      </c>
      <c r="J344" s="103" t="str">
        <f t="shared" si="124"/>
        <v/>
      </c>
      <c r="K344" s="104" t="str">
        <f t="shared" si="124"/>
        <v/>
      </c>
      <c r="L344" s="105" t="str">
        <f t="shared" si="124"/>
        <v/>
      </c>
      <c r="M344" s="106" t="str">
        <f t="shared" si="122"/>
        <v/>
      </c>
      <c r="N344" s="5"/>
    </row>
    <row r="345" spans="1:14" s="3" customFormat="1" ht="30" customHeight="1" x14ac:dyDescent="0.25">
      <c r="A345" s="14" t="s">
        <v>8</v>
      </c>
      <c r="B345" s="16" t="s">
        <v>26</v>
      </c>
      <c r="C345" s="25" t="s">
        <v>61</v>
      </c>
      <c r="D345" s="31" t="s">
        <v>41</v>
      </c>
      <c r="E345" s="38">
        <v>0</v>
      </c>
      <c r="F345" s="39">
        <v>0</v>
      </c>
      <c r="G345" s="40">
        <v>0</v>
      </c>
      <c r="H345" s="41">
        <v>0</v>
      </c>
      <c r="I345" s="42">
        <f t="shared" si="123"/>
        <v>0</v>
      </c>
      <c r="J345" s="103" t="str">
        <f t="shared" si="124"/>
        <v/>
      </c>
      <c r="K345" s="104" t="str">
        <f t="shared" si="124"/>
        <v/>
      </c>
      <c r="L345" s="105" t="str">
        <f t="shared" si="124"/>
        <v/>
      </c>
      <c r="M345" s="106" t="str">
        <f t="shared" si="122"/>
        <v/>
      </c>
    </row>
    <row r="346" spans="1:14" s="3" customFormat="1" ht="30" customHeight="1" x14ac:dyDescent="0.25">
      <c r="A346" s="14" t="s">
        <v>8</v>
      </c>
      <c r="B346" s="16" t="s">
        <v>26</v>
      </c>
      <c r="C346" s="25" t="s">
        <v>61</v>
      </c>
      <c r="D346" s="31" t="s">
        <v>28</v>
      </c>
      <c r="E346" s="38">
        <v>0</v>
      </c>
      <c r="F346" s="39">
        <v>0</v>
      </c>
      <c r="G346" s="40">
        <v>0</v>
      </c>
      <c r="H346" s="41">
        <v>0</v>
      </c>
      <c r="I346" s="42">
        <f t="shared" si="123"/>
        <v>0</v>
      </c>
      <c r="J346" s="103" t="str">
        <f t="shared" si="124"/>
        <v/>
      </c>
      <c r="K346" s="104" t="str">
        <f t="shared" si="124"/>
        <v/>
      </c>
      <c r="L346" s="105" t="str">
        <f t="shared" si="124"/>
        <v/>
      </c>
      <c r="M346" s="106" t="str">
        <f t="shared" si="122"/>
        <v/>
      </c>
      <c r="N346" s="5"/>
    </row>
    <row r="347" spans="1:14" s="3" customFormat="1" ht="30" customHeight="1" x14ac:dyDescent="0.25">
      <c r="A347" s="14" t="s">
        <v>8</v>
      </c>
      <c r="B347" s="16" t="s">
        <v>26</v>
      </c>
      <c r="C347" s="25" t="s">
        <v>61</v>
      </c>
      <c r="D347" s="31" t="s">
        <v>40</v>
      </c>
      <c r="E347" s="38">
        <v>0</v>
      </c>
      <c r="F347" s="39">
        <v>0</v>
      </c>
      <c r="G347" s="40">
        <v>0</v>
      </c>
      <c r="H347" s="41">
        <v>0</v>
      </c>
      <c r="I347" s="42">
        <f t="shared" si="123"/>
        <v>0</v>
      </c>
      <c r="J347" s="103" t="str">
        <f t="shared" si="124"/>
        <v/>
      </c>
      <c r="K347" s="104" t="str">
        <f t="shared" si="124"/>
        <v/>
      </c>
      <c r="L347" s="105" t="str">
        <f t="shared" si="124"/>
        <v/>
      </c>
      <c r="M347" s="106" t="str">
        <f t="shared" si="122"/>
        <v/>
      </c>
      <c r="N347" s="5"/>
    </row>
    <row r="348" spans="1:14" s="8" customFormat="1" ht="30" customHeight="1" x14ac:dyDescent="0.25">
      <c r="A348" s="14" t="s">
        <v>8</v>
      </c>
      <c r="B348" s="16" t="s">
        <v>26</v>
      </c>
      <c r="C348" s="25"/>
      <c r="D348" s="9" t="s">
        <v>29</v>
      </c>
      <c r="E348" s="38">
        <f>SUM(E340:E347)</f>
        <v>0</v>
      </c>
      <c r="F348" s="39">
        <f t="shared" ref="F348" si="125">SUM(F340:F347)</f>
        <v>0</v>
      </c>
      <c r="G348" s="40">
        <f t="shared" ref="G348" si="126">SUM(G340:G347)</f>
        <v>0</v>
      </c>
      <c r="H348" s="41">
        <f t="shared" ref="H348" si="127">SUM(H340:H347)</f>
        <v>0</v>
      </c>
      <c r="I348" s="43">
        <f t="shared" ref="I348" si="128">SUM(I340:I347)</f>
        <v>0</v>
      </c>
      <c r="J348" s="103" t="str">
        <f>IFERROR(E348/SUM($E348:$H348)*100,"")</f>
        <v/>
      </c>
      <c r="K348" s="104" t="str">
        <f>IFERROR(F348/SUM($E348:$H348)*100,"")</f>
        <v/>
      </c>
      <c r="L348" s="105" t="str">
        <f>IFERROR(G348/SUM($E348:$H348)*100,"")</f>
        <v/>
      </c>
      <c r="M348" s="106" t="str">
        <f t="shared" si="122"/>
        <v/>
      </c>
      <c r="N348" s="5" t="s">
        <v>1671</v>
      </c>
    </row>
    <row r="349" spans="1:14" ht="5.0999999999999996" customHeight="1" x14ac:dyDescent="0.25">
      <c r="A349" s="14" t="s">
        <v>8</v>
      </c>
      <c r="B349" s="16" t="s">
        <v>26</v>
      </c>
      <c r="C349"/>
      <c r="D349" s="57"/>
      <c r="E349" s="59"/>
      <c r="F349" s="59"/>
      <c r="G349" s="59"/>
      <c r="H349" s="59"/>
      <c r="I349" s="59"/>
      <c r="J349" s="103"/>
      <c r="K349" s="104"/>
      <c r="L349" s="105"/>
      <c r="M349" s="106" t="str">
        <f t="shared" si="122"/>
        <v/>
      </c>
    </row>
    <row r="350" spans="1:14" s="5" customFormat="1" ht="20.100000000000001" customHeight="1" x14ac:dyDescent="0.25">
      <c r="A350" s="14" t="s">
        <v>8</v>
      </c>
      <c r="B350" s="16" t="s">
        <v>64</v>
      </c>
      <c r="C350" s="25" t="s">
        <v>60</v>
      </c>
      <c r="D350" s="6" t="s">
        <v>65</v>
      </c>
      <c r="E350" s="37"/>
      <c r="F350" s="37"/>
      <c r="G350" s="37"/>
      <c r="H350" s="37"/>
      <c r="I350" s="48"/>
      <c r="J350" s="103"/>
      <c r="K350" s="104"/>
      <c r="L350" s="105"/>
      <c r="M350" s="106" t="str">
        <f t="shared" si="122"/>
        <v/>
      </c>
      <c r="N350" s="5" t="s">
        <v>1673</v>
      </c>
    </row>
    <row r="351" spans="1:14" s="5" customFormat="1" ht="30" customHeight="1" x14ac:dyDescent="0.25">
      <c r="A351" s="14" t="s">
        <v>8</v>
      </c>
      <c r="B351" s="16" t="s">
        <v>64</v>
      </c>
      <c r="C351" s="25" t="s">
        <v>61</v>
      </c>
      <c r="D351" s="12" t="s">
        <v>66</v>
      </c>
      <c r="E351" s="38">
        <v>0</v>
      </c>
      <c r="F351" s="39">
        <v>0</v>
      </c>
      <c r="G351" s="40">
        <v>0</v>
      </c>
      <c r="H351" s="41">
        <v>0</v>
      </c>
      <c r="I351" s="42">
        <f>SUM(E351:H351)</f>
        <v>0</v>
      </c>
      <c r="J351" s="103" t="str">
        <f>IFERROR(E351/$I351*100,"")</f>
        <v/>
      </c>
      <c r="K351" s="104" t="str">
        <f>IFERROR(F351/$I351*100,"")</f>
        <v/>
      </c>
      <c r="L351" s="105" t="str">
        <f>IFERROR(G351/$I351*100,"")</f>
        <v/>
      </c>
      <c r="M351" s="106" t="str">
        <f t="shared" si="122"/>
        <v/>
      </c>
      <c r="N351" s="5" t="s">
        <v>1671</v>
      </c>
    </row>
    <row r="352" spans="1:14" ht="5.0999999999999996" customHeight="1" x14ac:dyDescent="0.25">
      <c r="A352" s="14" t="s">
        <v>8</v>
      </c>
      <c r="B352" s="16" t="s">
        <v>64</v>
      </c>
      <c r="C352"/>
      <c r="D352" s="57"/>
      <c r="E352" s="59"/>
      <c r="F352" s="59"/>
      <c r="G352" s="59"/>
      <c r="H352" s="59"/>
      <c r="I352" s="59"/>
      <c r="J352" s="103"/>
      <c r="K352" s="104"/>
      <c r="L352" s="105"/>
      <c r="M352" s="106" t="str">
        <f t="shared" si="122"/>
        <v/>
      </c>
    </row>
    <row r="353" spans="1:14" s="5" customFormat="1" ht="20.100000000000001" customHeight="1" x14ac:dyDescent="0.25">
      <c r="A353" s="14" t="s">
        <v>8</v>
      </c>
      <c r="B353" s="16" t="s">
        <v>55</v>
      </c>
      <c r="C353" s="25" t="s">
        <v>60</v>
      </c>
      <c r="D353" s="6" t="s">
        <v>55</v>
      </c>
      <c r="E353" s="37"/>
      <c r="F353" s="37"/>
      <c r="G353" s="37"/>
      <c r="H353" s="37"/>
      <c r="I353" s="48"/>
      <c r="J353" s="103"/>
      <c r="K353" s="104"/>
      <c r="L353" s="105"/>
      <c r="M353" s="106" t="str">
        <f t="shared" si="122"/>
        <v/>
      </c>
      <c r="N353" s="5" t="s">
        <v>1673</v>
      </c>
    </row>
    <row r="354" spans="1:14" s="3" customFormat="1" ht="30" customHeight="1" x14ac:dyDescent="0.25">
      <c r="A354" s="14" t="s">
        <v>8</v>
      </c>
      <c r="B354" s="16" t="s">
        <v>55</v>
      </c>
      <c r="C354" s="25" t="s">
        <v>61</v>
      </c>
      <c r="D354" s="12" t="s">
        <v>56</v>
      </c>
      <c r="E354" s="38">
        <v>0</v>
      </c>
      <c r="F354" s="39">
        <v>0</v>
      </c>
      <c r="G354" s="40">
        <v>0</v>
      </c>
      <c r="H354" s="41">
        <v>0</v>
      </c>
      <c r="I354" s="42">
        <f>SUM(E354:H354)</f>
        <v>0</v>
      </c>
      <c r="J354" s="103" t="str">
        <f t="shared" ref="J354:L356" si="129">IFERROR(E354/$I354*100,"")</f>
        <v/>
      </c>
      <c r="K354" s="104" t="str">
        <f t="shared" si="129"/>
        <v/>
      </c>
      <c r="L354" s="105" t="str">
        <f t="shared" si="129"/>
        <v/>
      </c>
      <c r="M354" s="106" t="str">
        <f t="shared" si="122"/>
        <v/>
      </c>
      <c r="N354" s="5"/>
    </row>
    <row r="355" spans="1:14" s="3" customFormat="1" ht="30" customHeight="1" x14ac:dyDescent="0.25">
      <c r="A355" s="14" t="s">
        <v>8</v>
      </c>
      <c r="B355" s="16" t="s">
        <v>55</v>
      </c>
      <c r="C355" s="25" t="s">
        <v>61</v>
      </c>
      <c r="D355" s="12" t="s">
        <v>57</v>
      </c>
      <c r="E355" s="38">
        <v>0</v>
      </c>
      <c r="F355" s="39">
        <v>0</v>
      </c>
      <c r="G355" s="40">
        <v>0</v>
      </c>
      <c r="H355" s="41">
        <v>0</v>
      </c>
      <c r="I355" s="42">
        <f>SUM(E355:H355)</f>
        <v>0</v>
      </c>
      <c r="J355" s="103" t="str">
        <f t="shared" si="129"/>
        <v/>
      </c>
      <c r="K355" s="104" t="str">
        <f t="shared" si="129"/>
        <v/>
      </c>
      <c r="L355" s="105" t="str">
        <f t="shared" si="129"/>
        <v/>
      </c>
      <c r="M355" s="106" t="str">
        <f t="shared" si="122"/>
        <v/>
      </c>
    </row>
    <row r="356" spans="1:14" s="3" customFormat="1" ht="30" customHeight="1" x14ac:dyDescent="0.25">
      <c r="A356" s="14" t="s">
        <v>8</v>
      </c>
      <c r="B356" s="16" t="s">
        <v>55</v>
      </c>
      <c r="C356" s="25"/>
      <c r="D356" s="91" t="s">
        <v>29</v>
      </c>
      <c r="E356" s="38">
        <f>SUM(E354:E355)</f>
        <v>0</v>
      </c>
      <c r="F356" s="39">
        <f t="shared" ref="F356" si="130">SUM(F354:F355)</f>
        <v>0</v>
      </c>
      <c r="G356" s="40">
        <f t="shared" ref="G356" si="131">SUM(G354:G355)</f>
        <v>0</v>
      </c>
      <c r="H356" s="41">
        <f t="shared" ref="H356" si="132">SUM(H354:H355)</f>
        <v>0</v>
      </c>
      <c r="I356" s="42">
        <f t="shared" ref="I356" si="133">SUM(I354:I355)</f>
        <v>0</v>
      </c>
      <c r="J356" s="103" t="str">
        <f t="shared" si="129"/>
        <v/>
      </c>
      <c r="K356" s="104" t="str">
        <f t="shared" si="129"/>
        <v/>
      </c>
      <c r="L356" s="105" t="str">
        <f t="shared" si="129"/>
        <v/>
      </c>
      <c r="M356" s="106" t="str">
        <f t="shared" si="122"/>
        <v/>
      </c>
      <c r="N356" s="5" t="s">
        <v>1671</v>
      </c>
    </row>
    <row r="357" spans="1:14" ht="5.0999999999999996" customHeight="1" x14ac:dyDescent="0.25">
      <c r="A357" s="14" t="s">
        <v>8</v>
      </c>
      <c r="B357" s="16" t="s">
        <v>55</v>
      </c>
      <c r="C357"/>
      <c r="D357" s="57"/>
      <c r="E357" s="59"/>
      <c r="F357" s="59"/>
      <c r="G357" s="59"/>
      <c r="H357" s="59"/>
      <c r="I357" s="59"/>
      <c r="J357" s="103"/>
      <c r="K357" s="104"/>
      <c r="L357" s="105"/>
      <c r="M357" s="106" t="str">
        <f t="shared" si="122"/>
        <v/>
      </c>
    </row>
    <row r="358" spans="1:14" s="5" customFormat="1" ht="20.100000000000001" customHeight="1" x14ac:dyDescent="0.25">
      <c r="A358" s="14" t="s">
        <v>8</v>
      </c>
      <c r="B358" s="16" t="s">
        <v>74</v>
      </c>
      <c r="C358" s="25" t="s">
        <v>60</v>
      </c>
      <c r="D358" s="6" t="s">
        <v>75</v>
      </c>
      <c r="E358" s="37"/>
      <c r="F358" s="37"/>
      <c r="G358" s="37"/>
      <c r="H358" s="37"/>
      <c r="I358" s="48"/>
      <c r="J358" s="103"/>
      <c r="K358" s="104"/>
      <c r="L358" s="105"/>
      <c r="M358" s="106" t="str">
        <f t="shared" si="122"/>
        <v/>
      </c>
      <c r="N358" s="5" t="s">
        <v>1673</v>
      </c>
    </row>
    <row r="359" spans="1:14" s="3" customFormat="1" ht="30" customHeight="1" x14ac:dyDescent="0.25">
      <c r="A359" s="14" t="s">
        <v>8</v>
      </c>
      <c r="B359" s="16" t="s">
        <v>74</v>
      </c>
      <c r="C359" s="25" t="s">
        <v>61</v>
      </c>
      <c r="D359" s="12" t="s">
        <v>77</v>
      </c>
      <c r="E359" s="38">
        <v>0</v>
      </c>
      <c r="F359" s="39">
        <v>0</v>
      </c>
      <c r="G359" s="40">
        <v>0</v>
      </c>
      <c r="H359" s="41">
        <v>0</v>
      </c>
      <c r="I359" s="42">
        <f>SUM(E359:H359)</f>
        <v>0</v>
      </c>
      <c r="J359" s="103" t="str">
        <f>IFERROR(E359/$I359*100,"")</f>
        <v/>
      </c>
      <c r="K359" s="104" t="str">
        <f>IFERROR(F359/$I359*100,"")</f>
        <v/>
      </c>
      <c r="L359" s="105" t="str">
        <f>IFERROR(G359/$I359*100,"")</f>
        <v/>
      </c>
      <c r="M359" s="106" t="str">
        <f t="shared" si="122"/>
        <v/>
      </c>
      <c r="N359" s="3" t="s">
        <v>1671</v>
      </c>
    </row>
    <row r="360" spans="1:14" ht="5.0999999999999996" customHeight="1" x14ac:dyDescent="0.25">
      <c r="A360" s="14" t="s">
        <v>8</v>
      </c>
      <c r="B360" s="16" t="s">
        <v>74</v>
      </c>
      <c r="C360"/>
      <c r="D360" s="57"/>
      <c r="E360" s="59"/>
      <c r="F360" s="59"/>
      <c r="G360" s="59"/>
      <c r="H360" s="59"/>
      <c r="I360" s="59"/>
      <c r="J360" s="103"/>
      <c r="K360" s="104"/>
      <c r="L360" s="105"/>
      <c r="M360" s="106" t="str">
        <f t="shared" si="122"/>
        <v/>
      </c>
    </row>
    <row r="361" spans="1:14" s="5" customFormat="1" ht="20.100000000000001" customHeight="1" x14ac:dyDescent="0.25">
      <c r="A361" s="14" t="s">
        <v>8</v>
      </c>
      <c r="B361" s="16" t="s">
        <v>78</v>
      </c>
      <c r="C361" s="25" t="s">
        <v>60</v>
      </c>
      <c r="D361" s="6" t="s">
        <v>80</v>
      </c>
      <c r="E361" s="37"/>
      <c r="F361" s="37"/>
      <c r="G361" s="37"/>
      <c r="H361" s="37"/>
      <c r="I361" s="48"/>
      <c r="J361" s="103"/>
      <c r="K361" s="104"/>
      <c r="L361" s="105"/>
      <c r="M361" s="106" t="str">
        <f t="shared" si="122"/>
        <v/>
      </c>
      <c r="N361" s="5" t="s">
        <v>1673</v>
      </c>
    </row>
    <row r="362" spans="1:14" s="5" customFormat="1" ht="30" customHeight="1" x14ac:dyDescent="0.25">
      <c r="A362" s="14" t="s">
        <v>8</v>
      </c>
      <c r="B362" s="16" t="s">
        <v>78</v>
      </c>
      <c r="C362" s="25" t="s">
        <v>61</v>
      </c>
      <c r="D362" s="81" t="s">
        <v>81</v>
      </c>
      <c r="E362" s="38">
        <v>0</v>
      </c>
      <c r="F362" s="39">
        <v>0</v>
      </c>
      <c r="G362" s="40">
        <v>0</v>
      </c>
      <c r="H362" s="41">
        <v>0</v>
      </c>
      <c r="I362" s="42">
        <f t="shared" ref="I362:I368" si="134">SUM(E362:H362)</f>
        <v>0</v>
      </c>
      <c r="J362" s="103" t="str">
        <f t="shared" ref="J362:L368" si="135">IFERROR(E362/$I362*100,"")</f>
        <v/>
      </c>
      <c r="K362" s="104" t="str">
        <f t="shared" si="135"/>
        <v/>
      </c>
      <c r="L362" s="105" t="str">
        <f t="shared" si="135"/>
        <v/>
      </c>
      <c r="M362" s="106" t="str">
        <f t="shared" si="122"/>
        <v/>
      </c>
    </row>
    <row r="363" spans="1:14" s="5" customFormat="1" ht="30" customHeight="1" x14ac:dyDescent="0.25">
      <c r="A363" s="14" t="s">
        <v>8</v>
      </c>
      <c r="B363" s="16" t="s">
        <v>78</v>
      </c>
      <c r="C363" s="25" t="s">
        <v>61</v>
      </c>
      <c r="D363" s="81" t="s">
        <v>82</v>
      </c>
      <c r="E363" s="38">
        <v>0</v>
      </c>
      <c r="F363" s="39">
        <v>0</v>
      </c>
      <c r="G363" s="40">
        <v>0</v>
      </c>
      <c r="H363" s="41">
        <v>0</v>
      </c>
      <c r="I363" s="42">
        <f t="shared" si="134"/>
        <v>0</v>
      </c>
      <c r="J363" s="103" t="str">
        <f t="shared" si="135"/>
        <v/>
      </c>
      <c r="K363" s="104" t="str">
        <f t="shared" si="135"/>
        <v/>
      </c>
      <c r="L363" s="105" t="str">
        <f t="shared" si="135"/>
        <v/>
      </c>
      <c r="M363" s="106" t="str">
        <f t="shared" si="122"/>
        <v/>
      </c>
    </row>
    <row r="364" spans="1:14" s="5" customFormat="1" ht="30" customHeight="1" x14ac:dyDescent="0.25">
      <c r="A364" s="14" t="s">
        <v>8</v>
      </c>
      <c r="B364" s="16" t="s">
        <v>78</v>
      </c>
      <c r="C364" s="25" t="s">
        <v>61</v>
      </c>
      <c r="D364" s="81" t="s">
        <v>83</v>
      </c>
      <c r="E364" s="38">
        <v>0</v>
      </c>
      <c r="F364" s="39">
        <v>0</v>
      </c>
      <c r="G364" s="40">
        <v>0</v>
      </c>
      <c r="H364" s="41">
        <v>0</v>
      </c>
      <c r="I364" s="42">
        <f t="shared" si="134"/>
        <v>0</v>
      </c>
      <c r="J364" s="103" t="str">
        <f t="shared" si="135"/>
        <v/>
      </c>
      <c r="K364" s="104" t="str">
        <f t="shared" si="135"/>
        <v/>
      </c>
      <c r="L364" s="105" t="str">
        <f t="shared" si="135"/>
        <v/>
      </c>
      <c r="M364" s="106" t="str">
        <f t="shared" si="122"/>
        <v/>
      </c>
    </row>
    <row r="365" spans="1:14" s="5" customFormat="1" ht="30" customHeight="1" x14ac:dyDescent="0.25">
      <c r="A365" s="14" t="s">
        <v>8</v>
      </c>
      <c r="B365" s="16" t="s">
        <v>78</v>
      </c>
      <c r="C365" s="25" t="s">
        <v>61</v>
      </c>
      <c r="D365" s="81" t="s">
        <v>88</v>
      </c>
      <c r="E365" s="38">
        <v>0</v>
      </c>
      <c r="F365" s="39">
        <v>0</v>
      </c>
      <c r="G365" s="40">
        <v>0</v>
      </c>
      <c r="H365" s="41">
        <v>0</v>
      </c>
      <c r="I365" s="42">
        <f t="shared" si="134"/>
        <v>0</v>
      </c>
      <c r="J365" s="103" t="str">
        <f t="shared" si="135"/>
        <v/>
      </c>
      <c r="K365" s="104" t="str">
        <f t="shared" si="135"/>
        <v/>
      </c>
      <c r="L365" s="105" t="str">
        <f t="shared" si="135"/>
        <v/>
      </c>
      <c r="M365" s="106" t="str">
        <f t="shared" si="122"/>
        <v/>
      </c>
    </row>
    <row r="366" spans="1:14" s="5" customFormat="1" ht="30" customHeight="1" x14ac:dyDescent="0.25">
      <c r="A366" s="14" t="s">
        <v>8</v>
      </c>
      <c r="B366" s="16" t="s">
        <v>78</v>
      </c>
      <c r="C366" s="25" t="s">
        <v>61</v>
      </c>
      <c r="D366" s="81" t="s">
        <v>87</v>
      </c>
      <c r="E366" s="38">
        <v>0</v>
      </c>
      <c r="F366" s="39">
        <v>0</v>
      </c>
      <c r="G366" s="40">
        <v>0</v>
      </c>
      <c r="H366" s="41">
        <v>0</v>
      </c>
      <c r="I366" s="42">
        <f t="shared" si="134"/>
        <v>0</v>
      </c>
      <c r="J366" s="103" t="str">
        <f t="shared" si="135"/>
        <v/>
      </c>
      <c r="K366" s="104" t="str">
        <f t="shared" si="135"/>
        <v/>
      </c>
      <c r="L366" s="105" t="str">
        <f t="shared" si="135"/>
        <v/>
      </c>
      <c r="M366" s="106" t="str">
        <f t="shared" si="122"/>
        <v/>
      </c>
    </row>
    <row r="367" spans="1:14" s="5" customFormat="1" ht="30" customHeight="1" x14ac:dyDescent="0.25">
      <c r="A367" s="14" t="s">
        <v>8</v>
      </c>
      <c r="B367" s="16" t="s">
        <v>78</v>
      </c>
      <c r="C367" s="25" t="s">
        <v>61</v>
      </c>
      <c r="D367" s="81" t="s">
        <v>84</v>
      </c>
      <c r="E367" s="38">
        <v>0</v>
      </c>
      <c r="F367" s="39">
        <v>0</v>
      </c>
      <c r="G367" s="40">
        <v>0</v>
      </c>
      <c r="H367" s="41">
        <v>0</v>
      </c>
      <c r="I367" s="42">
        <f t="shared" si="134"/>
        <v>0</v>
      </c>
      <c r="J367" s="103" t="str">
        <f t="shared" si="135"/>
        <v/>
      </c>
      <c r="K367" s="104" t="str">
        <f t="shared" si="135"/>
        <v/>
      </c>
      <c r="L367" s="105" t="str">
        <f t="shared" si="135"/>
        <v/>
      </c>
      <c r="M367" s="106" t="str">
        <f t="shared" si="122"/>
        <v/>
      </c>
    </row>
    <row r="368" spans="1:14" s="5" customFormat="1" ht="30" customHeight="1" x14ac:dyDescent="0.25">
      <c r="A368" s="14" t="s">
        <v>8</v>
      </c>
      <c r="B368" s="16" t="s">
        <v>78</v>
      </c>
      <c r="C368" s="25" t="s">
        <v>86</v>
      </c>
      <c r="D368" s="81" t="s">
        <v>79</v>
      </c>
      <c r="E368" s="38">
        <v>0</v>
      </c>
      <c r="F368" s="39">
        <v>0</v>
      </c>
      <c r="G368" s="40">
        <v>0</v>
      </c>
      <c r="H368" s="41">
        <v>0</v>
      </c>
      <c r="I368" s="42">
        <f t="shared" si="134"/>
        <v>0</v>
      </c>
      <c r="J368" s="103" t="str">
        <f t="shared" si="135"/>
        <v/>
      </c>
      <c r="K368" s="104" t="str">
        <f t="shared" si="135"/>
        <v/>
      </c>
      <c r="L368" s="105" t="str">
        <f t="shared" si="135"/>
        <v/>
      </c>
      <c r="M368" s="106" t="str">
        <f t="shared" si="122"/>
        <v/>
      </c>
      <c r="N368" s="5" t="s">
        <v>1671</v>
      </c>
    </row>
    <row r="369" spans="1:14" ht="5.0999999999999996" customHeight="1" x14ac:dyDescent="0.25">
      <c r="A369" s="14" t="s">
        <v>8</v>
      </c>
      <c r="B369" s="16" t="s">
        <v>78</v>
      </c>
      <c r="C369"/>
      <c r="D369" s="57"/>
      <c r="E369" s="59"/>
      <c r="F369" s="59"/>
      <c r="G369" s="59"/>
      <c r="H369" s="59"/>
      <c r="I369" s="59"/>
      <c r="J369" s="103"/>
      <c r="K369" s="104"/>
      <c r="L369" s="105"/>
      <c r="M369" s="106" t="str">
        <f t="shared" si="122"/>
        <v/>
      </c>
    </row>
    <row r="370" spans="1:14" s="5" customFormat="1" ht="20.100000000000001" customHeight="1" x14ac:dyDescent="0.25">
      <c r="A370" s="14" t="s">
        <v>8</v>
      </c>
      <c r="B370" s="16" t="s">
        <v>91</v>
      </c>
      <c r="C370" s="25" t="s">
        <v>60</v>
      </c>
      <c r="D370" s="6" t="s">
        <v>89</v>
      </c>
      <c r="E370" s="37"/>
      <c r="F370" s="37"/>
      <c r="G370" s="37"/>
      <c r="H370" s="37"/>
      <c r="I370" s="48"/>
      <c r="J370" s="103"/>
      <c r="K370" s="104"/>
      <c r="L370" s="105"/>
      <c r="M370" s="106" t="str">
        <f t="shared" si="122"/>
        <v/>
      </c>
      <c r="N370" s="5" t="s">
        <v>1673</v>
      </c>
    </row>
    <row r="371" spans="1:14" s="5" customFormat="1" ht="30" customHeight="1" x14ac:dyDescent="0.25">
      <c r="A371" s="14" t="s">
        <v>8</v>
      </c>
      <c r="B371" s="16" t="s">
        <v>91</v>
      </c>
      <c r="C371" s="25" t="s">
        <v>61</v>
      </c>
      <c r="D371" s="82" t="s">
        <v>90</v>
      </c>
      <c r="E371" s="38">
        <v>0</v>
      </c>
      <c r="F371" s="39">
        <v>0</v>
      </c>
      <c r="G371" s="40">
        <v>0</v>
      </c>
      <c r="H371" s="41">
        <v>0</v>
      </c>
      <c r="I371" s="42">
        <f t="shared" ref="I371" si="136">SUM(E371:H371)</f>
        <v>0</v>
      </c>
      <c r="J371" s="103" t="str">
        <f>IFERROR(E371/$I371*100,"")</f>
        <v/>
      </c>
      <c r="K371" s="104" t="str">
        <f>IFERROR(F371/$I371*100,"")</f>
        <v/>
      </c>
      <c r="L371" s="105" t="str">
        <f>IFERROR(G371/$I371*100,"")</f>
        <v/>
      </c>
      <c r="M371" s="106" t="str">
        <f t="shared" si="122"/>
        <v/>
      </c>
      <c r="N371" s="5" t="s">
        <v>1671</v>
      </c>
    </row>
    <row r="372" spans="1:14" ht="5.0999999999999996" customHeight="1" x14ac:dyDescent="0.25">
      <c r="A372" s="14" t="s">
        <v>8</v>
      </c>
      <c r="B372" s="16" t="s">
        <v>91</v>
      </c>
      <c r="C372"/>
      <c r="D372" s="57"/>
      <c r="E372" s="59"/>
      <c r="F372" s="59"/>
      <c r="G372" s="59"/>
      <c r="H372" s="59"/>
      <c r="I372" s="59"/>
      <c r="J372" s="103"/>
      <c r="K372" s="104"/>
      <c r="L372" s="105"/>
      <c r="M372" s="106" t="str">
        <f t="shared" si="122"/>
        <v/>
      </c>
    </row>
    <row r="373" spans="1:14" s="5" customFormat="1" ht="20.100000000000001" customHeight="1" x14ac:dyDescent="0.25">
      <c r="A373" s="14" t="s">
        <v>8</v>
      </c>
      <c r="B373" s="16" t="s">
        <v>1916</v>
      </c>
      <c r="C373" s="25" t="s">
        <v>60</v>
      </c>
      <c r="D373" s="6" t="s">
        <v>1853</v>
      </c>
      <c r="E373" s="37"/>
      <c r="F373" s="37"/>
      <c r="G373" s="37"/>
      <c r="H373" s="37"/>
      <c r="I373" s="48"/>
      <c r="J373" s="103"/>
      <c r="K373" s="104"/>
      <c r="L373" s="105"/>
      <c r="M373" s="106" t="str">
        <f t="shared" si="122"/>
        <v/>
      </c>
      <c r="N373" s="5" t="s">
        <v>1673</v>
      </c>
    </row>
    <row r="374" spans="1:14" s="5" customFormat="1" ht="30" customHeight="1" x14ac:dyDescent="0.25">
      <c r="A374" s="14" t="s">
        <v>8</v>
      </c>
      <c r="B374" s="16" t="s">
        <v>1916</v>
      </c>
      <c r="C374" s="25" t="s">
        <v>61</v>
      </c>
      <c r="D374" s="175" t="s">
        <v>1917</v>
      </c>
      <c r="E374" s="38">
        <v>0</v>
      </c>
      <c r="F374" s="39">
        <v>0</v>
      </c>
      <c r="G374" s="40">
        <v>0</v>
      </c>
      <c r="H374" s="41">
        <v>0</v>
      </c>
      <c r="I374" s="42">
        <f t="shared" ref="I374" si="137">SUM(E374:H374)</f>
        <v>0</v>
      </c>
      <c r="J374" s="103" t="str">
        <f>IFERROR(E374/$I374*100,"")</f>
        <v/>
      </c>
      <c r="K374" s="104" t="str">
        <f>IFERROR(F374/$I374*100,"")</f>
        <v/>
      </c>
      <c r="L374" s="105" t="str">
        <f>IFERROR(G374/$I374*100,"")</f>
        <v/>
      </c>
      <c r="M374" s="106" t="str">
        <f t="shared" si="122"/>
        <v/>
      </c>
      <c r="N374" s="5" t="s">
        <v>1671</v>
      </c>
    </row>
    <row r="375" spans="1:14" ht="5.0999999999999996" customHeight="1" x14ac:dyDescent="0.25">
      <c r="A375" s="14" t="s">
        <v>8</v>
      </c>
      <c r="B375" s="16" t="s">
        <v>1916</v>
      </c>
      <c r="C375"/>
      <c r="D375" s="57"/>
      <c r="E375" s="59"/>
      <c r="F375" s="59"/>
      <c r="G375" s="59"/>
      <c r="H375" s="59"/>
      <c r="I375" s="59"/>
      <c r="J375" s="103"/>
      <c r="K375" s="104"/>
      <c r="L375" s="105"/>
      <c r="M375" s="106" t="str">
        <f t="shared" si="122"/>
        <v/>
      </c>
    </row>
    <row r="376" spans="1:14" s="5" customFormat="1" ht="20.100000000000001" customHeight="1" x14ac:dyDescent="0.25">
      <c r="A376" s="14" t="s">
        <v>8</v>
      </c>
      <c r="B376" s="16" t="s">
        <v>1637</v>
      </c>
      <c r="C376" s="25" t="s">
        <v>60</v>
      </c>
      <c r="D376" s="6" t="s">
        <v>1636</v>
      </c>
      <c r="E376" s="37"/>
      <c r="F376" s="37"/>
      <c r="G376" s="37"/>
      <c r="H376" s="37"/>
      <c r="I376" s="48"/>
      <c r="J376" s="103"/>
      <c r="K376" s="104"/>
      <c r="L376" s="105"/>
      <c r="M376" s="106" t="str">
        <f t="shared" si="122"/>
        <v/>
      </c>
      <c r="N376" s="5" t="s">
        <v>1673</v>
      </c>
    </row>
    <row r="377" spans="1:14" s="3" customFormat="1" ht="30" customHeight="1" x14ac:dyDescent="0.25">
      <c r="A377" s="14" t="s">
        <v>8</v>
      </c>
      <c r="B377" s="16" t="s">
        <v>1637</v>
      </c>
      <c r="C377" s="25" t="s">
        <v>61</v>
      </c>
      <c r="D377" s="87" t="s">
        <v>1638</v>
      </c>
      <c r="E377" s="38">
        <v>0</v>
      </c>
      <c r="F377" s="39">
        <v>0</v>
      </c>
      <c r="G377" s="40">
        <v>0</v>
      </c>
      <c r="H377" s="41">
        <v>0</v>
      </c>
      <c r="I377" s="42">
        <f t="shared" ref="I377:I381" si="138">SUM(E377:H377)</f>
        <v>0</v>
      </c>
      <c r="J377" s="103" t="str">
        <f t="shared" ref="J377:L381" si="139">IFERROR(E377/$I377*100,"")</f>
        <v/>
      </c>
      <c r="K377" s="104" t="str">
        <f t="shared" si="139"/>
        <v/>
      </c>
      <c r="L377" s="105" t="str">
        <f t="shared" si="139"/>
        <v/>
      </c>
      <c r="M377" s="106" t="str">
        <f t="shared" si="122"/>
        <v/>
      </c>
    </row>
    <row r="378" spans="1:14" s="3" customFormat="1" ht="30" customHeight="1" x14ac:dyDescent="0.25">
      <c r="A378" s="14" t="s">
        <v>8</v>
      </c>
      <c r="B378" s="16" t="s">
        <v>1637</v>
      </c>
      <c r="C378" s="25" t="s">
        <v>61</v>
      </c>
      <c r="D378" s="87" t="s">
        <v>1669</v>
      </c>
      <c r="E378" s="38">
        <v>0</v>
      </c>
      <c r="F378" s="39">
        <v>0</v>
      </c>
      <c r="G378" s="40">
        <v>0</v>
      </c>
      <c r="H378" s="41">
        <v>0</v>
      </c>
      <c r="I378" s="42">
        <f t="shared" si="138"/>
        <v>0</v>
      </c>
      <c r="J378" s="103" t="str">
        <f t="shared" si="139"/>
        <v/>
      </c>
      <c r="K378" s="104" t="str">
        <f t="shared" si="139"/>
        <v/>
      </c>
      <c r="L378" s="105" t="str">
        <f t="shared" si="139"/>
        <v/>
      </c>
      <c r="M378" s="106" t="str">
        <f t="shared" si="122"/>
        <v/>
      </c>
    </row>
    <row r="379" spans="1:14" s="3" customFormat="1" ht="30" customHeight="1" x14ac:dyDescent="0.25">
      <c r="A379" s="14" t="s">
        <v>8</v>
      </c>
      <c r="B379" s="16" t="s">
        <v>1637</v>
      </c>
      <c r="C379" s="25" t="s">
        <v>61</v>
      </c>
      <c r="D379" s="87" t="s">
        <v>1640</v>
      </c>
      <c r="E379" s="38">
        <v>0</v>
      </c>
      <c r="F379" s="39">
        <v>0</v>
      </c>
      <c r="G379" s="40">
        <v>0</v>
      </c>
      <c r="H379" s="41">
        <v>0</v>
      </c>
      <c r="I379" s="42">
        <f t="shared" si="138"/>
        <v>0</v>
      </c>
      <c r="J379" s="103" t="str">
        <f t="shared" si="139"/>
        <v/>
      </c>
      <c r="K379" s="104" t="str">
        <f t="shared" si="139"/>
        <v/>
      </c>
      <c r="L379" s="105" t="str">
        <f t="shared" si="139"/>
        <v/>
      </c>
      <c r="M379" s="106" t="str">
        <f t="shared" si="122"/>
        <v/>
      </c>
    </row>
    <row r="380" spans="1:14" s="3" customFormat="1" ht="30" customHeight="1" x14ac:dyDescent="0.25">
      <c r="A380" s="14" t="s">
        <v>8</v>
      </c>
      <c r="B380" s="16" t="s">
        <v>1637</v>
      </c>
      <c r="C380" s="25" t="s">
        <v>61</v>
      </c>
      <c r="D380" s="87" t="s">
        <v>1639</v>
      </c>
      <c r="E380" s="38">
        <v>0</v>
      </c>
      <c r="F380" s="39">
        <v>0</v>
      </c>
      <c r="G380" s="40">
        <v>0</v>
      </c>
      <c r="H380" s="41">
        <v>0</v>
      </c>
      <c r="I380" s="42">
        <f t="shared" si="138"/>
        <v>0</v>
      </c>
      <c r="J380" s="103" t="str">
        <f t="shared" si="139"/>
        <v/>
      </c>
      <c r="K380" s="104" t="str">
        <f t="shared" si="139"/>
        <v/>
      </c>
      <c r="L380" s="105" t="str">
        <f t="shared" si="139"/>
        <v/>
      </c>
      <c r="M380" s="106" t="str">
        <f t="shared" si="122"/>
        <v/>
      </c>
    </row>
    <row r="381" spans="1:14" s="3" customFormat="1" ht="30" customHeight="1" x14ac:dyDescent="0.25">
      <c r="A381" s="14" t="s">
        <v>8</v>
      </c>
      <c r="B381" s="16" t="s">
        <v>1637</v>
      </c>
      <c r="C381" s="25" t="s">
        <v>61</v>
      </c>
      <c r="D381" s="87" t="s">
        <v>1641</v>
      </c>
      <c r="E381" s="38">
        <v>0</v>
      </c>
      <c r="F381" s="39">
        <v>0</v>
      </c>
      <c r="G381" s="40">
        <v>0</v>
      </c>
      <c r="H381" s="41">
        <v>0</v>
      </c>
      <c r="I381" s="42">
        <f t="shared" si="138"/>
        <v>0</v>
      </c>
      <c r="J381" s="103" t="str">
        <f t="shared" si="139"/>
        <v/>
      </c>
      <c r="K381" s="104" t="str">
        <f t="shared" si="139"/>
        <v/>
      </c>
      <c r="L381" s="105" t="str">
        <f t="shared" si="139"/>
        <v/>
      </c>
      <c r="M381" s="106" t="str">
        <f t="shared" si="122"/>
        <v/>
      </c>
    </row>
    <row r="382" spans="1:14" s="3" customFormat="1" ht="30" customHeight="1" x14ac:dyDescent="0.25">
      <c r="A382" s="14" t="s">
        <v>8</v>
      </c>
      <c r="B382" s="16" t="s">
        <v>1637</v>
      </c>
      <c r="C382" s="25"/>
      <c r="D382" s="87" t="s">
        <v>29</v>
      </c>
      <c r="E382" s="38">
        <f>SUM(E377:E381)</f>
        <v>0</v>
      </c>
      <c r="F382" s="39">
        <f>SUM(F377:F381)</f>
        <v>0</v>
      </c>
      <c r="G382" s="40">
        <f>SUM(G377:G381)</f>
        <v>0</v>
      </c>
      <c r="H382" s="41">
        <f>SUM(H377:H381)</f>
        <v>0</v>
      </c>
      <c r="I382" s="42">
        <f t="shared" ref="I382" si="140">SUM(E382:H382)</f>
        <v>0</v>
      </c>
      <c r="J382" s="103" t="str">
        <f>IFERROR(E382/SUM($E382:$H382)*100,"")</f>
        <v/>
      </c>
      <c r="K382" s="104" t="str">
        <f>IFERROR(F382/SUM($E382:$H382)*100,"")</f>
        <v/>
      </c>
      <c r="L382" s="105" t="str">
        <f>IFERROR(G382/SUM($E382:$H382)*100,"")</f>
        <v/>
      </c>
      <c r="M382" s="106" t="str">
        <f t="shared" si="122"/>
        <v/>
      </c>
      <c r="N382" s="5" t="s">
        <v>1671</v>
      </c>
    </row>
    <row r="383" spans="1:14" ht="5.0999999999999996" customHeight="1" x14ac:dyDescent="0.25">
      <c r="A383" s="14" t="s">
        <v>8</v>
      </c>
      <c r="B383" s="16" t="s">
        <v>1637</v>
      </c>
      <c r="C383"/>
      <c r="J383" s="103"/>
      <c r="K383" s="104"/>
      <c r="L383" s="105"/>
      <c r="M383" s="106" t="str">
        <f t="shared" si="122"/>
        <v/>
      </c>
    </row>
    <row r="384" spans="1:14" s="5" customFormat="1" ht="20.100000000000001" customHeight="1" x14ac:dyDescent="0.25">
      <c r="A384" s="14" t="s">
        <v>8</v>
      </c>
      <c r="B384" s="16" t="s">
        <v>42</v>
      </c>
      <c r="C384" s="25" t="s">
        <v>60</v>
      </c>
      <c r="D384" s="6" t="s">
        <v>1744</v>
      </c>
      <c r="E384" s="37"/>
      <c r="F384" s="37"/>
      <c r="G384" s="37"/>
      <c r="H384" s="37"/>
      <c r="I384" s="48"/>
      <c r="J384" s="103"/>
      <c r="K384" s="104"/>
      <c r="L384" s="105"/>
      <c r="M384" s="106" t="str">
        <f t="shared" si="122"/>
        <v/>
      </c>
      <c r="N384" s="5" t="s">
        <v>1673</v>
      </c>
    </row>
    <row r="385" spans="1:14" s="3" customFormat="1" ht="30" customHeight="1" x14ac:dyDescent="0.25">
      <c r="A385" s="14" t="s">
        <v>8</v>
      </c>
      <c r="B385" s="16" t="s">
        <v>42</v>
      </c>
      <c r="C385" s="25" t="s">
        <v>61</v>
      </c>
      <c r="D385" s="12" t="s">
        <v>43</v>
      </c>
      <c r="E385" s="38">
        <v>0</v>
      </c>
      <c r="F385" s="39">
        <v>0</v>
      </c>
      <c r="G385" s="40">
        <v>0</v>
      </c>
      <c r="H385" s="41">
        <v>0</v>
      </c>
      <c r="I385" s="42">
        <f t="shared" ref="I385:I394" si="141">SUM(E385:H385)</f>
        <v>0</v>
      </c>
      <c r="J385" s="103" t="str">
        <f t="shared" ref="J385:J394" si="142">IFERROR(E385/$I385*100,"")</f>
        <v/>
      </c>
      <c r="K385" s="104" t="str">
        <f t="shared" ref="K385:K394" si="143">IFERROR(F385/$I385*100,"")</f>
        <v/>
      </c>
      <c r="L385" s="105" t="str">
        <f t="shared" ref="L385:L394" si="144">IFERROR(G385/$I385*100,"")</f>
        <v/>
      </c>
      <c r="M385" s="106" t="str">
        <f t="shared" si="122"/>
        <v/>
      </c>
    </row>
    <row r="386" spans="1:14" s="3" customFormat="1" ht="30" customHeight="1" x14ac:dyDescent="0.25">
      <c r="A386" s="14" t="s">
        <v>8</v>
      </c>
      <c r="B386" s="16" t="s">
        <v>42</v>
      </c>
      <c r="C386" s="25" t="s">
        <v>61</v>
      </c>
      <c r="D386" s="12" t="s">
        <v>44</v>
      </c>
      <c r="E386" s="38">
        <v>0</v>
      </c>
      <c r="F386" s="39">
        <v>0</v>
      </c>
      <c r="G386" s="40">
        <v>0</v>
      </c>
      <c r="H386" s="41">
        <v>0</v>
      </c>
      <c r="I386" s="42">
        <f t="shared" si="141"/>
        <v>0</v>
      </c>
      <c r="J386" s="103" t="str">
        <f t="shared" si="142"/>
        <v/>
      </c>
      <c r="K386" s="104" t="str">
        <f t="shared" si="143"/>
        <v/>
      </c>
      <c r="L386" s="105" t="str">
        <f t="shared" si="144"/>
        <v/>
      </c>
      <c r="M386" s="106" t="str">
        <f t="shared" si="122"/>
        <v/>
      </c>
    </row>
    <row r="387" spans="1:14" s="3" customFormat="1" ht="30" customHeight="1" x14ac:dyDescent="0.25">
      <c r="A387" s="14" t="s">
        <v>8</v>
      </c>
      <c r="B387" s="16" t="s">
        <v>42</v>
      </c>
      <c r="C387" s="25" t="s">
        <v>61</v>
      </c>
      <c r="D387" s="12" t="s">
        <v>45</v>
      </c>
      <c r="E387" s="38">
        <v>0</v>
      </c>
      <c r="F387" s="39">
        <v>0</v>
      </c>
      <c r="G387" s="40">
        <v>0</v>
      </c>
      <c r="H387" s="41">
        <v>0</v>
      </c>
      <c r="I387" s="42">
        <f t="shared" si="141"/>
        <v>0</v>
      </c>
      <c r="J387" s="103" t="str">
        <f t="shared" si="142"/>
        <v/>
      </c>
      <c r="K387" s="104" t="str">
        <f t="shared" si="143"/>
        <v/>
      </c>
      <c r="L387" s="105" t="str">
        <f t="shared" si="144"/>
        <v/>
      </c>
      <c r="M387" s="106" t="str">
        <f t="shared" si="122"/>
        <v/>
      </c>
    </row>
    <row r="388" spans="1:14" s="3" customFormat="1" ht="30" customHeight="1" x14ac:dyDescent="0.25">
      <c r="A388" s="14" t="s">
        <v>8</v>
      </c>
      <c r="B388" s="16" t="s">
        <v>42</v>
      </c>
      <c r="C388" s="25" t="s">
        <v>61</v>
      </c>
      <c r="D388" s="12" t="s">
        <v>46</v>
      </c>
      <c r="E388" s="38">
        <v>0</v>
      </c>
      <c r="F388" s="39">
        <v>0</v>
      </c>
      <c r="G388" s="40">
        <v>0</v>
      </c>
      <c r="H388" s="41">
        <v>0</v>
      </c>
      <c r="I388" s="42">
        <f t="shared" si="141"/>
        <v>0</v>
      </c>
      <c r="J388" s="103" t="str">
        <f t="shared" si="142"/>
        <v/>
      </c>
      <c r="K388" s="104" t="str">
        <f t="shared" si="143"/>
        <v/>
      </c>
      <c r="L388" s="105" t="str">
        <f t="shared" si="144"/>
        <v/>
      </c>
      <c r="M388" s="106" t="str">
        <f t="shared" si="122"/>
        <v/>
      </c>
    </row>
    <row r="389" spans="1:14" s="3" customFormat="1" ht="30" customHeight="1" x14ac:dyDescent="0.25">
      <c r="A389" s="14" t="s">
        <v>8</v>
      </c>
      <c r="B389" s="16" t="s">
        <v>42</v>
      </c>
      <c r="C389" s="25" t="s">
        <v>61</v>
      </c>
      <c r="D389" s="12" t="s">
        <v>51</v>
      </c>
      <c r="E389" s="38">
        <v>0</v>
      </c>
      <c r="F389" s="39">
        <v>0</v>
      </c>
      <c r="G389" s="40">
        <v>0</v>
      </c>
      <c r="H389" s="41">
        <v>0</v>
      </c>
      <c r="I389" s="42">
        <f t="shared" si="141"/>
        <v>0</v>
      </c>
      <c r="J389" s="103" t="str">
        <f t="shared" si="142"/>
        <v/>
      </c>
      <c r="K389" s="104" t="str">
        <f t="shared" si="143"/>
        <v/>
      </c>
      <c r="L389" s="105" t="str">
        <f t="shared" si="144"/>
        <v/>
      </c>
      <c r="M389" s="106" t="str">
        <f t="shared" si="122"/>
        <v/>
      </c>
    </row>
    <row r="390" spans="1:14" s="3" customFormat="1" ht="30" customHeight="1" x14ac:dyDescent="0.25">
      <c r="A390" s="14" t="s">
        <v>8</v>
      </c>
      <c r="B390" s="16" t="s">
        <v>42</v>
      </c>
      <c r="C390" s="25" t="s">
        <v>61</v>
      </c>
      <c r="D390" s="12" t="s">
        <v>52</v>
      </c>
      <c r="E390" s="38">
        <v>0</v>
      </c>
      <c r="F390" s="39">
        <v>0</v>
      </c>
      <c r="G390" s="40">
        <v>0</v>
      </c>
      <c r="H390" s="41">
        <v>0</v>
      </c>
      <c r="I390" s="42">
        <f t="shared" si="141"/>
        <v>0</v>
      </c>
      <c r="J390" s="103" t="str">
        <f t="shared" si="142"/>
        <v/>
      </c>
      <c r="K390" s="104" t="str">
        <f t="shared" si="143"/>
        <v/>
      </c>
      <c r="L390" s="105" t="str">
        <f t="shared" si="144"/>
        <v/>
      </c>
      <c r="M390" s="106" t="str">
        <f t="shared" si="122"/>
        <v/>
      </c>
    </row>
    <row r="391" spans="1:14" s="3" customFormat="1" ht="30" customHeight="1" x14ac:dyDescent="0.25">
      <c r="A391" s="14" t="s">
        <v>8</v>
      </c>
      <c r="B391" s="16" t="s">
        <v>42</v>
      </c>
      <c r="C391" s="25" t="s">
        <v>61</v>
      </c>
      <c r="D391" s="12" t="s">
        <v>47</v>
      </c>
      <c r="E391" s="38">
        <v>0</v>
      </c>
      <c r="F391" s="39">
        <v>0</v>
      </c>
      <c r="G391" s="40">
        <v>0</v>
      </c>
      <c r="H391" s="41">
        <v>0</v>
      </c>
      <c r="I391" s="42">
        <f t="shared" si="141"/>
        <v>0</v>
      </c>
      <c r="J391" s="103" t="str">
        <f t="shared" si="142"/>
        <v/>
      </c>
      <c r="K391" s="104" t="str">
        <f t="shared" si="143"/>
        <v/>
      </c>
      <c r="L391" s="105" t="str">
        <f t="shared" si="144"/>
        <v/>
      </c>
      <c r="M391" s="106" t="str">
        <f t="shared" si="122"/>
        <v/>
      </c>
    </row>
    <row r="392" spans="1:14" s="3" customFormat="1" ht="30" customHeight="1" x14ac:dyDescent="0.25">
      <c r="A392" s="14" t="s">
        <v>8</v>
      </c>
      <c r="B392" s="16" t="s">
        <v>42</v>
      </c>
      <c r="C392" s="25" t="s">
        <v>61</v>
      </c>
      <c r="D392" s="12" t="s">
        <v>48</v>
      </c>
      <c r="E392" s="38">
        <v>0</v>
      </c>
      <c r="F392" s="39">
        <v>0</v>
      </c>
      <c r="G392" s="40">
        <v>0</v>
      </c>
      <c r="H392" s="41">
        <v>0</v>
      </c>
      <c r="I392" s="42">
        <f t="shared" si="141"/>
        <v>0</v>
      </c>
      <c r="J392" s="103" t="str">
        <f t="shared" si="142"/>
        <v/>
      </c>
      <c r="K392" s="104" t="str">
        <f t="shared" si="143"/>
        <v/>
      </c>
      <c r="L392" s="105" t="str">
        <f t="shared" si="144"/>
        <v/>
      </c>
      <c r="M392" s="106" t="str">
        <f t="shared" si="122"/>
        <v/>
      </c>
    </row>
    <row r="393" spans="1:14" s="3" customFormat="1" ht="30" customHeight="1" x14ac:dyDescent="0.25">
      <c r="A393" s="14" t="s">
        <v>8</v>
      </c>
      <c r="B393" s="16" t="s">
        <v>42</v>
      </c>
      <c r="C393" s="25" t="s">
        <v>61</v>
      </c>
      <c r="D393" s="12" t="s">
        <v>49</v>
      </c>
      <c r="E393" s="38">
        <v>0</v>
      </c>
      <c r="F393" s="39">
        <v>0</v>
      </c>
      <c r="G393" s="40">
        <v>0</v>
      </c>
      <c r="H393" s="41">
        <v>0</v>
      </c>
      <c r="I393" s="42">
        <f t="shared" si="141"/>
        <v>0</v>
      </c>
      <c r="J393" s="103" t="str">
        <f t="shared" si="142"/>
        <v/>
      </c>
      <c r="K393" s="104" t="str">
        <f t="shared" si="143"/>
        <v/>
      </c>
      <c r="L393" s="105" t="str">
        <f t="shared" si="144"/>
        <v/>
      </c>
      <c r="M393" s="106" t="str">
        <f t="shared" si="122"/>
        <v/>
      </c>
    </row>
    <row r="394" spans="1:14" s="3" customFormat="1" ht="30" customHeight="1" x14ac:dyDescent="0.25">
      <c r="A394" s="14" t="s">
        <v>8</v>
      </c>
      <c r="B394" s="16" t="s">
        <v>42</v>
      </c>
      <c r="C394" s="25" t="s">
        <v>61</v>
      </c>
      <c r="D394" s="12" t="s">
        <v>50</v>
      </c>
      <c r="E394" s="38">
        <v>0</v>
      </c>
      <c r="F394" s="39">
        <v>0</v>
      </c>
      <c r="G394" s="40">
        <v>0</v>
      </c>
      <c r="H394" s="41">
        <v>0</v>
      </c>
      <c r="I394" s="42">
        <f t="shared" si="141"/>
        <v>0</v>
      </c>
      <c r="J394" s="103" t="str">
        <f t="shared" si="142"/>
        <v/>
      </c>
      <c r="K394" s="104" t="str">
        <f t="shared" si="143"/>
        <v/>
      </c>
      <c r="L394" s="105" t="str">
        <f t="shared" si="144"/>
        <v/>
      </c>
      <c r="M394" s="106" t="str">
        <f t="shared" si="122"/>
        <v/>
      </c>
    </row>
    <row r="395" spans="1:14" s="8" customFormat="1" ht="30" customHeight="1" x14ac:dyDescent="0.25">
      <c r="A395" s="14" t="s">
        <v>8</v>
      </c>
      <c r="B395" s="16" t="s">
        <v>42</v>
      </c>
      <c r="C395" s="25"/>
      <c r="D395" s="9" t="s">
        <v>29</v>
      </c>
      <c r="E395" s="38">
        <f>SUM(E385:E394)</f>
        <v>0</v>
      </c>
      <c r="F395" s="39">
        <f t="shared" ref="F395" si="145">SUM(F385:F394)</f>
        <v>0</v>
      </c>
      <c r="G395" s="40">
        <f t="shared" ref="G395" si="146">SUM(G385:G394)</f>
        <v>0</v>
      </c>
      <c r="H395" s="41">
        <f t="shared" ref="H395" si="147">SUM(H385:H394)</f>
        <v>0</v>
      </c>
      <c r="I395" s="43">
        <f t="shared" ref="I395" si="148">SUM(I385:I394)</f>
        <v>0</v>
      </c>
      <c r="J395" s="103" t="str">
        <f>IFERROR(E395/SUM($E395:$H395)*100,"")</f>
        <v/>
      </c>
      <c r="K395" s="104" t="str">
        <f>IFERROR(F395/SUM($E395:$H395)*100,"")</f>
        <v/>
      </c>
      <c r="L395" s="105" t="str">
        <f>IFERROR(G395/SUM($E395:$H395)*100,"")</f>
        <v/>
      </c>
      <c r="M395" s="106" t="str">
        <f t="shared" si="122"/>
        <v/>
      </c>
      <c r="N395" s="5" t="s">
        <v>1671</v>
      </c>
    </row>
    <row r="396" spans="1:14" ht="5.0999999999999996" customHeight="1" x14ac:dyDescent="0.25">
      <c r="A396" s="14" t="s">
        <v>8</v>
      </c>
      <c r="B396" s="16" t="s">
        <v>42</v>
      </c>
      <c r="C396"/>
      <c r="E396" s="59"/>
      <c r="F396" s="59"/>
      <c r="G396" s="59"/>
      <c r="H396" s="59"/>
      <c r="I396" s="59"/>
      <c r="J396" s="103"/>
      <c r="K396" s="104"/>
      <c r="L396" s="105"/>
      <c r="M396" s="106" t="str">
        <f t="shared" si="122"/>
        <v/>
      </c>
    </row>
    <row r="397" spans="1:14" s="7" customFormat="1" ht="20.100000000000001" customHeight="1" x14ac:dyDescent="0.25">
      <c r="A397" s="14" t="s">
        <v>8</v>
      </c>
      <c r="B397" s="16" t="s">
        <v>62</v>
      </c>
      <c r="C397" s="25" t="s">
        <v>60</v>
      </c>
      <c r="D397" s="62" t="s">
        <v>63</v>
      </c>
      <c r="E397" s="63"/>
      <c r="F397" s="63"/>
      <c r="G397" s="63"/>
      <c r="H397" s="63"/>
      <c r="I397" s="64"/>
      <c r="J397" s="103"/>
      <c r="K397" s="104"/>
      <c r="L397" s="105"/>
      <c r="M397" s="106" t="str">
        <f t="shared" ref="M397:M460" si="149">IFERROR(H397/$I397*100,"")</f>
        <v/>
      </c>
      <c r="N397" s="5" t="s">
        <v>1673</v>
      </c>
    </row>
    <row r="398" spans="1:14" s="8" customFormat="1" ht="30" customHeight="1" x14ac:dyDescent="0.25">
      <c r="A398" s="14" t="s">
        <v>8</v>
      </c>
      <c r="B398" s="16" t="s">
        <v>62</v>
      </c>
      <c r="C398" s="25"/>
      <c r="D398" s="12" t="s">
        <v>29</v>
      </c>
      <c r="E398" s="38" t="e">
        <f>SUM(E348,E337,E356,E395,E351,E359,E368,E371,E382,#REF!)</f>
        <v>#REF!</v>
      </c>
      <c r="F398" s="39" t="e">
        <f>SUM(F348,F337,F356,F395,F351,F359,F368,F371,F382,#REF!)</f>
        <v>#REF!</v>
      </c>
      <c r="G398" s="40" t="e">
        <f>SUM(G348,G337,G356,G395,G351,G359,G368,G371,G382,#REF!)</f>
        <v>#REF!</v>
      </c>
      <c r="H398" s="41" t="e">
        <f>SUM(H348,H337,H356,H395,H351,H359,H368,H371,H382,#REF!)</f>
        <v>#REF!</v>
      </c>
      <c r="I398" s="42" t="e">
        <f>SUM(I348,I337,I356,I395,I351,I359,I368,I371,I382,#REF!)</f>
        <v>#REF!</v>
      </c>
      <c r="J398" s="103" t="str">
        <f>IFERROR(E398/SUM($E398:$H398)*100,"")</f>
        <v/>
      </c>
      <c r="K398" s="104" t="str">
        <f>IFERROR(F398/SUM($E398:$H398)*100,"")</f>
        <v/>
      </c>
      <c r="L398" s="105" t="str">
        <f>IFERROR(G398/SUM($E398:$H398)*100,"")</f>
        <v/>
      </c>
      <c r="M398" s="106" t="str">
        <f t="shared" si="149"/>
        <v/>
      </c>
      <c r="N398" s="5" t="s">
        <v>1671</v>
      </c>
    </row>
    <row r="399" spans="1:14" s="5" customFormat="1" ht="20.100000000000001" customHeight="1" x14ac:dyDescent="0.25">
      <c r="A399" s="14" t="s">
        <v>8</v>
      </c>
      <c r="B399" s="14"/>
      <c r="C399" s="25" t="s">
        <v>60</v>
      </c>
      <c r="D399" s="58"/>
      <c r="E399" s="60"/>
      <c r="F399" s="60"/>
      <c r="G399" s="60"/>
      <c r="H399" s="60"/>
      <c r="I399" s="60"/>
      <c r="J399" s="103"/>
      <c r="K399" s="104"/>
      <c r="L399" s="105"/>
      <c r="M399" s="106" t="str">
        <f t="shared" si="149"/>
        <v/>
      </c>
    </row>
    <row r="400" spans="1:14" s="5" customFormat="1" ht="20.100000000000001" customHeight="1" x14ac:dyDescent="0.25">
      <c r="A400" s="14" t="s">
        <v>12</v>
      </c>
      <c r="B400" s="14"/>
      <c r="C400" s="25" t="s">
        <v>60</v>
      </c>
      <c r="D400" s="20" t="str">
        <f>IFERROR(A400&amp;"   ("&amp;COUNTIFS(#REF!,"="&amp;A400)&amp;")",A400)</f>
        <v>DOB</v>
      </c>
      <c r="E400" s="45"/>
      <c r="F400" s="45"/>
      <c r="G400" s="45"/>
      <c r="H400" s="45"/>
      <c r="I400" s="46"/>
      <c r="J400" s="103"/>
      <c r="K400" s="104"/>
      <c r="L400" s="105"/>
      <c r="M400" s="106" t="str">
        <f t="shared" si="149"/>
        <v/>
      </c>
      <c r="N400" s="5" t="s">
        <v>1672</v>
      </c>
    </row>
    <row r="401" spans="1:14" s="5" customFormat="1" ht="20.100000000000001" customHeight="1" x14ac:dyDescent="0.25">
      <c r="A401" s="14" t="s">
        <v>12</v>
      </c>
      <c r="B401" s="16" t="s">
        <v>20</v>
      </c>
      <c r="C401" s="25" t="s">
        <v>60</v>
      </c>
      <c r="D401" s="6" t="s">
        <v>20</v>
      </c>
      <c r="E401" s="37"/>
      <c r="F401" s="37"/>
      <c r="G401" s="37"/>
      <c r="H401" s="37"/>
      <c r="I401" s="48"/>
      <c r="J401" s="103"/>
      <c r="K401" s="104"/>
      <c r="L401" s="105"/>
      <c r="M401" s="106" t="str">
        <f t="shared" si="149"/>
        <v/>
      </c>
      <c r="N401" s="5" t="s">
        <v>1673</v>
      </c>
    </row>
    <row r="402" spans="1:14" s="5" customFormat="1" ht="30" customHeight="1" x14ac:dyDescent="0.25">
      <c r="A402" s="14" t="s">
        <v>12</v>
      </c>
      <c r="B402" s="16" t="s">
        <v>20</v>
      </c>
      <c r="C402" s="25" t="s">
        <v>61</v>
      </c>
      <c r="D402" s="12" t="s">
        <v>25</v>
      </c>
      <c r="E402" s="38">
        <v>0</v>
      </c>
      <c r="F402" s="39">
        <v>0</v>
      </c>
      <c r="G402" s="40">
        <v>0</v>
      </c>
      <c r="H402" s="41">
        <v>0</v>
      </c>
      <c r="I402" s="42">
        <f>SUM(E402:H402)</f>
        <v>0</v>
      </c>
      <c r="J402" s="103" t="str">
        <f>IFERROR(E402/$I402*100,"")</f>
        <v/>
      </c>
      <c r="K402" s="104" t="str">
        <f>IFERROR(F402/$I402*100,"")</f>
        <v/>
      </c>
      <c r="L402" s="105" t="str">
        <f>IFERROR(G402/$I402*100,"")</f>
        <v/>
      </c>
      <c r="M402" s="106" t="str">
        <f t="shared" si="149"/>
        <v/>
      </c>
      <c r="N402" s="5" t="s">
        <v>1671</v>
      </c>
    </row>
    <row r="403" spans="1:14" ht="5.0999999999999996" customHeight="1" x14ac:dyDescent="0.25">
      <c r="A403" s="14" t="s">
        <v>12</v>
      </c>
      <c r="B403" s="16" t="s">
        <v>20</v>
      </c>
      <c r="C403"/>
      <c r="D403" s="57"/>
      <c r="E403" s="59"/>
      <c r="F403" s="59"/>
      <c r="G403" s="59"/>
      <c r="H403" s="59"/>
      <c r="I403" s="59"/>
      <c r="J403" s="103"/>
      <c r="K403" s="104"/>
      <c r="L403" s="105"/>
      <c r="M403" s="106" t="str">
        <f t="shared" si="149"/>
        <v/>
      </c>
    </row>
    <row r="404" spans="1:14" s="5" customFormat="1" ht="20.100000000000001" customHeight="1" x14ac:dyDescent="0.25">
      <c r="A404" s="14" t="s">
        <v>12</v>
      </c>
      <c r="B404" s="16" t="s">
        <v>26</v>
      </c>
      <c r="C404" s="25" t="s">
        <v>60</v>
      </c>
      <c r="D404" s="6" t="s">
        <v>98</v>
      </c>
      <c r="E404" s="37"/>
      <c r="F404" s="37"/>
      <c r="G404" s="37"/>
      <c r="H404" s="37"/>
      <c r="I404" s="47"/>
      <c r="J404" s="103"/>
      <c r="K404" s="104"/>
      <c r="L404" s="105"/>
      <c r="M404" s="106" t="str">
        <f t="shared" si="149"/>
        <v/>
      </c>
      <c r="N404" s="5" t="s">
        <v>1673</v>
      </c>
    </row>
    <row r="405" spans="1:14" s="5" customFormat="1" ht="30" customHeight="1" x14ac:dyDescent="0.25">
      <c r="A405" s="14" t="s">
        <v>12</v>
      </c>
      <c r="B405" s="16" t="s">
        <v>26</v>
      </c>
      <c r="C405" s="25" t="s">
        <v>61</v>
      </c>
      <c r="D405" s="31" t="s">
        <v>21</v>
      </c>
      <c r="E405" s="38">
        <v>0</v>
      </c>
      <c r="F405" s="39">
        <v>0</v>
      </c>
      <c r="G405" s="40">
        <v>0</v>
      </c>
      <c r="H405" s="41">
        <v>0</v>
      </c>
      <c r="I405" s="42">
        <f t="shared" ref="I405:I412" si="150">SUM(E405:H405)</f>
        <v>0</v>
      </c>
      <c r="J405" s="103" t="str">
        <f t="shared" ref="J405:L412" si="151">IFERROR(E405/$I405*100,"")</f>
        <v/>
      </c>
      <c r="K405" s="104" t="str">
        <f t="shared" si="151"/>
        <v/>
      </c>
      <c r="L405" s="105" t="str">
        <f t="shared" si="151"/>
        <v/>
      </c>
      <c r="M405" s="106" t="str">
        <f t="shared" si="149"/>
        <v/>
      </c>
    </row>
    <row r="406" spans="1:14" s="5" customFormat="1" ht="30" customHeight="1" x14ac:dyDescent="0.25">
      <c r="A406" s="14" t="s">
        <v>12</v>
      </c>
      <c r="B406" s="16" t="s">
        <v>26</v>
      </c>
      <c r="C406" s="25" t="s">
        <v>61</v>
      </c>
      <c r="D406" s="31" t="s">
        <v>22</v>
      </c>
      <c r="E406" s="38">
        <v>0</v>
      </c>
      <c r="F406" s="39">
        <v>0</v>
      </c>
      <c r="G406" s="40">
        <v>0</v>
      </c>
      <c r="H406" s="41">
        <v>0</v>
      </c>
      <c r="I406" s="42">
        <f t="shared" si="150"/>
        <v>0</v>
      </c>
      <c r="J406" s="103" t="str">
        <f t="shared" si="151"/>
        <v/>
      </c>
      <c r="K406" s="104" t="str">
        <f t="shared" si="151"/>
        <v/>
      </c>
      <c r="L406" s="105" t="str">
        <f t="shared" si="151"/>
        <v/>
      </c>
      <c r="M406" s="106" t="str">
        <f t="shared" si="149"/>
        <v/>
      </c>
    </row>
    <row r="407" spans="1:14" s="5" customFormat="1" ht="30" customHeight="1" x14ac:dyDescent="0.25">
      <c r="A407" s="14" t="s">
        <v>12</v>
      </c>
      <c r="B407" s="16" t="s">
        <v>26</v>
      </c>
      <c r="C407" s="25" t="s">
        <v>61</v>
      </c>
      <c r="D407" s="31" t="s">
        <v>27</v>
      </c>
      <c r="E407" s="38">
        <v>0</v>
      </c>
      <c r="F407" s="39">
        <v>0</v>
      </c>
      <c r="G407" s="40">
        <v>0</v>
      </c>
      <c r="H407" s="41">
        <v>0</v>
      </c>
      <c r="I407" s="42">
        <f t="shared" si="150"/>
        <v>0</v>
      </c>
      <c r="J407" s="103" t="str">
        <f t="shared" si="151"/>
        <v/>
      </c>
      <c r="K407" s="104" t="str">
        <f t="shared" si="151"/>
        <v/>
      </c>
      <c r="L407" s="105" t="str">
        <f t="shared" si="151"/>
        <v/>
      </c>
      <c r="M407" s="106" t="str">
        <f t="shared" si="149"/>
        <v/>
      </c>
    </row>
    <row r="408" spans="1:14" s="5" customFormat="1" ht="30" customHeight="1" x14ac:dyDescent="0.25">
      <c r="A408" s="14" t="s">
        <v>12</v>
      </c>
      <c r="B408" s="16" t="s">
        <v>26</v>
      </c>
      <c r="C408" s="25" t="s">
        <v>61</v>
      </c>
      <c r="D408" s="31" t="s">
        <v>23</v>
      </c>
      <c r="E408" s="38">
        <v>0</v>
      </c>
      <c r="F408" s="39">
        <v>0</v>
      </c>
      <c r="G408" s="40">
        <v>0</v>
      </c>
      <c r="H408" s="41">
        <v>0</v>
      </c>
      <c r="I408" s="42">
        <f t="shared" si="150"/>
        <v>0</v>
      </c>
      <c r="J408" s="103" t="str">
        <f t="shared" si="151"/>
        <v/>
      </c>
      <c r="K408" s="104" t="str">
        <f t="shared" si="151"/>
        <v/>
      </c>
      <c r="L408" s="105" t="str">
        <f t="shared" si="151"/>
        <v/>
      </c>
      <c r="M408" s="106" t="str">
        <f t="shared" si="149"/>
        <v/>
      </c>
    </row>
    <row r="409" spans="1:14" s="5" customFormat="1" ht="30" customHeight="1" x14ac:dyDescent="0.25">
      <c r="A409" s="14" t="s">
        <v>12</v>
      </c>
      <c r="B409" s="16" t="s">
        <v>26</v>
      </c>
      <c r="C409" s="25" t="s">
        <v>61</v>
      </c>
      <c r="D409" s="31" t="s">
        <v>24</v>
      </c>
      <c r="E409" s="38">
        <v>0</v>
      </c>
      <c r="F409" s="39">
        <v>0</v>
      </c>
      <c r="G409" s="40">
        <v>0</v>
      </c>
      <c r="H409" s="41">
        <v>0</v>
      </c>
      <c r="I409" s="42">
        <f t="shared" si="150"/>
        <v>0</v>
      </c>
      <c r="J409" s="103" t="str">
        <f t="shared" si="151"/>
        <v/>
      </c>
      <c r="K409" s="104" t="str">
        <f t="shared" si="151"/>
        <v/>
      </c>
      <c r="L409" s="105" t="str">
        <f t="shared" si="151"/>
        <v/>
      </c>
      <c r="M409" s="106" t="str">
        <f t="shared" si="149"/>
        <v/>
      </c>
    </row>
    <row r="410" spans="1:14" s="3" customFormat="1" ht="30" customHeight="1" x14ac:dyDescent="0.25">
      <c r="A410" s="14" t="s">
        <v>12</v>
      </c>
      <c r="B410" s="16" t="s">
        <v>26</v>
      </c>
      <c r="C410" s="25" t="s">
        <v>61</v>
      </c>
      <c r="D410" s="31" t="s">
        <v>41</v>
      </c>
      <c r="E410" s="38">
        <v>0</v>
      </c>
      <c r="F410" s="39">
        <v>0</v>
      </c>
      <c r="G410" s="40">
        <v>0</v>
      </c>
      <c r="H410" s="41">
        <v>0</v>
      </c>
      <c r="I410" s="42">
        <f t="shared" si="150"/>
        <v>0</v>
      </c>
      <c r="J410" s="103" t="str">
        <f t="shared" si="151"/>
        <v/>
      </c>
      <c r="K410" s="104" t="str">
        <f t="shared" si="151"/>
        <v/>
      </c>
      <c r="L410" s="105" t="str">
        <f t="shared" si="151"/>
        <v/>
      </c>
      <c r="M410" s="106" t="str">
        <f t="shared" si="149"/>
        <v/>
      </c>
    </row>
    <row r="411" spans="1:14" s="5" customFormat="1" ht="30" customHeight="1" x14ac:dyDescent="0.25">
      <c r="A411" s="14" t="s">
        <v>12</v>
      </c>
      <c r="B411" s="16" t="s">
        <v>26</v>
      </c>
      <c r="C411" s="25" t="s">
        <v>61</v>
      </c>
      <c r="D411" s="31" t="s">
        <v>28</v>
      </c>
      <c r="E411" s="38">
        <v>0</v>
      </c>
      <c r="F411" s="39">
        <v>0</v>
      </c>
      <c r="G411" s="40">
        <v>0</v>
      </c>
      <c r="H411" s="41">
        <v>0</v>
      </c>
      <c r="I411" s="42">
        <f t="shared" si="150"/>
        <v>0</v>
      </c>
      <c r="J411" s="103" t="str">
        <f t="shared" si="151"/>
        <v/>
      </c>
      <c r="K411" s="104" t="str">
        <f t="shared" si="151"/>
        <v/>
      </c>
      <c r="L411" s="105" t="str">
        <f t="shared" si="151"/>
        <v/>
      </c>
      <c r="M411" s="106" t="str">
        <f t="shared" si="149"/>
        <v/>
      </c>
    </row>
    <row r="412" spans="1:14" s="5" customFormat="1" ht="30" customHeight="1" x14ac:dyDescent="0.25">
      <c r="A412" s="14" t="s">
        <v>12</v>
      </c>
      <c r="B412" s="16" t="s">
        <v>26</v>
      </c>
      <c r="C412" s="25" t="s">
        <v>61</v>
      </c>
      <c r="D412" s="31" t="s">
        <v>40</v>
      </c>
      <c r="E412" s="38">
        <v>0</v>
      </c>
      <c r="F412" s="39">
        <v>0</v>
      </c>
      <c r="G412" s="40">
        <v>0</v>
      </c>
      <c r="H412" s="41">
        <v>0</v>
      </c>
      <c r="I412" s="42">
        <f t="shared" si="150"/>
        <v>0</v>
      </c>
      <c r="J412" s="103" t="str">
        <f t="shared" si="151"/>
        <v/>
      </c>
      <c r="K412" s="104" t="str">
        <f t="shared" si="151"/>
        <v/>
      </c>
      <c r="L412" s="105" t="str">
        <f t="shared" si="151"/>
        <v/>
      </c>
      <c r="M412" s="106" t="str">
        <f t="shared" si="149"/>
        <v/>
      </c>
    </row>
    <row r="413" spans="1:14" s="8" customFormat="1" ht="30" customHeight="1" x14ac:dyDescent="0.25">
      <c r="A413" s="14" t="s">
        <v>12</v>
      </c>
      <c r="B413" s="16" t="s">
        <v>26</v>
      </c>
      <c r="C413" s="25"/>
      <c r="D413" s="9" t="s">
        <v>29</v>
      </c>
      <c r="E413" s="38">
        <f>SUM(E405:E412)</f>
        <v>0</v>
      </c>
      <c r="F413" s="39">
        <f t="shared" ref="F413" si="152">SUM(F405:F412)</f>
        <v>0</v>
      </c>
      <c r="G413" s="40">
        <f t="shared" ref="G413" si="153">SUM(G405:G412)</f>
        <v>0</v>
      </c>
      <c r="H413" s="41">
        <f t="shared" ref="H413" si="154">SUM(H405:H412)</f>
        <v>0</v>
      </c>
      <c r="I413" s="43">
        <f t="shared" ref="I413" si="155">SUM(I405:I412)</f>
        <v>0</v>
      </c>
      <c r="J413" s="103" t="str">
        <f>IFERROR(E413/SUM($E413:$H413)*100,"")</f>
        <v/>
      </c>
      <c r="K413" s="104" t="str">
        <f>IFERROR(F413/SUM($E413:$H413)*100,"")</f>
        <v/>
      </c>
      <c r="L413" s="105" t="str">
        <f>IFERROR(G413/SUM($E413:$H413)*100,"")</f>
        <v/>
      </c>
      <c r="M413" s="106" t="str">
        <f t="shared" si="149"/>
        <v/>
      </c>
      <c r="N413" s="5" t="s">
        <v>1671</v>
      </c>
    </row>
    <row r="414" spans="1:14" ht="5.0999999999999996" customHeight="1" x14ac:dyDescent="0.25">
      <c r="A414" s="14" t="s">
        <v>12</v>
      </c>
      <c r="B414" s="16" t="s">
        <v>26</v>
      </c>
      <c r="C414"/>
      <c r="D414" s="57"/>
      <c r="E414" s="59"/>
      <c r="F414" s="59"/>
      <c r="G414" s="59"/>
      <c r="H414" s="59"/>
      <c r="I414" s="59"/>
      <c r="J414" s="103"/>
      <c r="K414" s="104"/>
      <c r="L414" s="105"/>
      <c r="M414" s="106" t="str">
        <f t="shared" si="149"/>
        <v/>
      </c>
    </row>
    <row r="415" spans="1:14" s="5" customFormat="1" ht="20.100000000000001" customHeight="1" x14ac:dyDescent="0.25">
      <c r="A415" s="14" t="s">
        <v>12</v>
      </c>
      <c r="B415" s="16" t="s">
        <v>64</v>
      </c>
      <c r="C415" s="25" t="s">
        <v>60</v>
      </c>
      <c r="D415" s="6" t="s">
        <v>65</v>
      </c>
      <c r="E415" s="37"/>
      <c r="F415" s="37"/>
      <c r="G415" s="37"/>
      <c r="H415" s="37"/>
      <c r="I415" s="48"/>
      <c r="J415" s="103"/>
      <c r="K415" s="104"/>
      <c r="L415" s="105"/>
      <c r="M415" s="106" t="str">
        <f t="shared" si="149"/>
        <v/>
      </c>
      <c r="N415" s="5" t="s">
        <v>1673</v>
      </c>
    </row>
    <row r="416" spans="1:14" s="5" customFormat="1" ht="30" customHeight="1" x14ac:dyDescent="0.25">
      <c r="A416" s="14" t="s">
        <v>12</v>
      </c>
      <c r="B416" s="16" t="s">
        <v>64</v>
      </c>
      <c r="C416" s="25" t="s">
        <v>61</v>
      </c>
      <c r="D416" s="12" t="s">
        <v>66</v>
      </c>
      <c r="E416" s="38">
        <v>0</v>
      </c>
      <c r="F416" s="39">
        <v>0</v>
      </c>
      <c r="G416" s="40">
        <v>0</v>
      </c>
      <c r="H416" s="41">
        <v>0</v>
      </c>
      <c r="I416" s="42">
        <f>SUM(E416:H416)</f>
        <v>0</v>
      </c>
      <c r="J416" s="103" t="str">
        <f>IFERROR(E416/$I416*100,"")</f>
        <v/>
      </c>
      <c r="K416" s="104" t="str">
        <f>IFERROR(F416/$I416*100,"")</f>
        <v/>
      </c>
      <c r="L416" s="105" t="str">
        <f>IFERROR(G416/$I416*100,"")</f>
        <v/>
      </c>
      <c r="M416" s="106" t="str">
        <f t="shared" si="149"/>
        <v/>
      </c>
      <c r="N416" s="5" t="s">
        <v>1671</v>
      </c>
    </row>
    <row r="417" spans="1:14" ht="5.0999999999999996" customHeight="1" x14ac:dyDescent="0.25">
      <c r="A417" s="14" t="s">
        <v>12</v>
      </c>
      <c r="B417" s="16" t="s">
        <v>64</v>
      </c>
      <c r="C417"/>
      <c r="D417" s="57"/>
      <c r="E417" s="59"/>
      <c r="F417" s="59"/>
      <c r="G417" s="59"/>
      <c r="H417" s="59"/>
      <c r="I417" s="59"/>
      <c r="J417" s="103"/>
      <c r="K417" s="104"/>
      <c r="L417" s="105"/>
      <c r="M417" s="106" t="str">
        <f t="shared" si="149"/>
        <v/>
      </c>
    </row>
    <row r="418" spans="1:14" s="5" customFormat="1" ht="20.100000000000001" customHeight="1" x14ac:dyDescent="0.25">
      <c r="A418" s="14" t="s">
        <v>12</v>
      </c>
      <c r="B418" s="16" t="s">
        <v>55</v>
      </c>
      <c r="C418" s="25" t="s">
        <v>60</v>
      </c>
      <c r="D418" s="6" t="s">
        <v>55</v>
      </c>
      <c r="E418" s="37"/>
      <c r="F418" s="37"/>
      <c r="G418" s="37"/>
      <c r="H418" s="37"/>
      <c r="I418" s="48"/>
      <c r="J418" s="103"/>
      <c r="K418" s="104"/>
      <c r="L418" s="105"/>
      <c r="M418" s="106" t="str">
        <f t="shared" si="149"/>
        <v/>
      </c>
      <c r="N418" s="5" t="s">
        <v>1673</v>
      </c>
    </row>
    <row r="419" spans="1:14" s="3" customFormat="1" ht="30" customHeight="1" x14ac:dyDescent="0.25">
      <c r="A419" s="14" t="s">
        <v>12</v>
      </c>
      <c r="B419" s="16" t="s">
        <v>55</v>
      </c>
      <c r="C419" s="25" t="s">
        <v>61</v>
      </c>
      <c r="D419" s="12" t="s">
        <v>56</v>
      </c>
      <c r="E419" s="38">
        <v>0</v>
      </c>
      <c r="F419" s="39">
        <v>0</v>
      </c>
      <c r="G419" s="40">
        <v>0</v>
      </c>
      <c r="H419" s="41">
        <v>0</v>
      </c>
      <c r="I419" s="42">
        <f>SUM(E419:H419)</f>
        <v>0</v>
      </c>
      <c r="J419" s="103" t="str">
        <f t="shared" ref="J419:L421" si="156">IFERROR(E419/$I419*100,"")</f>
        <v/>
      </c>
      <c r="K419" s="104" t="str">
        <f t="shared" si="156"/>
        <v/>
      </c>
      <c r="L419" s="105" t="str">
        <f t="shared" si="156"/>
        <v/>
      </c>
      <c r="M419" s="106" t="str">
        <f t="shared" si="149"/>
        <v/>
      </c>
      <c r="N419" s="5"/>
    </row>
    <row r="420" spans="1:14" s="3" customFormat="1" ht="30" customHeight="1" x14ac:dyDescent="0.25">
      <c r="A420" s="14" t="s">
        <v>12</v>
      </c>
      <c r="B420" s="16" t="s">
        <v>55</v>
      </c>
      <c r="C420" s="25" t="s">
        <v>61</v>
      </c>
      <c r="D420" s="12" t="s">
        <v>57</v>
      </c>
      <c r="E420" s="38">
        <v>0</v>
      </c>
      <c r="F420" s="39">
        <v>0</v>
      </c>
      <c r="G420" s="40">
        <v>0</v>
      </c>
      <c r="H420" s="41">
        <v>0</v>
      </c>
      <c r="I420" s="42">
        <f>SUM(E420:H420)</f>
        <v>0</v>
      </c>
      <c r="J420" s="103" t="str">
        <f t="shared" si="156"/>
        <v/>
      </c>
      <c r="K420" s="104" t="str">
        <f t="shared" si="156"/>
        <v/>
      </c>
      <c r="L420" s="105" t="str">
        <f t="shared" si="156"/>
        <v/>
      </c>
      <c r="M420" s="106" t="str">
        <f t="shared" si="149"/>
        <v/>
      </c>
    </row>
    <row r="421" spans="1:14" s="3" customFormat="1" ht="30" customHeight="1" x14ac:dyDescent="0.25">
      <c r="A421" s="14" t="s">
        <v>12</v>
      </c>
      <c r="B421" s="16" t="s">
        <v>55</v>
      </c>
      <c r="C421" s="25"/>
      <c r="D421" s="91" t="s">
        <v>29</v>
      </c>
      <c r="E421" s="38">
        <f>SUM(E419:E420)</f>
        <v>0</v>
      </c>
      <c r="F421" s="39">
        <f t="shared" ref="F421" si="157">SUM(F419:F420)</f>
        <v>0</v>
      </c>
      <c r="G421" s="40">
        <f t="shared" ref="G421" si="158">SUM(G419:G420)</f>
        <v>0</v>
      </c>
      <c r="H421" s="41">
        <f t="shared" ref="H421" si="159">SUM(H419:H420)</f>
        <v>0</v>
      </c>
      <c r="I421" s="42">
        <f t="shared" ref="I421" si="160">SUM(I419:I420)</f>
        <v>0</v>
      </c>
      <c r="J421" s="103" t="str">
        <f t="shared" si="156"/>
        <v/>
      </c>
      <c r="K421" s="104" t="str">
        <f t="shared" si="156"/>
        <v/>
      </c>
      <c r="L421" s="105" t="str">
        <f t="shared" si="156"/>
        <v/>
      </c>
      <c r="M421" s="106" t="str">
        <f t="shared" si="149"/>
        <v/>
      </c>
      <c r="N421" s="5" t="s">
        <v>1671</v>
      </c>
    </row>
    <row r="422" spans="1:14" ht="5.0999999999999996" customHeight="1" x14ac:dyDescent="0.25">
      <c r="A422" s="14" t="s">
        <v>12</v>
      </c>
      <c r="B422" s="16" t="s">
        <v>55</v>
      </c>
      <c r="C422"/>
      <c r="D422" s="57"/>
      <c r="E422" s="59"/>
      <c r="F422" s="59"/>
      <c r="G422" s="59"/>
      <c r="H422" s="59"/>
      <c r="I422" s="59"/>
      <c r="J422" s="103"/>
      <c r="K422" s="104"/>
      <c r="L422" s="105"/>
      <c r="M422" s="106" t="str">
        <f t="shared" si="149"/>
        <v/>
      </c>
    </row>
    <row r="423" spans="1:14" s="5" customFormat="1" ht="20.100000000000001" customHeight="1" x14ac:dyDescent="0.25">
      <c r="A423" s="14" t="s">
        <v>12</v>
      </c>
      <c r="B423" s="16" t="s">
        <v>74</v>
      </c>
      <c r="C423" s="25" t="s">
        <v>60</v>
      </c>
      <c r="D423" s="6" t="s">
        <v>75</v>
      </c>
      <c r="E423" s="37"/>
      <c r="F423" s="37"/>
      <c r="G423" s="37"/>
      <c r="H423" s="37"/>
      <c r="I423" s="48"/>
      <c r="J423" s="103"/>
      <c r="K423" s="104"/>
      <c r="L423" s="105"/>
      <c r="M423" s="106" t="str">
        <f t="shared" si="149"/>
        <v/>
      </c>
      <c r="N423" s="5" t="s">
        <v>1673</v>
      </c>
    </row>
    <row r="424" spans="1:14" s="3" customFormat="1" ht="30" customHeight="1" x14ac:dyDescent="0.25">
      <c r="A424" s="14" t="s">
        <v>12</v>
      </c>
      <c r="B424" s="16" t="s">
        <v>74</v>
      </c>
      <c r="C424" s="25" t="s">
        <v>61</v>
      </c>
      <c r="D424" s="12" t="s">
        <v>77</v>
      </c>
      <c r="E424" s="38">
        <v>0</v>
      </c>
      <c r="F424" s="39">
        <v>0</v>
      </c>
      <c r="G424" s="40">
        <v>0</v>
      </c>
      <c r="H424" s="41">
        <v>0</v>
      </c>
      <c r="I424" s="42">
        <f>SUM(E424:H424)</f>
        <v>0</v>
      </c>
      <c r="J424" s="103" t="str">
        <f>IFERROR(E424/$I424*100,"")</f>
        <v/>
      </c>
      <c r="K424" s="104" t="str">
        <f>IFERROR(F424/$I424*100,"")</f>
        <v/>
      </c>
      <c r="L424" s="105" t="str">
        <f>IFERROR(G424/$I424*100,"")</f>
        <v/>
      </c>
      <c r="M424" s="106" t="str">
        <f t="shared" si="149"/>
        <v/>
      </c>
      <c r="N424" s="3" t="s">
        <v>1671</v>
      </c>
    </row>
    <row r="425" spans="1:14" ht="5.0999999999999996" customHeight="1" x14ac:dyDescent="0.25">
      <c r="A425" s="14" t="s">
        <v>12</v>
      </c>
      <c r="B425" s="16" t="s">
        <v>74</v>
      </c>
      <c r="C425"/>
      <c r="D425" s="57"/>
      <c r="E425" s="59"/>
      <c r="F425" s="59"/>
      <c r="G425" s="59"/>
      <c r="H425" s="59"/>
      <c r="I425" s="59"/>
      <c r="J425" s="103"/>
      <c r="K425" s="104"/>
      <c r="L425" s="105"/>
      <c r="M425" s="106" t="str">
        <f t="shared" si="149"/>
        <v/>
      </c>
    </row>
    <row r="426" spans="1:14" s="5" customFormat="1" ht="20.100000000000001" customHeight="1" x14ac:dyDescent="0.25">
      <c r="A426" s="14" t="s">
        <v>12</v>
      </c>
      <c r="B426" s="16" t="s">
        <v>78</v>
      </c>
      <c r="C426" s="25" t="s">
        <v>60</v>
      </c>
      <c r="D426" s="6" t="s">
        <v>80</v>
      </c>
      <c r="E426" s="37"/>
      <c r="F426" s="37"/>
      <c r="G426" s="37"/>
      <c r="H426" s="37"/>
      <c r="I426" s="48"/>
      <c r="J426" s="103"/>
      <c r="K426" s="104"/>
      <c r="L426" s="105"/>
      <c r="M426" s="106" t="str">
        <f t="shared" si="149"/>
        <v/>
      </c>
      <c r="N426" s="5" t="s">
        <v>1673</v>
      </c>
    </row>
    <row r="427" spans="1:14" s="5" customFormat="1" ht="30" customHeight="1" x14ac:dyDescent="0.25">
      <c r="A427" s="14" t="s">
        <v>12</v>
      </c>
      <c r="B427" s="16" t="s">
        <v>78</v>
      </c>
      <c r="C427" s="25" t="s">
        <v>61</v>
      </c>
      <c r="D427" s="81" t="s">
        <v>81</v>
      </c>
      <c r="E427" s="38">
        <v>0</v>
      </c>
      <c r="F427" s="39">
        <v>0</v>
      </c>
      <c r="G427" s="40">
        <v>0</v>
      </c>
      <c r="H427" s="41">
        <v>0</v>
      </c>
      <c r="I427" s="42">
        <f t="shared" ref="I427:I433" si="161">SUM(E427:H427)</f>
        <v>0</v>
      </c>
      <c r="J427" s="103" t="str">
        <f t="shared" ref="J427:L433" si="162">IFERROR(E427/$I427*100,"")</f>
        <v/>
      </c>
      <c r="K427" s="104" t="str">
        <f t="shared" si="162"/>
        <v/>
      </c>
      <c r="L427" s="105" t="str">
        <f t="shared" si="162"/>
        <v/>
      </c>
      <c r="M427" s="106" t="str">
        <f t="shared" si="149"/>
        <v/>
      </c>
    </row>
    <row r="428" spans="1:14" s="5" customFormat="1" ht="30" customHeight="1" x14ac:dyDescent="0.25">
      <c r="A428" s="14" t="s">
        <v>12</v>
      </c>
      <c r="B428" s="16" t="s">
        <v>78</v>
      </c>
      <c r="C428" s="25" t="s">
        <v>61</v>
      </c>
      <c r="D428" s="81" t="s">
        <v>82</v>
      </c>
      <c r="E428" s="38">
        <v>0</v>
      </c>
      <c r="F428" s="39">
        <v>0</v>
      </c>
      <c r="G428" s="40">
        <v>0</v>
      </c>
      <c r="H428" s="41">
        <v>0</v>
      </c>
      <c r="I428" s="42">
        <f t="shared" si="161"/>
        <v>0</v>
      </c>
      <c r="J428" s="103" t="str">
        <f t="shared" si="162"/>
        <v/>
      </c>
      <c r="K428" s="104" t="str">
        <f t="shared" si="162"/>
        <v/>
      </c>
      <c r="L428" s="105" t="str">
        <f t="shared" si="162"/>
        <v/>
      </c>
      <c r="M428" s="106" t="str">
        <f t="shared" si="149"/>
        <v/>
      </c>
    </row>
    <row r="429" spans="1:14" s="5" customFormat="1" ht="30" customHeight="1" x14ac:dyDescent="0.25">
      <c r="A429" s="14" t="s">
        <v>12</v>
      </c>
      <c r="B429" s="16" t="s">
        <v>78</v>
      </c>
      <c r="C429" s="25" t="s">
        <v>61</v>
      </c>
      <c r="D429" s="81" t="s">
        <v>83</v>
      </c>
      <c r="E429" s="38">
        <v>0</v>
      </c>
      <c r="F429" s="39">
        <v>0</v>
      </c>
      <c r="G429" s="40">
        <v>0</v>
      </c>
      <c r="H429" s="41">
        <v>0</v>
      </c>
      <c r="I429" s="42">
        <f t="shared" si="161"/>
        <v>0</v>
      </c>
      <c r="J429" s="103" t="str">
        <f t="shared" si="162"/>
        <v/>
      </c>
      <c r="K429" s="104" t="str">
        <f t="shared" si="162"/>
        <v/>
      </c>
      <c r="L429" s="105" t="str">
        <f t="shared" si="162"/>
        <v/>
      </c>
      <c r="M429" s="106" t="str">
        <f t="shared" si="149"/>
        <v/>
      </c>
    </row>
    <row r="430" spans="1:14" s="5" customFormat="1" ht="30" customHeight="1" x14ac:dyDescent="0.25">
      <c r="A430" s="14" t="s">
        <v>12</v>
      </c>
      <c r="B430" s="16" t="s">
        <v>78</v>
      </c>
      <c r="C430" s="25" t="s">
        <v>61</v>
      </c>
      <c r="D430" s="81" t="s">
        <v>88</v>
      </c>
      <c r="E430" s="38">
        <v>0</v>
      </c>
      <c r="F430" s="39">
        <v>0</v>
      </c>
      <c r="G430" s="40">
        <v>0</v>
      </c>
      <c r="H430" s="41">
        <v>0</v>
      </c>
      <c r="I430" s="42">
        <f t="shared" si="161"/>
        <v>0</v>
      </c>
      <c r="J430" s="103" t="str">
        <f t="shared" si="162"/>
        <v/>
      </c>
      <c r="K430" s="104" t="str">
        <f t="shared" si="162"/>
        <v/>
      </c>
      <c r="L430" s="105" t="str">
        <f t="shared" si="162"/>
        <v/>
      </c>
      <c r="M430" s="106" t="str">
        <f t="shared" si="149"/>
        <v/>
      </c>
    </row>
    <row r="431" spans="1:14" s="5" customFormat="1" ht="30" customHeight="1" x14ac:dyDescent="0.25">
      <c r="A431" s="14" t="s">
        <v>12</v>
      </c>
      <c r="B431" s="16" t="s">
        <v>78</v>
      </c>
      <c r="C431" s="25" t="s">
        <v>61</v>
      </c>
      <c r="D431" s="81" t="s">
        <v>87</v>
      </c>
      <c r="E431" s="38">
        <v>0</v>
      </c>
      <c r="F431" s="39">
        <v>0</v>
      </c>
      <c r="G431" s="40">
        <v>0</v>
      </c>
      <c r="H431" s="41">
        <v>0</v>
      </c>
      <c r="I431" s="42">
        <f t="shared" si="161"/>
        <v>0</v>
      </c>
      <c r="J431" s="103" t="str">
        <f t="shared" si="162"/>
        <v/>
      </c>
      <c r="K431" s="104" t="str">
        <f t="shared" si="162"/>
        <v/>
      </c>
      <c r="L431" s="105" t="str">
        <f t="shared" si="162"/>
        <v/>
      </c>
      <c r="M431" s="106" t="str">
        <f t="shared" si="149"/>
        <v/>
      </c>
    </row>
    <row r="432" spans="1:14" s="5" customFormat="1" ht="30" customHeight="1" x14ac:dyDescent="0.25">
      <c r="A432" s="14" t="s">
        <v>12</v>
      </c>
      <c r="B432" s="16" t="s">
        <v>78</v>
      </c>
      <c r="C432" s="25" t="s">
        <v>61</v>
      </c>
      <c r="D432" s="81" t="s">
        <v>84</v>
      </c>
      <c r="E432" s="38">
        <v>0</v>
      </c>
      <c r="F432" s="39">
        <v>0</v>
      </c>
      <c r="G432" s="40">
        <v>0</v>
      </c>
      <c r="H432" s="41">
        <v>0</v>
      </c>
      <c r="I432" s="42">
        <f t="shared" si="161"/>
        <v>0</v>
      </c>
      <c r="J432" s="103" t="str">
        <f t="shared" si="162"/>
        <v/>
      </c>
      <c r="K432" s="104" t="str">
        <f t="shared" si="162"/>
        <v/>
      </c>
      <c r="L432" s="105" t="str">
        <f t="shared" si="162"/>
        <v/>
      </c>
      <c r="M432" s="106" t="str">
        <f t="shared" si="149"/>
        <v/>
      </c>
    </row>
    <row r="433" spans="1:14" s="5" customFormat="1" ht="30" customHeight="1" x14ac:dyDescent="0.25">
      <c r="A433" s="14" t="s">
        <v>12</v>
      </c>
      <c r="B433" s="16" t="s">
        <v>78</v>
      </c>
      <c r="C433" s="25" t="s">
        <v>86</v>
      </c>
      <c r="D433" s="81" t="s">
        <v>79</v>
      </c>
      <c r="E433" s="38">
        <v>0</v>
      </c>
      <c r="F433" s="39">
        <v>0</v>
      </c>
      <c r="G433" s="40">
        <v>0</v>
      </c>
      <c r="H433" s="41">
        <v>0</v>
      </c>
      <c r="I433" s="42">
        <f t="shared" si="161"/>
        <v>0</v>
      </c>
      <c r="J433" s="103" t="str">
        <f t="shared" si="162"/>
        <v/>
      </c>
      <c r="K433" s="104" t="str">
        <f t="shared" si="162"/>
        <v/>
      </c>
      <c r="L433" s="105" t="str">
        <f t="shared" si="162"/>
        <v/>
      </c>
      <c r="M433" s="106" t="str">
        <f t="shared" si="149"/>
        <v/>
      </c>
      <c r="N433" s="5" t="s">
        <v>1671</v>
      </c>
    </row>
    <row r="434" spans="1:14" ht="5.0999999999999996" customHeight="1" x14ac:dyDescent="0.25">
      <c r="A434" s="14" t="s">
        <v>12</v>
      </c>
      <c r="B434" s="16" t="s">
        <v>78</v>
      </c>
      <c r="C434"/>
      <c r="D434" s="57"/>
      <c r="E434" s="59"/>
      <c r="F434" s="59"/>
      <c r="G434" s="59"/>
      <c r="H434" s="59"/>
      <c r="I434" s="59"/>
      <c r="J434" s="103"/>
      <c r="K434" s="104"/>
      <c r="L434" s="105"/>
      <c r="M434" s="106" t="str">
        <f t="shared" si="149"/>
        <v/>
      </c>
    </row>
    <row r="435" spans="1:14" s="5" customFormat="1" ht="20.100000000000001" customHeight="1" x14ac:dyDescent="0.25">
      <c r="A435" s="14" t="s">
        <v>12</v>
      </c>
      <c r="B435" s="16" t="s">
        <v>91</v>
      </c>
      <c r="C435" s="25" t="s">
        <v>60</v>
      </c>
      <c r="D435" s="6" t="s">
        <v>89</v>
      </c>
      <c r="E435" s="37"/>
      <c r="F435" s="37"/>
      <c r="G435" s="37"/>
      <c r="H435" s="37"/>
      <c r="I435" s="48"/>
      <c r="J435" s="103"/>
      <c r="K435" s="104"/>
      <c r="L435" s="105"/>
      <c r="M435" s="106" t="str">
        <f t="shared" si="149"/>
        <v/>
      </c>
      <c r="N435" s="5" t="s">
        <v>1673</v>
      </c>
    </row>
    <row r="436" spans="1:14" s="5" customFormat="1" ht="30" customHeight="1" x14ac:dyDescent="0.25">
      <c r="A436" s="14" t="s">
        <v>12</v>
      </c>
      <c r="B436" s="16" t="s">
        <v>91</v>
      </c>
      <c r="C436" s="25" t="s">
        <v>61</v>
      </c>
      <c r="D436" s="82" t="s">
        <v>90</v>
      </c>
      <c r="E436" s="38">
        <v>0</v>
      </c>
      <c r="F436" s="39">
        <v>0</v>
      </c>
      <c r="G436" s="40">
        <v>0</v>
      </c>
      <c r="H436" s="41">
        <v>0</v>
      </c>
      <c r="I436" s="42">
        <f t="shared" ref="I436" si="163">SUM(E436:H436)</f>
        <v>0</v>
      </c>
      <c r="J436" s="103" t="str">
        <f>IFERROR(E436/$I436*100,"")</f>
        <v/>
      </c>
      <c r="K436" s="104" t="str">
        <f>IFERROR(F436/$I436*100,"")</f>
        <v/>
      </c>
      <c r="L436" s="105" t="str">
        <f>IFERROR(G436/$I436*100,"")</f>
        <v/>
      </c>
      <c r="M436" s="106" t="str">
        <f t="shared" si="149"/>
        <v/>
      </c>
      <c r="N436" s="5" t="s">
        <v>1671</v>
      </c>
    </row>
    <row r="437" spans="1:14" ht="5.0999999999999996" customHeight="1" x14ac:dyDescent="0.25">
      <c r="A437" s="14" t="s">
        <v>12</v>
      </c>
      <c r="B437" s="16" t="s">
        <v>91</v>
      </c>
      <c r="C437"/>
      <c r="D437" s="57"/>
      <c r="E437" s="59"/>
      <c r="F437" s="59"/>
      <c r="G437" s="59"/>
      <c r="H437" s="59"/>
      <c r="I437" s="59"/>
      <c r="J437" s="103"/>
      <c r="K437" s="104"/>
      <c r="L437" s="105"/>
      <c r="M437" s="106" t="str">
        <f t="shared" si="149"/>
        <v/>
      </c>
    </row>
    <row r="438" spans="1:14" s="5" customFormat="1" ht="20.100000000000001" customHeight="1" x14ac:dyDescent="0.25">
      <c r="A438" s="14" t="s">
        <v>12</v>
      </c>
      <c r="B438" s="16" t="s">
        <v>1916</v>
      </c>
      <c r="C438" s="25" t="s">
        <v>60</v>
      </c>
      <c r="D438" s="6" t="s">
        <v>1853</v>
      </c>
      <c r="E438" s="37"/>
      <c r="F438" s="37"/>
      <c r="G438" s="37"/>
      <c r="H438" s="37"/>
      <c r="I438" s="48"/>
      <c r="J438" s="103"/>
      <c r="K438" s="104"/>
      <c r="L438" s="105"/>
      <c r="M438" s="106" t="str">
        <f t="shared" si="149"/>
        <v/>
      </c>
      <c r="N438" s="5" t="s">
        <v>1673</v>
      </c>
    </row>
    <row r="439" spans="1:14" s="5" customFormat="1" ht="30" customHeight="1" x14ac:dyDescent="0.25">
      <c r="A439" s="14" t="s">
        <v>12</v>
      </c>
      <c r="B439" s="16" t="s">
        <v>1916</v>
      </c>
      <c r="C439" s="25" t="s">
        <v>61</v>
      </c>
      <c r="D439" s="175" t="s">
        <v>1917</v>
      </c>
      <c r="E439" s="38">
        <v>0</v>
      </c>
      <c r="F439" s="39">
        <v>0</v>
      </c>
      <c r="G439" s="40">
        <v>0</v>
      </c>
      <c r="H439" s="41">
        <v>0</v>
      </c>
      <c r="I439" s="42">
        <f t="shared" ref="I439" si="164">SUM(E439:H439)</f>
        <v>0</v>
      </c>
      <c r="J439" s="103" t="str">
        <f>IFERROR(E439/$I439*100,"")</f>
        <v/>
      </c>
      <c r="K439" s="104" t="str">
        <f>IFERROR(F439/$I439*100,"")</f>
        <v/>
      </c>
      <c r="L439" s="105" t="str">
        <f>IFERROR(G439/$I439*100,"")</f>
        <v/>
      </c>
      <c r="M439" s="106" t="str">
        <f t="shared" si="149"/>
        <v/>
      </c>
      <c r="N439" s="5" t="s">
        <v>1671</v>
      </c>
    </row>
    <row r="440" spans="1:14" ht="5.0999999999999996" customHeight="1" x14ac:dyDescent="0.25">
      <c r="A440" s="14" t="s">
        <v>12</v>
      </c>
      <c r="B440" s="16" t="s">
        <v>1916</v>
      </c>
      <c r="C440"/>
      <c r="D440" s="57"/>
      <c r="E440" s="59"/>
      <c r="F440" s="59"/>
      <c r="G440" s="59"/>
      <c r="H440" s="59"/>
      <c r="I440" s="59"/>
      <c r="J440" s="103"/>
      <c r="K440" s="104"/>
      <c r="L440" s="105"/>
      <c r="M440" s="106" t="str">
        <f t="shared" si="149"/>
        <v/>
      </c>
    </row>
    <row r="441" spans="1:14" s="5" customFormat="1" ht="20.100000000000001" customHeight="1" x14ac:dyDescent="0.25">
      <c r="A441" s="14" t="s">
        <v>12</v>
      </c>
      <c r="B441" s="16" t="s">
        <v>1637</v>
      </c>
      <c r="C441" s="25" t="s">
        <v>60</v>
      </c>
      <c r="D441" s="6" t="s">
        <v>1636</v>
      </c>
      <c r="E441" s="37"/>
      <c r="F441" s="37"/>
      <c r="G441" s="37"/>
      <c r="H441" s="37"/>
      <c r="I441" s="48"/>
      <c r="J441" s="103"/>
      <c r="K441" s="104"/>
      <c r="L441" s="105"/>
      <c r="M441" s="106" t="str">
        <f t="shared" si="149"/>
        <v/>
      </c>
      <c r="N441" s="5" t="s">
        <v>1673</v>
      </c>
    </row>
    <row r="442" spans="1:14" s="3" customFormat="1" ht="30" customHeight="1" x14ac:dyDescent="0.25">
      <c r="A442" s="14" t="s">
        <v>12</v>
      </c>
      <c r="B442" s="16" t="s">
        <v>1637</v>
      </c>
      <c r="C442" s="25" t="s">
        <v>61</v>
      </c>
      <c r="D442" s="87" t="s">
        <v>1638</v>
      </c>
      <c r="E442" s="38">
        <v>0</v>
      </c>
      <c r="F442" s="39">
        <v>0</v>
      </c>
      <c r="G442" s="40">
        <v>0</v>
      </c>
      <c r="H442" s="41">
        <v>0</v>
      </c>
      <c r="I442" s="42">
        <f t="shared" ref="I442:I447" si="165">SUM(E442:H442)</f>
        <v>0</v>
      </c>
      <c r="J442" s="103" t="str">
        <f t="shared" ref="J442:L446" si="166">IFERROR(E442/$I442*100,"")</f>
        <v/>
      </c>
      <c r="K442" s="104" t="str">
        <f t="shared" si="166"/>
        <v/>
      </c>
      <c r="L442" s="105" t="str">
        <f t="shared" si="166"/>
        <v/>
      </c>
      <c r="M442" s="106" t="str">
        <f t="shared" si="149"/>
        <v/>
      </c>
    </row>
    <row r="443" spans="1:14" s="3" customFormat="1" ht="30" customHeight="1" x14ac:dyDescent="0.25">
      <c r="A443" s="14" t="s">
        <v>12</v>
      </c>
      <c r="B443" s="16" t="s">
        <v>1637</v>
      </c>
      <c r="C443" s="25" t="s">
        <v>61</v>
      </c>
      <c r="D443" s="87" t="s">
        <v>1669</v>
      </c>
      <c r="E443" s="38">
        <v>0</v>
      </c>
      <c r="F443" s="39">
        <v>0</v>
      </c>
      <c r="G443" s="40">
        <v>0</v>
      </c>
      <c r="H443" s="41">
        <v>0</v>
      </c>
      <c r="I443" s="42">
        <f t="shared" si="165"/>
        <v>0</v>
      </c>
      <c r="J443" s="103" t="str">
        <f t="shared" si="166"/>
        <v/>
      </c>
      <c r="K443" s="104" t="str">
        <f t="shared" si="166"/>
        <v/>
      </c>
      <c r="L443" s="105" t="str">
        <f t="shared" si="166"/>
        <v/>
      </c>
      <c r="M443" s="106" t="str">
        <f t="shared" si="149"/>
        <v/>
      </c>
    </row>
    <row r="444" spans="1:14" s="3" customFormat="1" ht="30" customHeight="1" x14ac:dyDescent="0.25">
      <c r="A444" s="14" t="s">
        <v>12</v>
      </c>
      <c r="B444" s="16" t="s">
        <v>1637</v>
      </c>
      <c r="C444" s="25" t="s">
        <v>61</v>
      </c>
      <c r="D444" s="87" t="s">
        <v>1640</v>
      </c>
      <c r="E444" s="38">
        <v>0</v>
      </c>
      <c r="F444" s="39">
        <v>0</v>
      </c>
      <c r="G444" s="40">
        <v>0</v>
      </c>
      <c r="H444" s="41">
        <v>0</v>
      </c>
      <c r="I444" s="42">
        <f t="shared" si="165"/>
        <v>0</v>
      </c>
      <c r="J444" s="103" t="str">
        <f t="shared" si="166"/>
        <v/>
      </c>
      <c r="K444" s="104" t="str">
        <f t="shared" si="166"/>
        <v/>
      </c>
      <c r="L444" s="105" t="str">
        <f t="shared" si="166"/>
        <v/>
      </c>
      <c r="M444" s="106" t="str">
        <f t="shared" si="149"/>
        <v/>
      </c>
    </row>
    <row r="445" spans="1:14" s="3" customFormat="1" ht="30" customHeight="1" x14ac:dyDescent="0.25">
      <c r="A445" s="14" t="s">
        <v>12</v>
      </c>
      <c r="B445" s="16" t="s">
        <v>1637</v>
      </c>
      <c r="C445" s="25" t="s">
        <v>61</v>
      </c>
      <c r="D445" s="87" t="s">
        <v>1639</v>
      </c>
      <c r="E445" s="38">
        <v>0</v>
      </c>
      <c r="F445" s="39">
        <v>0</v>
      </c>
      <c r="G445" s="40">
        <v>0</v>
      </c>
      <c r="H445" s="41">
        <v>0</v>
      </c>
      <c r="I445" s="42">
        <f t="shared" si="165"/>
        <v>0</v>
      </c>
      <c r="J445" s="103" t="str">
        <f t="shared" si="166"/>
        <v/>
      </c>
      <c r="K445" s="104" t="str">
        <f t="shared" si="166"/>
        <v/>
      </c>
      <c r="L445" s="105" t="str">
        <f t="shared" si="166"/>
        <v/>
      </c>
      <c r="M445" s="106" t="str">
        <f t="shared" si="149"/>
        <v/>
      </c>
    </row>
    <row r="446" spans="1:14" s="3" customFormat="1" ht="30" customHeight="1" x14ac:dyDescent="0.25">
      <c r="A446" s="14" t="s">
        <v>12</v>
      </c>
      <c r="B446" s="16" t="s">
        <v>1637</v>
      </c>
      <c r="C446" s="25" t="s">
        <v>61</v>
      </c>
      <c r="D446" s="87" t="s">
        <v>1641</v>
      </c>
      <c r="E446" s="38">
        <v>0</v>
      </c>
      <c r="F446" s="39">
        <v>0</v>
      </c>
      <c r="G446" s="40">
        <v>0</v>
      </c>
      <c r="H446" s="41">
        <v>0</v>
      </c>
      <c r="I446" s="42">
        <f t="shared" si="165"/>
        <v>0</v>
      </c>
      <c r="J446" s="103" t="str">
        <f t="shared" si="166"/>
        <v/>
      </c>
      <c r="K446" s="104" t="str">
        <f t="shared" si="166"/>
        <v/>
      </c>
      <c r="L446" s="105" t="str">
        <f t="shared" si="166"/>
        <v/>
      </c>
      <c r="M446" s="106" t="str">
        <f t="shared" si="149"/>
        <v/>
      </c>
    </row>
    <row r="447" spans="1:14" s="3" customFormat="1" ht="30" customHeight="1" x14ac:dyDescent="0.25">
      <c r="A447" s="14" t="s">
        <v>12</v>
      </c>
      <c r="B447" s="16" t="s">
        <v>1637</v>
      </c>
      <c r="C447" s="25"/>
      <c r="D447" s="87" t="s">
        <v>29</v>
      </c>
      <c r="E447" s="38">
        <f>SUM(E442:E446)</f>
        <v>0</v>
      </c>
      <c r="F447" s="39">
        <f>SUM(F442:F446)</f>
        <v>0</v>
      </c>
      <c r="G447" s="40">
        <f>SUM(G442:G446)</f>
        <v>0</v>
      </c>
      <c r="H447" s="41">
        <f>SUM(H442:H446)</f>
        <v>0</v>
      </c>
      <c r="I447" s="42">
        <f t="shared" si="165"/>
        <v>0</v>
      </c>
      <c r="J447" s="103" t="str">
        <f>IFERROR(E447/SUM($E447:$H447)*100,"")</f>
        <v/>
      </c>
      <c r="K447" s="104" t="str">
        <f>IFERROR(F447/SUM($E447:$H447)*100,"")</f>
        <v/>
      </c>
      <c r="L447" s="105" t="str">
        <f>IFERROR(G447/SUM($E447:$H447)*100,"")</f>
        <v/>
      </c>
      <c r="M447" s="106" t="str">
        <f t="shared" si="149"/>
        <v/>
      </c>
      <c r="N447" s="5" t="s">
        <v>1671</v>
      </c>
    </row>
    <row r="448" spans="1:14" ht="5.0999999999999996" customHeight="1" x14ac:dyDescent="0.25">
      <c r="A448" s="14" t="s">
        <v>12</v>
      </c>
      <c r="B448" s="16" t="s">
        <v>1637</v>
      </c>
      <c r="C448"/>
      <c r="J448" s="103"/>
      <c r="K448" s="104"/>
      <c r="L448" s="105"/>
      <c r="M448" s="106" t="str">
        <f t="shared" si="149"/>
        <v/>
      </c>
    </row>
    <row r="449" spans="1:14" s="5" customFormat="1" ht="20.100000000000001" customHeight="1" x14ac:dyDescent="0.25">
      <c r="A449" s="14" t="s">
        <v>12</v>
      </c>
      <c r="B449" s="16" t="s">
        <v>42</v>
      </c>
      <c r="C449" s="25" t="s">
        <v>60</v>
      </c>
      <c r="D449" s="6" t="s">
        <v>1744</v>
      </c>
      <c r="E449" s="37"/>
      <c r="F449" s="37"/>
      <c r="G449" s="37"/>
      <c r="H449" s="37"/>
      <c r="I449" s="48"/>
      <c r="J449" s="103"/>
      <c r="K449" s="104"/>
      <c r="L449" s="105"/>
      <c r="M449" s="106" t="str">
        <f t="shared" si="149"/>
        <v/>
      </c>
      <c r="N449" s="5" t="s">
        <v>1673</v>
      </c>
    </row>
    <row r="450" spans="1:14" s="3" customFormat="1" ht="30" customHeight="1" x14ac:dyDescent="0.25">
      <c r="A450" s="14" t="s">
        <v>12</v>
      </c>
      <c r="B450" s="16" t="s">
        <v>42</v>
      </c>
      <c r="C450" s="25" t="s">
        <v>61</v>
      </c>
      <c r="D450" s="12" t="s">
        <v>43</v>
      </c>
      <c r="E450" s="38">
        <v>0</v>
      </c>
      <c r="F450" s="39">
        <v>0</v>
      </c>
      <c r="G450" s="40">
        <v>0</v>
      </c>
      <c r="H450" s="41">
        <v>0</v>
      </c>
      <c r="I450" s="42">
        <f t="shared" ref="I450:I459" si="167">SUM(E450:H450)</f>
        <v>0</v>
      </c>
      <c r="J450" s="103" t="str">
        <f t="shared" ref="J450:J459" si="168">IFERROR(E450/$I450*100,"")</f>
        <v/>
      </c>
      <c r="K450" s="104" t="str">
        <f t="shared" ref="K450:K459" si="169">IFERROR(F450/$I450*100,"")</f>
        <v/>
      </c>
      <c r="L450" s="105" t="str">
        <f t="shared" ref="L450:L459" si="170">IFERROR(G450/$I450*100,"")</f>
        <v/>
      </c>
      <c r="M450" s="106" t="str">
        <f t="shared" si="149"/>
        <v/>
      </c>
    </row>
    <row r="451" spans="1:14" s="3" customFormat="1" ht="30" customHeight="1" x14ac:dyDescent="0.25">
      <c r="A451" s="14" t="s">
        <v>12</v>
      </c>
      <c r="B451" s="16" t="s">
        <v>42</v>
      </c>
      <c r="C451" s="25" t="s">
        <v>61</v>
      </c>
      <c r="D451" s="12" t="s">
        <v>44</v>
      </c>
      <c r="E451" s="38">
        <v>0</v>
      </c>
      <c r="F451" s="39">
        <v>0</v>
      </c>
      <c r="G451" s="40">
        <v>0</v>
      </c>
      <c r="H451" s="41">
        <v>0</v>
      </c>
      <c r="I451" s="42">
        <f t="shared" si="167"/>
        <v>0</v>
      </c>
      <c r="J451" s="103" t="str">
        <f t="shared" si="168"/>
        <v/>
      </c>
      <c r="K451" s="104" t="str">
        <f t="shared" si="169"/>
        <v/>
      </c>
      <c r="L451" s="105" t="str">
        <f t="shared" si="170"/>
        <v/>
      </c>
      <c r="M451" s="106" t="str">
        <f t="shared" si="149"/>
        <v/>
      </c>
    </row>
    <row r="452" spans="1:14" s="3" customFormat="1" ht="30" customHeight="1" x14ac:dyDescent="0.25">
      <c r="A452" s="14" t="s">
        <v>12</v>
      </c>
      <c r="B452" s="16" t="s">
        <v>42</v>
      </c>
      <c r="C452" s="25" t="s">
        <v>61</v>
      </c>
      <c r="D452" s="12" t="s">
        <v>45</v>
      </c>
      <c r="E452" s="38">
        <v>0</v>
      </c>
      <c r="F452" s="39">
        <v>0</v>
      </c>
      <c r="G452" s="40">
        <v>0</v>
      </c>
      <c r="H452" s="41">
        <v>0</v>
      </c>
      <c r="I452" s="42">
        <f t="shared" si="167"/>
        <v>0</v>
      </c>
      <c r="J452" s="103" t="str">
        <f t="shared" si="168"/>
        <v/>
      </c>
      <c r="K452" s="104" t="str">
        <f t="shared" si="169"/>
        <v/>
      </c>
      <c r="L452" s="105" t="str">
        <f t="shared" si="170"/>
        <v/>
      </c>
      <c r="M452" s="106" t="str">
        <f t="shared" si="149"/>
        <v/>
      </c>
    </row>
    <row r="453" spans="1:14" s="3" customFormat="1" ht="30" customHeight="1" x14ac:dyDescent="0.25">
      <c r="A453" s="14" t="s">
        <v>12</v>
      </c>
      <c r="B453" s="16" t="s">
        <v>42</v>
      </c>
      <c r="C453" s="25" t="s">
        <v>61</v>
      </c>
      <c r="D453" s="12" t="s">
        <v>46</v>
      </c>
      <c r="E453" s="38">
        <v>0</v>
      </c>
      <c r="F453" s="39">
        <v>0</v>
      </c>
      <c r="G453" s="40">
        <v>0</v>
      </c>
      <c r="H453" s="41">
        <v>0</v>
      </c>
      <c r="I453" s="42">
        <f t="shared" si="167"/>
        <v>0</v>
      </c>
      <c r="J453" s="103" t="str">
        <f t="shared" si="168"/>
        <v/>
      </c>
      <c r="K453" s="104" t="str">
        <f t="shared" si="169"/>
        <v/>
      </c>
      <c r="L453" s="105" t="str">
        <f t="shared" si="170"/>
        <v/>
      </c>
      <c r="M453" s="106" t="str">
        <f t="shared" si="149"/>
        <v/>
      </c>
    </row>
    <row r="454" spans="1:14" s="3" customFormat="1" ht="30" customHeight="1" x14ac:dyDescent="0.25">
      <c r="A454" s="14" t="s">
        <v>12</v>
      </c>
      <c r="B454" s="16" t="s">
        <v>42</v>
      </c>
      <c r="C454" s="25" t="s">
        <v>61</v>
      </c>
      <c r="D454" s="12" t="s">
        <v>51</v>
      </c>
      <c r="E454" s="38">
        <v>0</v>
      </c>
      <c r="F454" s="39">
        <v>0</v>
      </c>
      <c r="G454" s="40">
        <v>0</v>
      </c>
      <c r="H454" s="41">
        <v>0</v>
      </c>
      <c r="I454" s="42">
        <f t="shared" si="167"/>
        <v>0</v>
      </c>
      <c r="J454" s="103" t="str">
        <f t="shared" si="168"/>
        <v/>
      </c>
      <c r="K454" s="104" t="str">
        <f t="shared" si="169"/>
        <v/>
      </c>
      <c r="L454" s="105" t="str">
        <f t="shared" si="170"/>
        <v/>
      </c>
      <c r="M454" s="106" t="str">
        <f t="shared" si="149"/>
        <v/>
      </c>
    </row>
    <row r="455" spans="1:14" s="3" customFormat="1" ht="30" customHeight="1" x14ac:dyDescent="0.25">
      <c r="A455" s="14" t="s">
        <v>12</v>
      </c>
      <c r="B455" s="16" t="s">
        <v>42</v>
      </c>
      <c r="C455" s="25" t="s">
        <v>61</v>
      </c>
      <c r="D455" s="12" t="s">
        <v>52</v>
      </c>
      <c r="E455" s="38">
        <v>0</v>
      </c>
      <c r="F455" s="39">
        <v>0</v>
      </c>
      <c r="G455" s="40">
        <v>0</v>
      </c>
      <c r="H455" s="41">
        <v>0</v>
      </c>
      <c r="I455" s="42">
        <f t="shared" si="167"/>
        <v>0</v>
      </c>
      <c r="J455" s="103" t="str">
        <f t="shared" si="168"/>
        <v/>
      </c>
      <c r="K455" s="104" t="str">
        <f t="shared" si="169"/>
        <v/>
      </c>
      <c r="L455" s="105" t="str">
        <f t="shared" si="170"/>
        <v/>
      </c>
      <c r="M455" s="106" t="str">
        <f t="shared" si="149"/>
        <v/>
      </c>
    </row>
    <row r="456" spans="1:14" s="3" customFormat="1" ht="30" customHeight="1" x14ac:dyDescent="0.25">
      <c r="A456" s="14" t="s">
        <v>12</v>
      </c>
      <c r="B456" s="16" t="s">
        <v>42</v>
      </c>
      <c r="C456" s="25" t="s">
        <v>61</v>
      </c>
      <c r="D456" s="12" t="s">
        <v>47</v>
      </c>
      <c r="E456" s="38">
        <v>0</v>
      </c>
      <c r="F456" s="39">
        <v>0</v>
      </c>
      <c r="G456" s="40">
        <v>0</v>
      </c>
      <c r="H456" s="41">
        <v>0</v>
      </c>
      <c r="I456" s="42">
        <f t="shared" si="167"/>
        <v>0</v>
      </c>
      <c r="J456" s="103" t="str">
        <f t="shared" si="168"/>
        <v/>
      </c>
      <c r="K456" s="104" t="str">
        <f t="shared" si="169"/>
        <v/>
      </c>
      <c r="L456" s="105" t="str">
        <f t="shared" si="170"/>
        <v/>
      </c>
      <c r="M456" s="106" t="str">
        <f t="shared" si="149"/>
        <v/>
      </c>
    </row>
    <row r="457" spans="1:14" s="3" customFormat="1" ht="30" customHeight="1" x14ac:dyDescent="0.25">
      <c r="A457" s="14" t="s">
        <v>12</v>
      </c>
      <c r="B457" s="16" t="s">
        <v>42</v>
      </c>
      <c r="C457" s="25" t="s">
        <v>61</v>
      </c>
      <c r="D457" s="12" t="s">
        <v>48</v>
      </c>
      <c r="E457" s="38">
        <v>0</v>
      </c>
      <c r="F457" s="39">
        <v>0</v>
      </c>
      <c r="G457" s="40">
        <v>0</v>
      </c>
      <c r="H457" s="41">
        <v>0</v>
      </c>
      <c r="I457" s="42">
        <f t="shared" si="167"/>
        <v>0</v>
      </c>
      <c r="J457" s="103" t="str">
        <f t="shared" si="168"/>
        <v/>
      </c>
      <c r="K457" s="104" t="str">
        <f t="shared" si="169"/>
        <v/>
      </c>
      <c r="L457" s="105" t="str">
        <f t="shared" si="170"/>
        <v/>
      </c>
      <c r="M457" s="106" t="str">
        <f t="shared" si="149"/>
        <v/>
      </c>
    </row>
    <row r="458" spans="1:14" s="3" customFormat="1" ht="30" customHeight="1" x14ac:dyDescent="0.25">
      <c r="A458" s="14" t="s">
        <v>12</v>
      </c>
      <c r="B458" s="16" t="s">
        <v>42</v>
      </c>
      <c r="C458" s="25" t="s">
        <v>61</v>
      </c>
      <c r="D458" s="12" t="s">
        <v>49</v>
      </c>
      <c r="E458" s="38">
        <v>0</v>
      </c>
      <c r="F458" s="39">
        <v>0</v>
      </c>
      <c r="G458" s="40">
        <v>0</v>
      </c>
      <c r="H458" s="41">
        <v>0</v>
      </c>
      <c r="I458" s="42">
        <f t="shared" si="167"/>
        <v>0</v>
      </c>
      <c r="J458" s="103" t="str">
        <f t="shared" si="168"/>
        <v/>
      </c>
      <c r="K458" s="104" t="str">
        <f t="shared" si="169"/>
        <v/>
      </c>
      <c r="L458" s="105" t="str">
        <f t="shared" si="170"/>
        <v/>
      </c>
      <c r="M458" s="106" t="str">
        <f t="shared" si="149"/>
        <v/>
      </c>
    </row>
    <row r="459" spans="1:14" s="3" customFormat="1" ht="30" customHeight="1" x14ac:dyDescent="0.25">
      <c r="A459" s="14" t="s">
        <v>12</v>
      </c>
      <c r="B459" s="16" t="s">
        <v>42</v>
      </c>
      <c r="C459" s="25" t="s">
        <v>61</v>
      </c>
      <c r="D459" s="12" t="s">
        <v>50</v>
      </c>
      <c r="E459" s="38">
        <v>0</v>
      </c>
      <c r="F459" s="39">
        <v>0</v>
      </c>
      <c r="G459" s="40">
        <v>0</v>
      </c>
      <c r="H459" s="41">
        <v>0</v>
      </c>
      <c r="I459" s="42">
        <f t="shared" si="167"/>
        <v>0</v>
      </c>
      <c r="J459" s="103" t="str">
        <f t="shared" si="168"/>
        <v/>
      </c>
      <c r="K459" s="104" t="str">
        <f t="shared" si="169"/>
        <v/>
      </c>
      <c r="L459" s="105" t="str">
        <f t="shared" si="170"/>
        <v/>
      </c>
      <c r="M459" s="106" t="str">
        <f t="shared" si="149"/>
        <v/>
      </c>
    </row>
    <row r="460" spans="1:14" s="8" customFormat="1" ht="30" customHeight="1" x14ac:dyDescent="0.25">
      <c r="A460" s="14" t="s">
        <v>12</v>
      </c>
      <c r="B460" s="16" t="s">
        <v>42</v>
      </c>
      <c r="C460" s="25"/>
      <c r="D460" s="9" t="s">
        <v>29</v>
      </c>
      <c r="E460" s="38">
        <f>SUM(E450:E459)</f>
        <v>0</v>
      </c>
      <c r="F460" s="39">
        <f t="shared" ref="F460" si="171">SUM(F450:F459)</f>
        <v>0</v>
      </c>
      <c r="G460" s="40">
        <f t="shared" ref="G460" si="172">SUM(G450:G459)</f>
        <v>0</v>
      </c>
      <c r="H460" s="41">
        <f t="shared" ref="H460" si="173">SUM(H450:H459)</f>
        <v>0</v>
      </c>
      <c r="I460" s="43">
        <f t="shared" ref="I460" si="174">SUM(I450:I459)</f>
        <v>0</v>
      </c>
      <c r="J460" s="103" t="str">
        <f>IFERROR(E460/SUM($E460:$H460)*100,"")</f>
        <v/>
      </c>
      <c r="K460" s="104" t="str">
        <f>IFERROR(F460/SUM($E460:$H460)*100,"")</f>
        <v/>
      </c>
      <c r="L460" s="105" t="str">
        <f>IFERROR(G460/SUM($E460:$H460)*100,"")</f>
        <v/>
      </c>
      <c r="M460" s="106" t="str">
        <f t="shared" si="149"/>
        <v/>
      </c>
      <c r="N460" s="5" t="s">
        <v>1671</v>
      </c>
    </row>
    <row r="461" spans="1:14" ht="5.0999999999999996" customHeight="1" x14ac:dyDescent="0.25">
      <c r="A461" s="14" t="s">
        <v>12</v>
      </c>
      <c r="B461" s="16" t="s">
        <v>42</v>
      </c>
      <c r="C461"/>
      <c r="D461" s="57"/>
      <c r="E461" s="59"/>
      <c r="F461" s="59"/>
      <c r="G461" s="59"/>
      <c r="H461" s="59"/>
      <c r="I461" s="59"/>
      <c r="J461" s="103"/>
      <c r="K461" s="104"/>
      <c r="L461" s="105"/>
      <c r="M461" s="106" t="str">
        <f t="shared" ref="M461:M524" si="175">IFERROR(H461/$I461*100,"")</f>
        <v/>
      </c>
    </row>
    <row r="462" spans="1:14" s="7" customFormat="1" ht="20.100000000000001" customHeight="1" x14ac:dyDescent="0.25">
      <c r="A462" s="14" t="s">
        <v>12</v>
      </c>
      <c r="B462" s="16" t="s">
        <v>62</v>
      </c>
      <c r="C462" s="25" t="s">
        <v>60</v>
      </c>
      <c r="D462" s="62" t="s">
        <v>63</v>
      </c>
      <c r="E462" s="63"/>
      <c r="F462" s="63"/>
      <c r="G462" s="63"/>
      <c r="H462" s="63"/>
      <c r="I462" s="64"/>
      <c r="J462" s="103"/>
      <c r="K462" s="104"/>
      <c r="L462" s="105"/>
      <c r="M462" s="106" t="str">
        <f t="shared" si="175"/>
        <v/>
      </c>
      <c r="N462" s="5" t="s">
        <v>1673</v>
      </c>
    </row>
    <row r="463" spans="1:14" s="8" customFormat="1" ht="30" customHeight="1" x14ac:dyDescent="0.25">
      <c r="A463" s="14" t="s">
        <v>12</v>
      </c>
      <c r="B463" s="16" t="s">
        <v>62</v>
      </c>
      <c r="C463" s="25"/>
      <c r="D463" s="12" t="s">
        <v>29</v>
      </c>
      <c r="E463" s="38" t="e">
        <f>SUM(E413,E402,E421,E460,E416,E424,E433,E436,E447,#REF!)</f>
        <v>#REF!</v>
      </c>
      <c r="F463" s="39" t="e">
        <f>SUM(F413,F402,F421,F460,F416,F424,F433,F436,F447,#REF!)</f>
        <v>#REF!</v>
      </c>
      <c r="G463" s="40" t="e">
        <f>SUM(G413,G402,G421,G460,G416,G424,G433,G436,G447,#REF!)</f>
        <v>#REF!</v>
      </c>
      <c r="H463" s="41" t="e">
        <f>SUM(H413,H402,H421,H460,H416,H424,H433,H436,H447,#REF!)</f>
        <v>#REF!</v>
      </c>
      <c r="I463" s="42" t="e">
        <f>SUM(I413,I402,I421,I460,I416,I424,I433,I436,I447,#REF!)</f>
        <v>#REF!</v>
      </c>
      <c r="J463" s="103" t="str">
        <f>IFERROR(E463/SUM($E463:$H463)*100,"")</f>
        <v/>
      </c>
      <c r="K463" s="104" t="str">
        <f>IFERROR(F463/SUM($E463:$H463)*100,"")</f>
        <v/>
      </c>
      <c r="L463" s="105" t="str">
        <f>IFERROR(G463/SUM($E463:$H463)*100,"")</f>
        <v/>
      </c>
      <c r="M463" s="106" t="str">
        <f t="shared" si="175"/>
        <v/>
      </c>
      <c r="N463" s="5" t="s">
        <v>1671</v>
      </c>
    </row>
    <row r="464" spans="1:14" s="5" customFormat="1" ht="20.100000000000001" customHeight="1" x14ac:dyDescent="0.25">
      <c r="A464" s="14" t="s">
        <v>12</v>
      </c>
      <c r="B464" s="14"/>
      <c r="C464" s="25" t="s">
        <v>60</v>
      </c>
      <c r="D464" s="58"/>
      <c r="E464" s="60"/>
      <c r="F464" s="60"/>
      <c r="G464" s="61"/>
      <c r="H464" s="60"/>
      <c r="I464" s="60"/>
      <c r="J464" s="103"/>
      <c r="K464" s="104"/>
      <c r="L464" s="105"/>
      <c r="M464" s="106" t="str">
        <f t="shared" si="175"/>
        <v/>
      </c>
    </row>
    <row r="465" spans="1:14" s="5" customFormat="1" ht="20.100000000000001" customHeight="1" x14ac:dyDescent="0.25">
      <c r="A465" s="14" t="s">
        <v>5</v>
      </c>
      <c r="B465" s="14"/>
      <c r="C465" s="25" t="s">
        <v>60</v>
      </c>
      <c r="D465" s="20" t="str">
        <f>IFERROR(A465&amp;"   ("&amp;COUNTIFS(#REF!,"="&amp;A465)&amp;")",A465)</f>
        <v>DOC</v>
      </c>
      <c r="E465" s="45"/>
      <c r="F465" s="45"/>
      <c r="G465" s="45"/>
      <c r="H465" s="45"/>
      <c r="I465" s="46"/>
      <c r="J465" s="103"/>
      <c r="K465" s="104"/>
      <c r="L465" s="105"/>
      <c r="M465" s="106" t="str">
        <f t="shared" si="175"/>
        <v/>
      </c>
      <c r="N465" s="5" t="s">
        <v>1672</v>
      </c>
    </row>
    <row r="466" spans="1:14" s="5" customFormat="1" ht="20.100000000000001" customHeight="1" x14ac:dyDescent="0.25">
      <c r="A466" s="14" t="s">
        <v>5</v>
      </c>
      <c r="B466" s="16" t="s">
        <v>20</v>
      </c>
      <c r="C466" s="25" t="s">
        <v>60</v>
      </c>
      <c r="D466" s="6" t="s">
        <v>20</v>
      </c>
      <c r="E466" s="37"/>
      <c r="F466" s="37"/>
      <c r="G466" s="37"/>
      <c r="H466" s="37"/>
      <c r="I466" s="48"/>
      <c r="J466" s="103"/>
      <c r="K466" s="104"/>
      <c r="L466" s="105"/>
      <c r="M466" s="106" t="str">
        <f t="shared" si="175"/>
        <v/>
      </c>
      <c r="N466" s="5" t="s">
        <v>1673</v>
      </c>
    </row>
    <row r="467" spans="1:14" s="5" customFormat="1" ht="30" customHeight="1" x14ac:dyDescent="0.25">
      <c r="A467" s="14" t="s">
        <v>5</v>
      </c>
      <c r="B467" s="16" t="s">
        <v>20</v>
      </c>
      <c r="C467" s="25" t="s">
        <v>61</v>
      </c>
      <c r="D467" s="12" t="s">
        <v>25</v>
      </c>
      <c r="E467" s="38">
        <v>0</v>
      </c>
      <c r="F467" s="39">
        <v>0</v>
      </c>
      <c r="G467" s="40">
        <v>0</v>
      </c>
      <c r="H467" s="41">
        <v>0</v>
      </c>
      <c r="I467" s="42">
        <f>SUM(E467:H467)</f>
        <v>0</v>
      </c>
      <c r="J467" s="103" t="str">
        <f>IFERROR(E467/$I467*100,"")</f>
        <v/>
      </c>
      <c r="K467" s="104" t="str">
        <f>IFERROR(F467/$I467*100,"")</f>
        <v/>
      </c>
      <c r="L467" s="105" t="str">
        <f>IFERROR(G467/$I467*100,"")</f>
        <v/>
      </c>
      <c r="M467" s="106" t="str">
        <f t="shared" si="175"/>
        <v/>
      </c>
      <c r="N467" s="5" t="s">
        <v>1671</v>
      </c>
    </row>
    <row r="468" spans="1:14" ht="5.0999999999999996" customHeight="1" x14ac:dyDescent="0.25">
      <c r="A468" s="14" t="s">
        <v>5</v>
      </c>
      <c r="B468" s="16" t="s">
        <v>20</v>
      </c>
      <c r="C468"/>
      <c r="D468" s="57"/>
      <c r="E468" s="59"/>
      <c r="F468" s="59"/>
      <c r="G468" s="59"/>
      <c r="H468" s="59"/>
      <c r="I468" s="59"/>
      <c r="J468" s="103"/>
      <c r="K468" s="104"/>
      <c r="L468" s="105"/>
      <c r="M468" s="106" t="str">
        <f t="shared" si="175"/>
        <v/>
      </c>
    </row>
    <row r="469" spans="1:14" s="5" customFormat="1" ht="20.100000000000001" customHeight="1" x14ac:dyDescent="0.25">
      <c r="A469" s="14" t="s">
        <v>5</v>
      </c>
      <c r="B469" s="16" t="s">
        <v>26</v>
      </c>
      <c r="C469" s="25" t="s">
        <v>60</v>
      </c>
      <c r="D469" s="6" t="s">
        <v>98</v>
      </c>
      <c r="E469" s="37"/>
      <c r="F469" s="37"/>
      <c r="G469" s="37"/>
      <c r="H469" s="37"/>
      <c r="I469" s="47"/>
      <c r="J469" s="103"/>
      <c r="K469" s="104"/>
      <c r="L469" s="105"/>
      <c r="M469" s="106" t="str">
        <f t="shared" si="175"/>
        <v/>
      </c>
      <c r="N469" s="5" t="s">
        <v>1673</v>
      </c>
    </row>
    <row r="470" spans="1:14" s="5" customFormat="1" ht="30" customHeight="1" x14ac:dyDescent="0.25">
      <c r="A470" s="14" t="s">
        <v>5</v>
      </c>
      <c r="B470" s="16" t="s">
        <v>26</v>
      </c>
      <c r="C470" s="25" t="s">
        <v>61</v>
      </c>
      <c r="D470" s="31" t="s">
        <v>21</v>
      </c>
      <c r="E470" s="38">
        <v>0</v>
      </c>
      <c r="F470" s="39">
        <v>0</v>
      </c>
      <c r="G470" s="40">
        <v>0</v>
      </c>
      <c r="H470" s="41">
        <v>0</v>
      </c>
      <c r="I470" s="42">
        <f t="shared" ref="I470:I477" si="176">SUM(E470:H470)</f>
        <v>0</v>
      </c>
      <c r="J470" s="103" t="str">
        <f t="shared" ref="J470:L477" si="177">IFERROR(E470/$I470*100,"")</f>
        <v/>
      </c>
      <c r="K470" s="104" t="str">
        <f t="shared" si="177"/>
        <v/>
      </c>
      <c r="L470" s="105" t="str">
        <f t="shared" si="177"/>
        <v/>
      </c>
      <c r="M470" s="106" t="str">
        <f t="shared" si="175"/>
        <v/>
      </c>
    </row>
    <row r="471" spans="1:14" s="5" customFormat="1" ht="30" customHeight="1" x14ac:dyDescent="0.25">
      <c r="A471" s="14" t="s">
        <v>5</v>
      </c>
      <c r="B471" s="16" t="s">
        <v>26</v>
      </c>
      <c r="C471" s="25" t="s">
        <v>61</v>
      </c>
      <c r="D471" s="31" t="s">
        <v>22</v>
      </c>
      <c r="E471" s="38">
        <v>0</v>
      </c>
      <c r="F471" s="39">
        <v>0</v>
      </c>
      <c r="G471" s="40">
        <v>0</v>
      </c>
      <c r="H471" s="41">
        <v>0</v>
      </c>
      <c r="I471" s="42">
        <f t="shared" si="176"/>
        <v>0</v>
      </c>
      <c r="J471" s="103" t="str">
        <f t="shared" si="177"/>
        <v/>
      </c>
      <c r="K471" s="104" t="str">
        <f t="shared" si="177"/>
        <v/>
      </c>
      <c r="L471" s="105" t="str">
        <f t="shared" si="177"/>
        <v/>
      </c>
      <c r="M471" s="106" t="str">
        <f t="shared" si="175"/>
        <v/>
      </c>
    </row>
    <row r="472" spans="1:14" s="5" customFormat="1" ht="30" customHeight="1" x14ac:dyDescent="0.25">
      <c r="A472" s="14" t="s">
        <v>5</v>
      </c>
      <c r="B472" s="16" t="s">
        <v>26</v>
      </c>
      <c r="C472" s="25" t="s">
        <v>61</v>
      </c>
      <c r="D472" s="31" t="s">
        <v>27</v>
      </c>
      <c r="E472" s="38">
        <v>0</v>
      </c>
      <c r="F472" s="39">
        <v>0</v>
      </c>
      <c r="G472" s="40">
        <v>0</v>
      </c>
      <c r="H472" s="41">
        <v>0</v>
      </c>
      <c r="I472" s="42">
        <f t="shared" si="176"/>
        <v>0</v>
      </c>
      <c r="J472" s="103" t="str">
        <f t="shared" si="177"/>
        <v/>
      </c>
      <c r="K472" s="104" t="str">
        <f t="shared" si="177"/>
        <v/>
      </c>
      <c r="L472" s="105" t="str">
        <f t="shared" si="177"/>
        <v/>
      </c>
      <c r="M472" s="106" t="str">
        <f t="shared" si="175"/>
        <v/>
      </c>
    </row>
    <row r="473" spans="1:14" s="5" customFormat="1" ht="30" customHeight="1" x14ac:dyDescent="0.25">
      <c r="A473" s="14" t="s">
        <v>5</v>
      </c>
      <c r="B473" s="16" t="s">
        <v>26</v>
      </c>
      <c r="C473" s="25" t="s">
        <v>61</v>
      </c>
      <c r="D473" s="31" t="s">
        <v>23</v>
      </c>
      <c r="E473" s="38">
        <v>0</v>
      </c>
      <c r="F473" s="39">
        <v>0</v>
      </c>
      <c r="G473" s="40">
        <v>0</v>
      </c>
      <c r="H473" s="41">
        <v>0</v>
      </c>
      <c r="I473" s="42">
        <f t="shared" si="176"/>
        <v>0</v>
      </c>
      <c r="J473" s="103" t="str">
        <f t="shared" si="177"/>
        <v/>
      </c>
      <c r="K473" s="104" t="str">
        <f t="shared" si="177"/>
        <v/>
      </c>
      <c r="L473" s="105" t="str">
        <f t="shared" si="177"/>
        <v/>
      </c>
      <c r="M473" s="106" t="str">
        <f t="shared" si="175"/>
        <v/>
      </c>
    </row>
    <row r="474" spans="1:14" s="5" customFormat="1" ht="30" customHeight="1" x14ac:dyDescent="0.25">
      <c r="A474" s="14" t="s">
        <v>5</v>
      </c>
      <c r="B474" s="16" t="s">
        <v>26</v>
      </c>
      <c r="C474" s="25" t="s">
        <v>61</v>
      </c>
      <c r="D474" s="31" t="s">
        <v>24</v>
      </c>
      <c r="E474" s="38">
        <v>0</v>
      </c>
      <c r="F474" s="39">
        <v>0</v>
      </c>
      <c r="G474" s="40">
        <v>0</v>
      </c>
      <c r="H474" s="41">
        <v>0</v>
      </c>
      <c r="I474" s="42">
        <f t="shared" si="176"/>
        <v>0</v>
      </c>
      <c r="J474" s="103" t="str">
        <f t="shared" si="177"/>
        <v/>
      </c>
      <c r="K474" s="104" t="str">
        <f t="shared" si="177"/>
        <v/>
      </c>
      <c r="L474" s="105" t="str">
        <f t="shared" si="177"/>
        <v/>
      </c>
      <c r="M474" s="106" t="str">
        <f t="shared" si="175"/>
        <v/>
      </c>
    </row>
    <row r="475" spans="1:14" s="3" customFormat="1" ht="30" customHeight="1" x14ac:dyDescent="0.25">
      <c r="A475" s="14" t="s">
        <v>5</v>
      </c>
      <c r="B475" s="16" t="s">
        <v>26</v>
      </c>
      <c r="C475" s="25" t="s">
        <v>61</v>
      </c>
      <c r="D475" s="31" t="s">
        <v>41</v>
      </c>
      <c r="E475" s="38">
        <v>0</v>
      </c>
      <c r="F475" s="39">
        <v>0</v>
      </c>
      <c r="G475" s="40">
        <v>0</v>
      </c>
      <c r="H475" s="41">
        <v>0</v>
      </c>
      <c r="I475" s="42">
        <f t="shared" si="176"/>
        <v>0</v>
      </c>
      <c r="J475" s="103" t="str">
        <f t="shared" si="177"/>
        <v/>
      </c>
      <c r="K475" s="104" t="str">
        <f t="shared" si="177"/>
        <v/>
      </c>
      <c r="L475" s="105" t="str">
        <f t="shared" si="177"/>
        <v/>
      </c>
      <c r="M475" s="106" t="str">
        <f t="shared" si="175"/>
        <v/>
      </c>
    </row>
    <row r="476" spans="1:14" s="5" customFormat="1" ht="30" customHeight="1" x14ac:dyDescent="0.25">
      <c r="A476" s="14" t="s">
        <v>5</v>
      </c>
      <c r="B476" s="16" t="s">
        <v>26</v>
      </c>
      <c r="C476" s="25" t="s">
        <v>61</v>
      </c>
      <c r="D476" s="31" t="s">
        <v>28</v>
      </c>
      <c r="E476" s="38">
        <v>0</v>
      </c>
      <c r="F476" s="39">
        <v>0</v>
      </c>
      <c r="G476" s="40">
        <v>0</v>
      </c>
      <c r="H476" s="41">
        <v>0</v>
      </c>
      <c r="I476" s="42">
        <f t="shared" si="176"/>
        <v>0</v>
      </c>
      <c r="J476" s="103" t="str">
        <f t="shared" si="177"/>
        <v/>
      </c>
      <c r="K476" s="104" t="str">
        <f t="shared" si="177"/>
        <v/>
      </c>
      <c r="L476" s="105" t="str">
        <f t="shared" si="177"/>
        <v/>
      </c>
      <c r="M476" s="106" t="str">
        <f t="shared" si="175"/>
        <v/>
      </c>
    </row>
    <row r="477" spans="1:14" s="5" customFormat="1" ht="30" customHeight="1" x14ac:dyDescent="0.25">
      <c r="A477" s="14" t="s">
        <v>5</v>
      </c>
      <c r="B477" s="16" t="s">
        <v>26</v>
      </c>
      <c r="C477" s="25" t="s">
        <v>61</v>
      </c>
      <c r="D477" s="31" t="s">
        <v>40</v>
      </c>
      <c r="E477" s="38">
        <v>0</v>
      </c>
      <c r="F477" s="39">
        <v>0</v>
      </c>
      <c r="G477" s="40">
        <v>0</v>
      </c>
      <c r="H477" s="41">
        <v>0</v>
      </c>
      <c r="I477" s="42">
        <f t="shared" si="176"/>
        <v>0</v>
      </c>
      <c r="J477" s="103" t="str">
        <f t="shared" si="177"/>
        <v/>
      </c>
      <c r="K477" s="104" t="str">
        <f t="shared" si="177"/>
        <v/>
      </c>
      <c r="L477" s="105" t="str">
        <f t="shared" si="177"/>
        <v/>
      </c>
      <c r="M477" s="106" t="str">
        <f t="shared" si="175"/>
        <v/>
      </c>
    </row>
    <row r="478" spans="1:14" s="8" customFormat="1" ht="30" customHeight="1" x14ac:dyDescent="0.25">
      <c r="A478" s="14" t="s">
        <v>5</v>
      </c>
      <c r="B478" s="16" t="s">
        <v>26</v>
      </c>
      <c r="C478" s="25"/>
      <c r="D478" s="9" t="s">
        <v>29</v>
      </c>
      <c r="E478" s="38">
        <f>SUM(E470:E477)</f>
        <v>0</v>
      </c>
      <c r="F478" s="39">
        <f t="shared" ref="F478" si="178">SUM(F470:F477)</f>
        <v>0</v>
      </c>
      <c r="G478" s="40">
        <f t="shared" ref="G478" si="179">SUM(G470:G477)</f>
        <v>0</v>
      </c>
      <c r="H478" s="41">
        <f t="shared" ref="H478" si="180">SUM(H470:H477)</f>
        <v>0</v>
      </c>
      <c r="I478" s="43">
        <f t="shared" ref="I478" si="181">SUM(I470:I477)</f>
        <v>0</v>
      </c>
      <c r="J478" s="103" t="str">
        <f>IFERROR(E478/SUM($E478:$H478)*100,"")</f>
        <v/>
      </c>
      <c r="K478" s="104" t="str">
        <f>IFERROR(F478/SUM($E478:$H478)*100,"")</f>
        <v/>
      </c>
      <c r="L478" s="105" t="str">
        <f>IFERROR(G478/SUM($E478:$H478)*100,"")</f>
        <v/>
      </c>
      <c r="M478" s="106" t="str">
        <f t="shared" si="175"/>
        <v/>
      </c>
      <c r="N478" s="5" t="s">
        <v>1671</v>
      </c>
    </row>
    <row r="479" spans="1:14" ht="5.0999999999999996" customHeight="1" x14ac:dyDescent="0.25">
      <c r="A479" s="14" t="s">
        <v>5</v>
      </c>
      <c r="B479" s="16" t="s">
        <v>26</v>
      </c>
      <c r="C479"/>
      <c r="D479" s="57"/>
      <c r="E479" s="59"/>
      <c r="F479" s="59"/>
      <c r="G479" s="59"/>
      <c r="H479" s="59"/>
      <c r="I479" s="59"/>
      <c r="J479" s="103"/>
      <c r="K479" s="104"/>
      <c r="L479" s="105"/>
      <c r="M479" s="106" t="str">
        <f t="shared" si="175"/>
        <v/>
      </c>
    </row>
    <row r="480" spans="1:14" s="5" customFormat="1" ht="20.100000000000001" customHeight="1" x14ac:dyDescent="0.25">
      <c r="A480" s="14" t="s">
        <v>5</v>
      </c>
      <c r="B480" s="16" t="s">
        <v>64</v>
      </c>
      <c r="C480" s="25" t="s">
        <v>60</v>
      </c>
      <c r="D480" s="6" t="s">
        <v>65</v>
      </c>
      <c r="E480" s="37"/>
      <c r="F480" s="37"/>
      <c r="G480" s="37"/>
      <c r="H480" s="37"/>
      <c r="I480" s="48"/>
      <c r="J480" s="103"/>
      <c r="K480" s="104"/>
      <c r="L480" s="105"/>
      <c r="M480" s="106" t="str">
        <f t="shared" si="175"/>
        <v/>
      </c>
      <c r="N480" s="5" t="s">
        <v>1673</v>
      </c>
    </row>
    <row r="481" spans="1:14" s="5" customFormat="1" ht="30" customHeight="1" x14ac:dyDescent="0.25">
      <c r="A481" s="14" t="s">
        <v>5</v>
      </c>
      <c r="B481" s="16" t="s">
        <v>64</v>
      </c>
      <c r="C481" s="25" t="s">
        <v>61</v>
      </c>
      <c r="D481" s="12" t="s">
        <v>66</v>
      </c>
      <c r="E481" s="38">
        <v>0</v>
      </c>
      <c r="F481" s="39">
        <v>0</v>
      </c>
      <c r="G481" s="40">
        <v>0</v>
      </c>
      <c r="H481" s="41">
        <v>0</v>
      </c>
      <c r="I481" s="42">
        <f>SUM(E481:H481)</f>
        <v>0</v>
      </c>
      <c r="J481" s="103" t="str">
        <f>IFERROR(E481/$I481*100,"")</f>
        <v/>
      </c>
      <c r="K481" s="104" t="str">
        <f>IFERROR(F481/$I481*100,"")</f>
        <v/>
      </c>
      <c r="L481" s="105" t="str">
        <f>IFERROR(G481/$I481*100,"")</f>
        <v/>
      </c>
      <c r="M481" s="106" t="str">
        <f t="shared" si="175"/>
        <v/>
      </c>
      <c r="N481" s="5" t="s">
        <v>1671</v>
      </c>
    </row>
    <row r="482" spans="1:14" ht="5.0999999999999996" customHeight="1" x14ac:dyDescent="0.25">
      <c r="A482" s="14" t="s">
        <v>5</v>
      </c>
      <c r="B482" s="16" t="s">
        <v>64</v>
      </c>
      <c r="C482"/>
      <c r="D482" s="57"/>
      <c r="E482" s="59"/>
      <c r="F482" s="59"/>
      <c r="G482" s="59"/>
      <c r="H482" s="59"/>
      <c r="I482" s="59"/>
      <c r="J482" s="103"/>
      <c r="K482" s="104"/>
      <c r="L482" s="105"/>
      <c r="M482" s="106" t="str">
        <f t="shared" si="175"/>
        <v/>
      </c>
    </row>
    <row r="483" spans="1:14" s="5" customFormat="1" ht="20.100000000000001" customHeight="1" x14ac:dyDescent="0.25">
      <c r="A483" s="14" t="s">
        <v>5</v>
      </c>
      <c r="B483" s="16" t="s">
        <v>55</v>
      </c>
      <c r="C483" s="25" t="s">
        <v>60</v>
      </c>
      <c r="D483" s="6" t="s">
        <v>55</v>
      </c>
      <c r="E483" s="37"/>
      <c r="F483" s="37"/>
      <c r="G483" s="37"/>
      <c r="H483" s="37"/>
      <c r="I483" s="48"/>
      <c r="J483" s="103"/>
      <c r="K483" s="104"/>
      <c r="L483" s="105"/>
      <c r="M483" s="106" t="str">
        <f t="shared" si="175"/>
        <v/>
      </c>
      <c r="N483" s="5" t="s">
        <v>1673</v>
      </c>
    </row>
    <row r="484" spans="1:14" s="3" customFormat="1" ht="30" customHeight="1" x14ac:dyDescent="0.25">
      <c r="A484" s="14" t="s">
        <v>5</v>
      </c>
      <c r="B484" s="16" t="s">
        <v>55</v>
      </c>
      <c r="C484" s="25" t="s">
        <v>61</v>
      </c>
      <c r="D484" s="12" t="s">
        <v>56</v>
      </c>
      <c r="E484" s="38">
        <v>0</v>
      </c>
      <c r="F484" s="39">
        <v>0</v>
      </c>
      <c r="G484" s="40">
        <v>0</v>
      </c>
      <c r="H484" s="41">
        <v>0</v>
      </c>
      <c r="I484" s="42">
        <f>SUM(E484:H484)</f>
        <v>0</v>
      </c>
      <c r="J484" s="103" t="str">
        <f t="shared" ref="J484:L486" si="182">IFERROR(E484/$I484*100,"")</f>
        <v/>
      </c>
      <c r="K484" s="104" t="str">
        <f t="shared" si="182"/>
        <v/>
      </c>
      <c r="L484" s="105" t="str">
        <f t="shared" si="182"/>
        <v/>
      </c>
      <c r="M484" s="106" t="str">
        <f t="shared" si="175"/>
        <v/>
      </c>
      <c r="N484" s="5"/>
    </row>
    <row r="485" spans="1:14" s="3" customFormat="1" ht="30" customHeight="1" x14ac:dyDescent="0.25">
      <c r="A485" s="14" t="s">
        <v>5</v>
      </c>
      <c r="B485" s="16" t="s">
        <v>55</v>
      </c>
      <c r="C485" s="25" t="s">
        <v>61</v>
      </c>
      <c r="D485" s="12" t="s">
        <v>57</v>
      </c>
      <c r="E485" s="38">
        <v>0</v>
      </c>
      <c r="F485" s="39">
        <v>0</v>
      </c>
      <c r="G485" s="40">
        <v>0</v>
      </c>
      <c r="H485" s="41">
        <v>0</v>
      </c>
      <c r="I485" s="42">
        <f>SUM(E485:H485)</f>
        <v>0</v>
      </c>
      <c r="J485" s="103" t="str">
        <f t="shared" si="182"/>
        <v/>
      </c>
      <c r="K485" s="104" t="str">
        <f t="shared" si="182"/>
        <v/>
      </c>
      <c r="L485" s="105" t="str">
        <f t="shared" si="182"/>
        <v/>
      </c>
      <c r="M485" s="106" t="str">
        <f t="shared" si="175"/>
        <v/>
      </c>
    </row>
    <row r="486" spans="1:14" s="3" customFormat="1" ht="30" customHeight="1" x14ac:dyDescent="0.25">
      <c r="A486" s="14" t="s">
        <v>5</v>
      </c>
      <c r="B486" s="16" t="s">
        <v>55</v>
      </c>
      <c r="C486" s="25"/>
      <c r="D486" s="91" t="s">
        <v>29</v>
      </c>
      <c r="E486" s="38">
        <f>SUM(E484:E485)</f>
        <v>0</v>
      </c>
      <c r="F486" s="39">
        <f t="shared" ref="F486" si="183">SUM(F484:F485)</f>
        <v>0</v>
      </c>
      <c r="G486" s="40">
        <f t="shared" ref="G486" si="184">SUM(G484:G485)</f>
        <v>0</v>
      </c>
      <c r="H486" s="41">
        <f t="shared" ref="H486" si="185">SUM(H484:H485)</f>
        <v>0</v>
      </c>
      <c r="I486" s="42">
        <f t="shared" ref="I486" si="186">SUM(I484:I485)</f>
        <v>0</v>
      </c>
      <c r="J486" s="103" t="str">
        <f t="shared" si="182"/>
        <v/>
      </c>
      <c r="K486" s="104" t="str">
        <f t="shared" si="182"/>
        <v/>
      </c>
      <c r="L486" s="105" t="str">
        <f t="shared" si="182"/>
        <v/>
      </c>
      <c r="M486" s="106" t="str">
        <f t="shared" si="175"/>
        <v/>
      </c>
      <c r="N486" s="5" t="s">
        <v>1671</v>
      </c>
    </row>
    <row r="487" spans="1:14" ht="5.0999999999999996" customHeight="1" x14ac:dyDescent="0.25">
      <c r="A487" s="14" t="s">
        <v>5</v>
      </c>
      <c r="B487" s="16" t="s">
        <v>55</v>
      </c>
      <c r="C487"/>
      <c r="J487" s="103"/>
      <c r="K487" s="104"/>
      <c r="L487" s="105"/>
      <c r="M487" s="106" t="str">
        <f t="shared" si="175"/>
        <v/>
      </c>
    </row>
    <row r="488" spans="1:14" s="5" customFormat="1" ht="20.100000000000001" customHeight="1" x14ac:dyDescent="0.25">
      <c r="A488" s="14" t="s">
        <v>5</v>
      </c>
      <c r="B488" s="16" t="s">
        <v>74</v>
      </c>
      <c r="C488" s="25" t="s">
        <v>60</v>
      </c>
      <c r="D488" s="6" t="s">
        <v>75</v>
      </c>
      <c r="E488" s="37"/>
      <c r="F488" s="37"/>
      <c r="G488" s="37"/>
      <c r="H488" s="37"/>
      <c r="I488" s="48"/>
      <c r="J488" s="103"/>
      <c r="K488" s="104"/>
      <c r="L488" s="105"/>
      <c r="M488" s="106" t="str">
        <f t="shared" si="175"/>
        <v/>
      </c>
      <c r="N488" s="5" t="s">
        <v>1673</v>
      </c>
    </row>
    <row r="489" spans="1:14" s="3" customFormat="1" ht="30" customHeight="1" x14ac:dyDescent="0.25">
      <c r="A489" s="14" t="s">
        <v>5</v>
      </c>
      <c r="B489" s="16" t="s">
        <v>74</v>
      </c>
      <c r="C489" s="25" t="s">
        <v>61</v>
      </c>
      <c r="D489" s="12" t="s">
        <v>77</v>
      </c>
      <c r="E489" s="38">
        <v>0</v>
      </c>
      <c r="F489" s="39">
        <v>0</v>
      </c>
      <c r="G489" s="40">
        <v>0</v>
      </c>
      <c r="H489" s="41">
        <v>0</v>
      </c>
      <c r="I489" s="42">
        <f>SUM(E489:H489)</f>
        <v>0</v>
      </c>
      <c r="J489" s="103" t="str">
        <f>IFERROR(E489/$I489*100,"")</f>
        <v/>
      </c>
      <c r="K489" s="104" t="str">
        <f>IFERROR(F489/$I489*100,"")</f>
        <v/>
      </c>
      <c r="L489" s="105" t="str">
        <f>IFERROR(G489/$I489*100,"")</f>
        <v/>
      </c>
      <c r="M489" s="106" t="str">
        <f t="shared" si="175"/>
        <v/>
      </c>
      <c r="N489" s="3" t="s">
        <v>1671</v>
      </c>
    </row>
    <row r="490" spans="1:14" ht="5.0999999999999996" customHeight="1" x14ac:dyDescent="0.25">
      <c r="A490" s="14" t="s">
        <v>5</v>
      </c>
      <c r="B490" s="16" t="s">
        <v>74</v>
      </c>
      <c r="C490"/>
      <c r="J490" s="103"/>
      <c r="K490" s="104"/>
      <c r="L490" s="105"/>
      <c r="M490" s="106" t="str">
        <f t="shared" si="175"/>
        <v/>
      </c>
    </row>
    <row r="491" spans="1:14" s="5" customFormat="1" ht="20.100000000000001" customHeight="1" x14ac:dyDescent="0.25">
      <c r="A491" s="14" t="s">
        <v>5</v>
      </c>
      <c r="B491" s="16" t="s">
        <v>78</v>
      </c>
      <c r="C491" s="25" t="s">
        <v>60</v>
      </c>
      <c r="D491" s="6" t="s">
        <v>80</v>
      </c>
      <c r="E491" s="37"/>
      <c r="F491" s="37"/>
      <c r="G491" s="37"/>
      <c r="H491" s="37"/>
      <c r="I491" s="48"/>
      <c r="J491" s="103"/>
      <c r="K491" s="104"/>
      <c r="L491" s="105"/>
      <c r="M491" s="106" t="str">
        <f t="shared" si="175"/>
        <v/>
      </c>
      <c r="N491" s="5" t="s">
        <v>1673</v>
      </c>
    </row>
    <row r="492" spans="1:14" s="5" customFormat="1" ht="30" customHeight="1" x14ac:dyDescent="0.25">
      <c r="A492" s="14" t="s">
        <v>5</v>
      </c>
      <c r="B492" s="16" t="s">
        <v>78</v>
      </c>
      <c r="C492" s="25" t="s">
        <v>61</v>
      </c>
      <c r="D492" s="81" t="s">
        <v>81</v>
      </c>
      <c r="E492" s="38">
        <v>0</v>
      </c>
      <c r="F492" s="39">
        <v>0</v>
      </c>
      <c r="G492" s="40">
        <v>0</v>
      </c>
      <c r="H492" s="41">
        <v>0</v>
      </c>
      <c r="I492" s="42">
        <f t="shared" ref="I492:I498" si="187">SUM(E492:H492)</f>
        <v>0</v>
      </c>
      <c r="J492" s="103" t="str">
        <f t="shared" ref="J492:L498" si="188">IFERROR(E492/$I492*100,"")</f>
        <v/>
      </c>
      <c r="K492" s="104" t="str">
        <f t="shared" si="188"/>
        <v/>
      </c>
      <c r="L492" s="105" t="str">
        <f t="shared" si="188"/>
        <v/>
      </c>
      <c r="M492" s="106" t="str">
        <f t="shared" si="175"/>
        <v/>
      </c>
    </row>
    <row r="493" spans="1:14" s="5" customFormat="1" ht="30" customHeight="1" x14ac:dyDescent="0.25">
      <c r="A493" s="14" t="s">
        <v>5</v>
      </c>
      <c r="B493" s="16" t="s">
        <v>78</v>
      </c>
      <c r="C493" s="25" t="s">
        <v>61</v>
      </c>
      <c r="D493" s="81" t="s">
        <v>82</v>
      </c>
      <c r="E493" s="38">
        <v>0</v>
      </c>
      <c r="F493" s="39">
        <v>0</v>
      </c>
      <c r="G493" s="40">
        <v>0</v>
      </c>
      <c r="H493" s="41">
        <v>0</v>
      </c>
      <c r="I493" s="42">
        <f t="shared" si="187"/>
        <v>0</v>
      </c>
      <c r="J493" s="103" t="str">
        <f t="shared" si="188"/>
        <v/>
      </c>
      <c r="K493" s="104" t="str">
        <f t="shared" si="188"/>
        <v/>
      </c>
      <c r="L493" s="105" t="str">
        <f t="shared" si="188"/>
        <v/>
      </c>
      <c r="M493" s="106" t="str">
        <f t="shared" si="175"/>
        <v/>
      </c>
    </row>
    <row r="494" spans="1:14" s="5" customFormat="1" ht="30" customHeight="1" x14ac:dyDescent="0.25">
      <c r="A494" s="14" t="s">
        <v>5</v>
      </c>
      <c r="B494" s="16" t="s">
        <v>78</v>
      </c>
      <c r="C494" s="25" t="s">
        <v>61</v>
      </c>
      <c r="D494" s="81" t="s">
        <v>83</v>
      </c>
      <c r="E494" s="38">
        <v>0</v>
      </c>
      <c r="F494" s="39">
        <v>0</v>
      </c>
      <c r="G494" s="40">
        <v>0</v>
      </c>
      <c r="H494" s="41">
        <v>0</v>
      </c>
      <c r="I494" s="42">
        <f t="shared" si="187"/>
        <v>0</v>
      </c>
      <c r="J494" s="103" t="str">
        <f t="shared" si="188"/>
        <v/>
      </c>
      <c r="K494" s="104" t="str">
        <f t="shared" si="188"/>
        <v/>
      </c>
      <c r="L494" s="105" t="str">
        <f t="shared" si="188"/>
        <v/>
      </c>
      <c r="M494" s="106" t="str">
        <f t="shared" si="175"/>
        <v/>
      </c>
    </row>
    <row r="495" spans="1:14" s="5" customFormat="1" ht="30" customHeight="1" x14ac:dyDescent="0.25">
      <c r="A495" s="14" t="s">
        <v>5</v>
      </c>
      <c r="B495" s="16" t="s">
        <v>78</v>
      </c>
      <c r="C495" s="25" t="s">
        <v>61</v>
      </c>
      <c r="D495" s="81" t="s">
        <v>88</v>
      </c>
      <c r="E495" s="38">
        <v>0</v>
      </c>
      <c r="F495" s="39">
        <v>0</v>
      </c>
      <c r="G495" s="40">
        <v>0</v>
      </c>
      <c r="H495" s="41">
        <v>0</v>
      </c>
      <c r="I495" s="42">
        <f t="shared" si="187"/>
        <v>0</v>
      </c>
      <c r="J495" s="103" t="str">
        <f t="shared" si="188"/>
        <v/>
      </c>
      <c r="K495" s="104" t="str">
        <f t="shared" si="188"/>
        <v/>
      </c>
      <c r="L495" s="105" t="str">
        <f t="shared" si="188"/>
        <v/>
      </c>
      <c r="M495" s="106" t="str">
        <f t="shared" si="175"/>
        <v/>
      </c>
    </row>
    <row r="496" spans="1:14" s="5" customFormat="1" ht="30" customHeight="1" x14ac:dyDescent="0.25">
      <c r="A496" s="14" t="s">
        <v>5</v>
      </c>
      <c r="B496" s="16" t="s">
        <v>78</v>
      </c>
      <c r="C496" s="25" t="s">
        <v>61</v>
      </c>
      <c r="D496" s="81" t="s">
        <v>87</v>
      </c>
      <c r="E496" s="38">
        <v>0</v>
      </c>
      <c r="F496" s="39">
        <v>0</v>
      </c>
      <c r="G496" s="40">
        <v>0</v>
      </c>
      <c r="H496" s="41">
        <v>0</v>
      </c>
      <c r="I496" s="42">
        <f t="shared" si="187"/>
        <v>0</v>
      </c>
      <c r="J496" s="103" t="str">
        <f t="shared" si="188"/>
        <v/>
      </c>
      <c r="K496" s="104" t="str">
        <f t="shared" si="188"/>
        <v/>
      </c>
      <c r="L496" s="105" t="str">
        <f t="shared" si="188"/>
        <v/>
      </c>
      <c r="M496" s="106" t="str">
        <f t="shared" si="175"/>
        <v/>
      </c>
    </row>
    <row r="497" spans="1:14" s="5" customFormat="1" ht="30" customHeight="1" x14ac:dyDescent="0.25">
      <c r="A497" s="14" t="s">
        <v>5</v>
      </c>
      <c r="B497" s="16" t="s">
        <v>78</v>
      </c>
      <c r="C497" s="25" t="s">
        <v>61</v>
      </c>
      <c r="D497" s="81" t="s">
        <v>84</v>
      </c>
      <c r="E497" s="38">
        <v>0</v>
      </c>
      <c r="F497" s="39">
        <v>0</v>
      </c>
      <c r="G497" s="40">
        <v>0</v>
      </c>
      <c r="H497" s="41">
        <v>0</v>
      </c>
      <c r="I497" s="42">
        <f t="shared" si="187"/>
        <v>0</v>
      </c>
      <c r="J497" s="103" t="str">
        <f t="shared" si="188"/>
        <v/>
      </c>
      <c r="K497" s="104" t="str">
        <f t="shared" si="188"/>
        <v/>
      </c>
      <c r="L497" s="105" t="str">
        <f t="shared" si="188"/>
        <v/>
      </c>
      <c r="M497" s="106" t="str">
        <f t="shared" si="175"/>
        <v/>
      </c>
    </row>
    <row r="498" spans="1:14" s="5" customFormat="1" ht="30" customHeight="1" x14ac:dyDescent="0.25">
      <c r="A498" s="14" t="s">
        <v>5</v>
      </c>
      <c r="B498" s="16" t="s">
        <v>78</v>
      </c>
      <c r="C498" s="25" t="s">
        <v>86</v>
      </c>
      <c r="D498" s="81" t="s">
        <v>79</v>
      </c>
      <c r="E498" s="38">
        <v>0</v>
      </c>
      <c r="F498" s="39">
        <v>0</v>
      </c>
      <c r="G498" s="40">
        <v>0</v>
      </c>
      <c r="H498" s="41">
        <v>0</v>
      </c>
      <c r="I498" s="42">
        <f t="shared" si="187"/>
        <v>0</v>
      </c>
      <c r="J498" s="103" t="str">
        <f t="shared" si="188"/>
        <v/>
      </c>
      <c r="K498" s="104" t="str">
        <f t="shared" si="188"/>
        <v/>
      </c>
      <c r="L498" s="105" t="str">
        <f t="shared" si="188"/>
        <v/>
      </c>
      <c r="M498" s="106" t="str">
        <f t="shared" si="175"/>
        <v/>
      </c>
      <c r="N498" s="5" t="s">
        <v>1671</v>
      </c>
    </row>
    <row r="499" spans="1:14" ht="5.0999999999999996" customHeight="1" x14ac:dyDescent="0.25">
      <c r="A499" s="14" t="s">
        <v>5</v>
      </c>
      <c r="B499" s="16" t="s">
        <v>78</v>
      </c>
      <c r="C499"/>
      <c r="D499" s="57"/>
      <c r="E499" s="59"/>
      <c r="F499" s="59"/>
      <c r="G499" s="59"/>
      <c r="H499" s="59"/>
      <c r="I499" s="59"/>
      <c r="J499" s="103"/>
      <c r="K499" s="104"/>
      <c r="L499" s="105"/>
      <c r="M499" s="106" t="str">
        <f t="shared" si="175"/>
        <v/>
      </c>
    </row>
    <row r="500" spans="1:14" s="5" customFormat="1" ht="20.100000000000001" customHeight="1" x14ac:dyDescent="0.25">
      <c r="A500" s="14" t="s">
        <v>5</v>
      </c>
      <c r="B500" s="16" t="s">
        <v>91</v>
      </c>
      <c r="C500" s="25" t="s">
        <v>60</v>
      </c>
      <c r="D500" s="6" t="s">
        <v>89</v>
      </c>
      <c r="E500" s="37"/>
      <c r="F500" s="37"/>
      <c r="G500" s="37"/>
      <c r="H500" s="37"/>
      <c r="I500" s="48"/>
      <c r="J500" s="103"/>
      <c r="K500" s="104"/>
      <c r="L500" s="105"/>
      <c r="M500" s="106" t="str">
        <f t="shared" si="175"/>
        <v/>
      </c>
      <c r="N500" s="5" t="s">
        <v>1673</v>
      </c>
    </row>
    <row r="501" spans="1:14" s="5" customFormat="1" ht="30" customHeight="1" x14ac:dyDescent="0.25">
      <c r="A501" s="14" t="s">
        <v>5</v>
      </c>
      <c r="B501" s="16" t="s">
        <v>91</v>
      </c>
      <c r="C501" s="25" t="s">
        <v>61</v>
      </c>
      <c r="D501" s="82" t="s">
        <v>90</v>
      </c>
      <c r="E501" s="38">
        <v>0</v>
      </c>
      <c r="F501" s="39">
        <v>0</v>
      </c>
      <c r="G501" s="40">
        <v>0</v>
      </c>
      <c r="H501" s="41">
        <v>0</v>
      </c>
      <c r="I501" s="42">
        <f t="shared" ref="I501" si="189">SUM(E501:H501)</f>
        <v>0</v>
      </c>
      <c r="J501" s="103" t="str">
        <f>IFERROR(E501/$I501*100,"")</f>
        <v/>
      </c>
      <c r="K501" s="104" t="str">
        <f>IFERROR(F501/$I501*100,"")</f>
        <v/>
      </c>
      <c r="L501" s="105" t="str">
        <f>IFERROR(G501/$I501*100,"")</f>
        <v/>
      </c>
      <c r="M501" s="106" t="str">
        <f t="shared" si="175"/>
        <v/>
      </c>
      <c r="N501" s="5" t="s">
        <v>1671</v>
      </c>
    </row>
    <row r="502" spans="1:14" ht="5.0999999999999996" customHeight="1" x14ac:dyDescent="0.25">
      <c r="A502" s="14" t="s">
        <v>5</v>
      </c>
      <c r="B502" s="16" t="s">
        <v>91</v>
      </c>
      <c r="C502"/>
      <c r="D502" s="57"/>
      <c r="E502" s="59"/>
      <c r="F502" s="59"/>
      <c r="G502" s="59"/>
      <c r="H502" s="59"/>
      <c r="I502" s="59"/>
      <c r="J502" s="103"/>
      <c r="K502" s="104"/>
      <c r="L502" s="105"/>
      <c r="M502" s="106" t="str">
        <f t="shared" si="175"/>
        <v/>
      </c>
    </row>
    <row r="503" spans="1:14" s="5" customFormat="1" ht="20.100000000000001" customHeight="1" x14ac:dyDescent="0.25">
      <c r="A503" s="14" t="s">
        <v>5</v>
      </c>
      <c r="B503" s="16" t="s">
        <v>1916</v>
      </c>
      <c r="C503" s="25" t="s">
        <v>60</v>
      </c>
      <c r="D503" s="6" t="s">
        <v>1853</v>
      </c>
      <c r="E503" s="37"/>
      <c r="F503" s="37"/>
      <c r="G503" s="37"/>
      <c r="H503" s="37"/>
      <c r="I503" s="48"/>
      <c r="J503" s="103"/>
      <c r="K503" s="104"/>
      <c r="L503" s="105"/>
      <c r="M503" s="106" t="str">
        <f t="shared" si="175"/>
        <v/>
      </c>
      <c r="N503" s="5" t="s">
        <v>1673</v>
      </c>
    </row>
    <row r="504" spans="1:14" s="5" customFormat="1" ht="30" customHeight="1" x14ac:dyDescent="0.25">
      <c r="A504" s="14" t="s">
        <v>5</v>
      </c>
      <c r="B504" s="16" t="s">
        <v>1916</v>
      </c>
      <c r="C504" s="25" t="s">
        <v>61</v>
      </c>
      <c r="D504" s="175" t="s">
        <v>1917</v>
      </c>
      <c r="E504" s="38">
        <v>0</v>
      </c>
      <c r="F504" s="39">
        <v>0</v>
      </c>
      <c r="G504" s="40">
        <v>0</v>
      </c>
      <c r="H504" s="41">
        <v>0</v>
      </c>
      <c r="I504" s="42">
        <f t="shared" ref="I504" si="190">SUM(E504:H504)</f>
        <v>0</v>
      </c>
      <c r="J504" s="103" t="str">
        <f>IFERROR(E504/$I504*100,"")</f>
        <v/>
      </c>
      <c r="K504" s="104" t="str">
        <f>IFERROR(F504/$I504*100,"")</f>
        <v/>
      </c>
      <c r="L504" s="105" t="str">
        <f>IFERROR(G504/$I504*100,"")</f>
        <v/>
      </c>
      <c r="M504" s="106" t="str">
        <f t="shared" si="175"/>
        <v/>
      </c>
      <c r="N504" s="5" t="s">
        <v>1671</v>
      </c>
    </row>
    <row r="505" spans="1:14" ht="5.0999999999999996" customHeight="1" x14ac:dyDescent="0.25">
      <c r="A505" s="14" t="s">
        <v>5</v>
      </c>
      <c r="B505" s="16" t="s">
        <v>1916</v>
      </c>
      <c r="C505"/>
      <c r="D505" s="57"/>
      <c r="E505" s="59"/>
      <c r="F505" s="59"/>
      <c r="G505" s="59"/>
      <c r="H505" s="59"/>
      <c r="I505" s="59"/>
      <c r="J505" s="103"/>
      <c r="K505" s="104"/>
      <c r="L505" s="105"/>
      <c r="M505" s="106" t="str">
        <f t="shared" si="175"/>
        <v/>
      </c>
    </row>
    <row r="506" spans="1:14" s="5" customFormat="1" ht="20.100000000000001" customHeight="1" x14ac:dyDescent="0.25">
      <c r="A506" s="14" t="s">
        <v>5</v>
      </c>
      <c r="B506" s="16" t="s">
        <v>1637</v>
      </c>
      <c r="C506" s="25" t="s">
        <v>60</v>
      </c>
      <c r="D506" s="6" t="s">
        <v>1636</v>
      </c>
      <c r="E506" s="37"/>
      <c r="F506" s="37"/>
      <c r="G506" s="37"/>
      <c r="H506" s="37"/>
      <c r="I506" s="48"/>
      <c r="J506" s="103"/>
      <c r="K506" s="104"/>
      <c r="L506" s="105"/>
      <c r="M506" s="106" t="str">
        <f t="shared" si="175"/>
        <v/>
      </c>
      <c r="N506" s="5" t="s">
        <v>1673</v>
      </c>
    </row>
    <row r="507" spans="1:14" s="3" customFormat="1" ht="30" customHeight="1" x14ac:dyDescent="0.25">
      <c r="A507" s="14" t="s">
        <v>5</v>
      </c>
      <c r="B507" s="16" t="s">
        <v>1637</v>
      </c>
      <c r="C507" s="25" t="s">
        <v>61</v>
      </c>
      <c r="D507" s="87" t="s">
        <v>1638</v>
      </c>
      <c r="E507" s="38">
        <v>0</v>
      </c>
      <c r="F507" s="39">
        <v>0</v>
      </c>
      <c r="G507" s="40">
        <v>0</v>
      </c>
      <c r="H507" s="41">
        <v>0</v>
      </c>
      <c r="I507" s="42">
        <f t="shared" ref="I507:I512" si="191">SUM(E507:H507)</f>
        <v>0</v>
      </c>
      <c r="J507" s="103" t="str">
        <f t="shared" ref="J507:L511" si="192">IFERROR(E507/$I507*100,"")</f>
        <v/>
      </c>
      <c r="K507" s="104" t="str">
        <f t="shared" si="192"/>
        <v/>
      </c>
      <c r="L507" s="105" t="str">
        <f t="shared" si="192"/>
        <v/>
      </c>
      <c r="M507" s="106" t="str">
        <f t="shared" si="175"/>
        <v/>
      </c>
    </row>
    <row r="508" spans="1:14" s="3" customFormat="1" ht="30" customHeight="1" x14ac:dyDescent="0.25">
      <c r="A508" s="14" t="s">
        <v>5</v>
      </c>
      <c r="B508" s="16" t="s">
        <v>1637</v>
      </c>
      <c r="C508" s="25" t="s">
        <v>61</v>
      </c>
      <c r="D508" s="87" t="s">
        <v>1669</v>
      </c>
      <c r="E508" s="38">
        <v>0</v>
      </c>
      <c r="F508" s="39">
        <v>0</v>
      </c>
      <c r="G508" s="40">
        <v>0</v>
      </c>
      <c r="H508" s="41">
        <v>0</v>
      </c>
      <c r="I508" s="42">
        <f t="shared" si="191"/>
        <v>0</v>
      </c>
      <c r="J508" s="103" t="str">
        <f t="shared" si="192"/>
        <v/>
      </c>
      <c r="K508" s="104" t="str">
        <f t="shared" si="192"/>
        <v/>
      </c>
      <c r="L508" s="105" t="str">
        <f t="shared" si="192"/>
        <v/>
      </c>
      <c r="M508" s="106" t="str">
        <f t="shared" si="175"/>
        <v/>
      </c>
    </row>
    <row r="509" spans="1:14" s="3" customFormat="1" ht="30" customHeight="1" x14ac:dyDescent="0.25">
      <c r="A509" s="14" t="s">
        <v>5</v>
      </c>
      <c r="B509" s="16" t="s">
        <v>1637</v>
      </c>
      <c r="C509" s="25" t="s">
        <v>61</v>
      </c>
      <c r="D509" s="87" t="s">
        <v>1640</v>
      </c>
      <c r="E509" s="38">
        <v>0</v>
      </c>
      <c r="F509" s="39">
        <v>0</v>
      </c>
      <c r="G509" s="40">
        <v>0</v>
      </c>
      <c r="H509" s="41">
        <v>0</v>
      </c>
      <c r="I509" s="42">
        <f t="shared" si="191"/>
        <v>0</v>
      </c>
      <c r="J509" s="103" t="str">
        <f t="shared" si="192"/>
        <v/>
      </c>
      <c r="K509" s="104" t="str">
        <f t="shared" si="192"/>
        <v/>
      </c>
      <c r="L509" s="105" t="str">
        <f t="shared" si="192"/>
        <v/>
      </c>
      <c r="M509" s="106" t="str">
        <f t="shared" si="175"/>
        <v/>
      </c>
    </row>
    <row r="510" spans="1:14" s="3" customFormat="1" ht="30" customHeight="1" x14ac:dyDescent="0.25">
      <c r="A510" s="14" t="s">
        <v>5</v>
      </c>
      <c r="B510" s="16" t="s">
        <v>1637</v>
      </c>
      <c r="C510" s="25" t="s">
        <v>61</v>
      </c>
      <c r="D510" s="87" t="s">
        <v>1639</v>
      </c>
      <c r="E510" s="38">
        <v>0</v>
      </c>
      <c r="F510" s="39">
        <v>0</v>
      </c>
      <c r="G510" s="40">
        <v>0</v>
      </c>
      <c r="H510" s="41">
        <v>0</v>
      </c>
      <c r="I510" s="42">
        <f t="shared" si="191"/>
        <v>0</v>
      </c>
      <c r="J510" s="103" t="str">
        <f t="shared" si="192"/>
        <v/>
      </c>
      <c r="K510" s="104" t="str">
        <f t="shared" si="192"/>
        <v/>
      </c>
      <c r="L510" s="105" t="str">
        <f t="shared" si="192"/>
        <v/>
      </c>
      <c r="M510" s="106" t="str">
        <f t="shared" si="175"/>
        <v/>
      </c>
    </row>
    <row r="511" spans="1:14" s="3" customFormat="1" ht="30" customHeight="1" x14ac:dyDescent="0.25">
      <c r="A511" s="14" t="s">
        <v>5</v>
      </c>
      <c r="B511" s="16" t="s">
        <v>1637</v>
      </c>
      <c r="C511" s="25" t="s">
        <v>61</v>
      </c>
      <c r="D511" s="87" t="s">
        <v>1641</v>
      </c>
      <c r="E511" s="38">
        <v>0</v>
      </c>
      <c r="F511" s="39">
        <v>0</v>
      </c>
      <c r="G511" s="40">
        <v>0</v>
      </c>
      <c r="H511" s="41">
        <v>0</v>
      </c>
      <c r="I511" s="42">
        <f t="shared" si="191"/>
        <v>0</v>
      </c>
      <c r="J511" s="103" t="str">
        <f t="shared" si="192"/>
        <v/>
      </c>
      <c r="K511" s="104" t="str">
        <f t="shared" si="192"/>
        <v/>
      </c>
      <c r="L511" s="105" t="str">
        <f t="shared" si="192"/>
        <v/>
      </c>
      <c r="M511" s="106" t="str">
        <f t="shared" si="175"/>
        <v/>
      </c>
    </row>
    <row r="512" spans="1:14" s="3" customFormat="1" ht="30" customHeight="1" x14ac:dyDescent="0.25">
      <c r="A512" s="14" t="s">
        <v>5</v>
      </c>
      <c r="B512" s="16" t="s">
        <v>1637</v>
      </c>
      <c r="C512" s="25"/>
      <c r="D512" s="87" t="s">
        <v>29</v>
      </c>
      <c r="E512" s="38">
        <f>SUM(E507:E511)</f>
        <v>0</v>
      </c>
      <c r="F512" s="39">
        <f>SUM(F507:F511)</f>
        <v>0</v>
      </c>
      <c r="G512" s="40">
        <f>SUM(G507:G511)</f>
        <v>0</v>
      </c>
      <c r="H512" s="41">
        <f>SUM(H507:H511)</f>
        <v>0</v>
      </c>
      <c r="I512" s="42">
        <f t="shared" si="191"/>
        <v>0</v>
      </c>
      <c r="J512" s="103" t="str">
        <f>IFERROR(E512/SUM($E512:$H512)*100,"")</f>
        <v/>
      </c>
      <c r="K512" s="104" t="str">
        <f>IFERROR(F512/SUM($E512:$H512)*100,"")</f>
        <v/>
      </c>
      <c r="L512" s="105" t="str">
        <f>IFERROR(G512/SUM($E512:$H512)*100,"")</f>
        <v/>
      </c>
      <c r="M512" s="106" t="str">
        <f t="shared" si="175"/>
        <v/>
      </c>
      <c r="N512" s="5" t="s">
        <v>1671</v>
      </c>
    </row>
    <row r="513" spans="1:14" ht="5.0999999999999996" customHeight="1" x14ac:dyDescent="0.25">
      <c r="A513" s="14" t="s">
        <v>5</v>
      </c>
      <c r="B513" s="16" t="s">
        <v>1637</v>
      </c>
      <c r="C513"/>
      <c r="J513" s="103"/>
      <c r="K513" s="104"/>
      <c r="L513" s="105"/>
      <c r="M513" s="106" t="str">
        <f t="shared" si="175"/>
        <v/>
      </c>
    </row>
    <row r="514" spans="1:14" s="5" customFormat="1" ht="20.100000000000001" customHeight="1" x14ac:dyDescent="0.25">
      <c r="A514" s="14" t="s">
        <v>5</v>
      </c>
      <c r="B514" s="16" t="s">
        <v>42</v>
      </c>
      <c r="C514" s="25" t="s">
        <v>60</v>
      </c>
      <c r="D514" s="6" t="s">
        <v>1744</v>
      </c>
      <c r="E514" s="37"/>
      <c r="F514" s="37"/>
      <c r="G514" s="37"/>
      <c r="H514" s="37"/>
      <c r="I514" s="48"/>
      <c r="J514" s="103"/>
      <c r="K514" s="104"/>
      <c r="L514" s="105"/>
      <c r="M514" s="106" t="str">
        <f t="shared" si="175"/>
        <v/>
      </c>
      <c r="N514" s="5" t="s">
        <v>1673</v>
      </c>
    </row>
    <row r="515" spans="1:14" s="3" customFormat="1" ht="30" customHeight="1" x14ac:dyDescent="0.25">
      <c r="A515" s="14" t="s">
        <v>5</v>
      </c>
      <c r="B515" s="16" t="s">
        <v>42</v>
      </c>
      <c r="C515" s="25" t="s">
        <v>61</v>
      </c>
      <c r="D515" s="12" t="s">
        <v>43</v>
      </c>
      <c r="E515" s="38">
        <v>0</v>
      </c>
      <c r="F515" s="39">
        <v>0</v>
      </c>
      <c r="G515" s="40">
        <v>0</v>
      </c>
      <c r="H515" s="41">
        <v>0</v>
      </c>
      <c r="I515" s="42">
        <f t="shared" ref="I515:I524" si="193">SUM(E515:H515)</f>
        <v>0</v>
      </c>
      <c r="J515" s="103" t="str">
        <f t="shared" ref="J515:J524" si="194">IFERROR(E515/$I515*100,"")</f>
        <v/>
      </c>
      <c r="K515" s="104" t="str">
        <f t="shared" ref="K515:K524" si="195">IFERROR(F515/$I515*100,"")</f>
        <v/>
      </c>
      <c r="L515" s="105" t="str">
        <f t="shared" ref="L515:L524" si="196">IFERROR(G515/$I515*100,"")</f>
        <v/>
      </c>
      <c r="M515" s="106" t="str">
        <f t="shared" si="175"/>
        <v/>
      </c>
    </row>
    <row r="516" spans="1:14" s="3" customFormat="1" ht="30" customHeight="1" x14ac:dyDescent="0.25">
      <c r="A516" s="14" t="s">
        <v>5</v>
      </c>
      <c r="B516" s="16" t="s">
        <v>42</v>
      </c>
      <c r="C516" s="25" t="s">
        <v>61</v>
      </c>
      <c r="D516" s="12" t="s">
        <v>44</v>
      </c>
      <c r="E516" s="38">
        <v>0</v>
      </c>
      <c r="F516" s="39">
        <v>0</v>
      </c>
      <c r="G516" s="40">
        <v>0</v>
      </c>
      <c r="H516" s="41">
        <v>0</v>
      </c>
      <c r="I516" s="42">
        <f t="shared" si="193"/>
        <v>0</v>
      </c>
      <c r="J516" s="103" t="str">
        <f t="shared" si="194"/>
        <v/>
      </c>
      <c r="K516" s="104" t="str">
        <f t="shared" si="195"/>
        <v/>
      </c>
      <c r="L516" s="105" t="str">
        <f t="shared" si="196"/>
        <v/>
      </c>
      <c r="M516" s="106" t="str">
        <f t="shared" si="175"/>
        <v/>
      </c>
    </row>
    <row r="517" spans="1:14" s="3" customFormat="1" ht="30" customHeight="1" x14ac:dyDescent="0.25">
      <c r="A517" s="14" t="s">
        <v>5</v>
      </c>
      <c r="B517" s="16" t="s">
        <v>42</v>
      </c>
      <c r="C517" s="25" t="s">
        <v>61</v>
      </c>
      <c r="D517" s="12" t="s">
        <v>45</v>
      </c>
      <c r="E517" s="38">
        <v>0</v>
      </c>
      <c r="F517" s="39">
        <v>0</v>
      </c>
      <c r="G517" s="40">
        <v>0</v>
      </c>
      <c r="H517" s="41">
        <v>0</v>
      </c>
      <c r="I517" s="42">
        <f t="shared" si="193"/>
        <v>0</v>
      </c>
      <c r="J517" s="103" t="str">
        <f t="shared" si="194"/>
        <v/>
      </c>
      <c r="K517" s="104" t="str">
        <f t="shared" si="195"/>
        <v/>
      </c>
      <c r="L517" s="105" t="str">
        <f t="shared" si="196"/>
        <v/>
      </c>
      <c r="M517" s="106" t="str">
        <f t="shared" si="175"/>
        <v/>
      </c>
    </row>
    <row r="518" spans="1:14" s="3" customFormat="1" ht="30" customHeight="1" x14ac:dyDescent="0.25">
      <c r="A518" s="14" t="s">
        <v>5</v>
      </c>
      <c r="B518" s="16" t="s">
        <v>42</v>
      </c>
      <c r="C518" s="25" t="s">
        <v>61</v>
      </c>
      <c r="D518" s="12" t="s">
        <v>46</v>
      </c>
      <c r="E518" s="38">
        <v>0</v>
      </c>
      <c r="F518" s="39">
        <v>0</v>
      </c>
      <c r="G518" s="40">
        <v>0</v>
      </c>
      <c r="H518" s="41">
        <v>0</v>
      </c>
      <c r="I518" s="42">
        <f t="shared" si="193"/>
        <v>0</v>
      </c>
      <c r="J518" s="103" t="str">
        <f t="shared" si="194"/>
        <v/>
      </c>
      <c r="K518" s="104" t="str">
        <f t="shared" si="195"/>
        <v/>
      </c>
      <c r="L518" s="105" t="str">
        <f t="shared" si="196"/>
        <v/>
      </c>
      <c r="M518" s="106" t="str">
        <f t="shared" si="175"/>
        <v/>
      </c>
    </row>
    <row r="519" spans="1:14" s="3" customFormat="1" ht="30" customHeight="1" x14ac:dyDescent="0.25">
      <c r="A519" s="14" t="s">
        <v>5</v>
      </c>
      <c r="B519" s="16" t="s">
        <v>42</v>
      </c>
      <c r="C519" s="25" t="s">
        <v>61</v>
      </c>
      <c r="D519" s="12" t="s">
        <v>51</v>
      </c>
      <c r="E519" s="38">
        <v>0</v>
      </c>
      <c r="F519" s="39">
        <v>0</v>
      </c>
      <c r="G519" s="40">
        <v>0</v>
      </c>
      <c r="H519" s="41">
        <v>0</v>
      </c>
      <c r="I519" s="42">
        <f t="shared" si="193"/>
        <v>0</v>
      </c>
      <c r="J519" s="103" t="str">
        <f t="shared" si="194"/>
        <v/>
      </c>
      <c r="K519" s="104" t="str">
        <f t="shared" si="195"/>
        <v/>
      </c>
      <c r="L519" s="105" t="str">
        <f t="shared" si="196"/>
        <v/>
      </c>
      <c r="M519" s="106" t="str">
        <f t="shared" si="175"/>
        <v/>
      </c>
    </row>
    <row r="520" spans="1:14" s="3" customFormat="1" ht="30" customHeight="1" x14ac:dyDescent="0.25">
      <c r="A520" s="14" t="s">
        <v>5</v>
      </c>
      <c r="B520" s="16" t="s">
        <v>42</v>
      </c>
      <c r="C520" s="25" t="s">
        <v>61</v>
      </c>
      <c r="D520" s="12" t="s">
        <v>52</v>
      </c>
      <c r="E520" s="38">
        <v>0</v>
      </c>
      <c r="F520" s="39">
        <v>0</v>
      </c>
      <c r="G520" s="40">
        <v>0</v>
      </c>
      <c r="H520" s="41">
        <v>0</v>
      </c>
      <c r="I520" s="42">
        <f t="shared" si="193"/>
        <v>0</v>
      </c>
      <c r="J520" s="103" t="str">
        <f t="shared" si="194"/>
        <v/>
      </c>
      <c r="K520" s="104" t="str">
        <f t="shared" si="195"/>
        <v/>
      </c>
      <c r="L520" s="105" t="str">
        <f t="shared" si="196"/>
        <v/>
      </c>
      <c r="M520" s="106" t="str">
        <f t="shared" si="175"/>
        <v/>
      </c>
    </row>
    <row r="521" spans="1:14" s="3" customFormat="1" ht="30" customHeight="1" x14ac:dyDescent="0.25">
      <c r="A521" s="14" t="s">
        <v>5</v>
      </c>
      <c r="B521" s="16" t="s">
        <v>42</v>
      </c>
      <c r="C521" s="25" t="s">
        <v>61</v>
      </c>
      <c r="D521" s="12" t="s">
        <v>47</v>
      </c>
      <c r="E521" s="38">
        <v>0</v>
      </c>
      <c r="F521" s="39">
        <v>0</v>
      </c>
      <c r="G521" s="40">
        <v>0</v>
      </c>
      <c r="H521" s="41">
        <v>0</v>
      </c>
      <c r="I521" s="42">
        <f t="shared" si="193"/>
        <v>0</v>
      </c>
      <c r="J521" s="103" t="str">
        <f t="shared" si="194"/>
        <v/>
      </c>
      <c r="K521" s="104" t="str">
        <f t="shared" si="195"/>
        <v/>
      </c>
      <c r="L521" s="105" t="str">
        <f t="shared" si="196"/>
        <v/>
      </c>
      <c r="M521" s="106" t="str">
        <f t="shared" si="175"/>
        <v/>
      </c>
    </row>
    <row r="522" spans="1:14" s="3" customFormat="1" ht="30" customHeight="1" x14ac:dyDescent="0.25">
      <c r="A522" s="14" t="s">
        <v>5</v>
      </c>
      <c r="B522" s="16" t="s">
        <v>42</v>
      </c>
      <c r="C522" s="25" t="s">
        <v>61</v>
      </c>
      <c r="D522" s="12" t="s">
        <v>48</v>
      </c>
      <c r="E522" s="38">
        <v>0</v>
      </c>
      <c r="F522" s="39">
        <v>0</v>
      </c>
      <c r="G522" s="40">
        <v>0</v>
      </c>
      <c r="H522" s="41">
        <v>0</v>
      </c>
      <c r="I522" s="42">
        <f t="shared" si="193"/>
        <v>0</v>
      </c>
      <c r="J522" s="103" t="str">
        <f t="shared" si="194"/>
        <v/>
      </c>
      <c r="K522" s="104" t="str">
        <f t="shared" si="195"/>
        <v/>
      </c>
      <c r="L522" s="105" t="str">
        <f t="shared" si="196"/>
        <v/>
      </c>
      <c r="M522" s="106" t="str">
        <f t="shared" si="175"/>
        <v/>
      </c>
    </row>
    <row r="523" spans="1:14" s="3" customFormat="1" ht="30" customHeight="1" x14ac:dyDescent="0.25">
      <c r="A523" s="14" t="s">
        <v>5</v>
      </c>
      <c r="B523" s="16" t="s">
        <v>42</v>
      </c>
      <c r="C523" s="25" t="s">
        <v>61</v>
      </c>
      <c r="D523" s="12" t="s">
        <v>49</v>
      </c>
      <c r="E523" s="38">
        <v>0</v>
      </c>
      <c r="F523" s="39">
        <v>0</v>
      </c>
      <c r="G523" s="40">
        <v>0</v>
      </c>
      <c r="H523" s="41">
        <v>0</v>
      </c>
      <c r="I523" s="42">
        <f t="shared" si="193"/>
        <v>0</v>
      </c>
      <c r="J523" s="103" t="str">
        <f t="shared" si="194"/>
        <v/>
      </c>
      <c r="K523" s="104" t="str">
        <f t="shared" si="195"/>
        <v/>
      </c>
      <c r="L523" s="105" t="str">
        <f t="shared" si="196"/>
        <v/>
      </c>
      <c r="M523" s="106" t="str">
        <f t="shared" si="175"/>
        <v/>
      </c>
    </row>
    <row r="524" spans="1:14" s="3" customFormat="1" ht="30" customHeight="1" x14ac:dyDescent="0.25">
      <c r="A524" s="14" t="s">
        <v>5</v>
      </c>
      <c r="B524" s="16" t="s">
        <v>42</v>
      </c>
      <c r="C524" s="25" t="s">
        <v>61</v>
      </c>
      <c r="D524" s="12" t="s">
        <v>50</v>
      </c>
      <c r="E524" s="38">
        <v>0</v>
      </c>
      <c r="F524" s="39">
        <v>0</v>
      </c>
      <c r="G524" s="40">
        <v>0</v>
      </c>
      <c r="H524" s="41">
        <v>0</v>
      </c>
      <c r="I524" s="42">
        <f t="shared" si="193"/>
        <v>0</v>
      </c>
      <c r="J524" s="103" t="str">
        <f t="shared" si="194"/>
        <v/>
      </c>
      <c r="K524" s="104" t="str">
        <f t="shared" si="195"/>
        <v/>
      </c>
      <c r="L524" s="105" t="str">
        <f t="shared" si="196"/>
        <v/>
      </c>
      <c r="M524" s="106" t="str">
        <f t="shared" si="175"/>
        <v/>
      </c>
    </row>
    <row r="525" spans="1:14" s="8" customFormat="1" ht="30" customHeight="1" x14ac:dyDescent="0.25">
      <c r="A525" s="14" t="s">
        <v>5</v>
      </c>
      <c r="B525" s="16" t="s">
        <v>42</v>
      </c>
      <c r="C525" s="25"/>
      <c r="D525" s="9" t="s">
        <v>29</v>
      </c>
      <c r="E525" s="38">
        <f>SUM(E515:E524)</f>
        <v>0</v>
      </c>
      <c r="F525" s="39">
        <f t="shared" ref="F525" si="197">SUM(F515:F524)</f>
        <v>0</v>
      </c>
      <c r="G525" s="40">
        <f t="shared" ref="G525" si="198">SUM(G515:G524)</f>
        <v>0</v>
      </c>
      <c r="H525" s="41">
        <f t="shared" ref="H525" si="199">SUM(H515:H524)</f>
        <v>0</v>
      </c>
      <c r="I525" s="43">
        <f t="shared" ref="I525" si="200">SUM(I515:I524)</f>
        <v>0</v>
      </c>
      <c r="J525" s="103" t="str">
        <f>IFERROR(E525/SUM($E525:$H525)*100,"")</f>
        <v/>
      </c>
      <c r="K525" s="104" t="str">
        <f>IFERROR(F525/SUM($E525:$H525)*100,"")</f>
        <v/>
      </c>
      <c r="L525" s="105" t="str">
        <f>IFERROR(G525/SUM($E525:$H525)*100,"")</f>
        <v/>
      </c>
      <c r="M525" s="106" t="str">
        <f t="shared" ref="M525:M588" si="201">IFERROR(H525/$I525*100,"")</f>
        <v/>
      </c>
      <c r="N525" s="5" t="s">
        <v>1671</v>
      </c>
    </row>
    <row r="526" spans="1:14" ht="5.0999999999999996" customHeight="1" x14ac:dyDescent="0.25">
      <c r="A526" s="14" t="s">
        <v>5</v>
      </c>
      <c r="B526" s="16" t="s">
        <v>42</v>
      </c>
      <c r="C526"/>
      <c r="D526" s="57"/>
      <c r="E526" s="59"/>
      <c r="F526" s="59"/>
      <c r="G526" s="59"/>
      <c r="H526" s="59"/>
      <c r="I526" s="59"/>
      <c r="J526" s="103"/>
      <c r="K526" s="104"/>
      <c r="L526" s="105"/>
      <c r="M526" s="106" t="str">
        <f t="shared" si="201"/>
        <v/>
      </c>
    </row>
    <row r="527" spans="1:14" s="7" customFormat="1" ht="20.100000000000001" customHeight="1" x14ac:dyDescent="0.25">
      <c r="A527" s="14" t="s">
        <v>5</v>
      </c>
      <c r="B527" s="16" t="s">
        <v>62</v>
      </c>
      <c r="C527" s="25" t="s">
        <v>60</v>
      </c>
      <c r="D527" s="62" t="s">
        <v>63</v>
      </c>
      <c r="E527" s="63"/>
      <c r="F527" s="63"/>
      <c r="G527" s="63"/>
      <c r="H527" s="63"/>
      <c r="I527" s="64"/>
      <c r="J527" s="103"/>
      <c r="K527" s="104"/>
      <c r="L527" s="105"/>
      <c r="M527" s="106" t="str">
        <f t="shared" si="201"/>
        <v/>
      </c>
      <c r="N527" s="5" t="s">
        <v>1673</v>
      </c>
    </row>
    <row r="528" spans="1:14" s="8" customFormat="1" ht="30" customHeight="1" x14ac:dyDescent="0.25">
      <c r="A528" s="14" t="s">
        <v>5</v>
      </c>
      <c r="B528" s="16" t="s">
        <v>62</v>
      </c>
      <c r="C528" s="25"/>
      <c r="D528" s="12" t="s">
        <v>29</v>
      </c>
      <c r="E528" s="38" t="e">
        <f>SUM(E478,E467,E486,E525,E481,E489,E498,E501,E512,#REF!)</f>
        <v>#REF!</v>
      </c>
      <c r="F528" s="39" t="e">
        <f>SUM(F478,F467,F486,F525,F481,F489,F498,F501,F512,#REF!)</f>
        <v>#REF!</v>
      </c>
      <c r="G528" s="40" t="e">
        <f>SUM(G478,G467,G486,G525,G481,G489,G498,G501,G512,#REF!)</f>
        <v>#REF!</v>
      </c>
      <c r="H528" s="41" t="e">
        <f>SUM(H478,H467,H486,H525,H481,H489,H498,H501,H512,#REF!)</f>
        <v>#REF!</v>
      </c>
      <c r="I528" s="42" t="e">
        <f>SUM(I478,I467,I486,I525,I481,I489,I498,I501,I512,#REF!)</f>
        <v>#REF!</v>
      </c>
      <c r="J528" s="103" t="str">
        <f>IFERROR(E528/SUM($E528:$H528)*100,"")</f>
        <v/>
      </c>
      <c r="K528" s="104" t="str">
        <f>IFERROR(F528/SUM($E528:$H528)*100,"")</f>
        <v/>
      </c>
      <c r="L528" s="105" t="str">
        <f>IFERROR(G528/SUM($E528:$H528)*100,"")</f>
        <v/>
      </c>
      <c r="M528" s="106" t="str">
        <f t="shared" si="201"/>
        <v/>
      </c>
      <c r="N528" s="5" t="s">
        <v>1671</v>
      </c>
    </row>
    <row r="529" spans="1:14" s="5" customFormat="1" ht="20.100000000000001" customHeight="1" x14ac:dyDescent="0.25">
      <c r="A529" s="14" t="s">
        <v>5</v>
      </c>
      <c r="B529" s="14"/>
      <c r="C529" s="25" t="s">
        <v>60</v>
      </c>
      <c r="D529" s="7"/>
      <c r="E529" s="8"/>
      <c r="F529" s="8"/>
      <c r="G529" s="8"/>
      <c r="H529" s="8"/>
      <c r="I529" s="8"/>
      <c r="J529" s="103"/>
      <c r="K529" s="104"/>
      <c r="L529" s="105"/>
      <c r="M529" s="106" t="str">
        <f t="shared" si="201"/>
        <v/>
      </c>
    </row>
    <row r="530" spans="1:14" s="5" customFormat="1" ht="20.100000000000001" customHeight="1" x14ac:dyDescent="0.25">
      <c r="A530" s="14" t="s">
        <v>7</v>
      </c>
      <c r="B530" s="14"/>
      <c r="C530" s="25" t="s">
        <v>60</v>
      </c>
      <c r="D530" s="20" t="str">
        <f>IFERROR(A530&amp;"   ("&amp;COUNTIFS(#REF!,"="&amp;A530)&amp;")",A530)</f>
        <v>DOD</v>
      </c>
      <c r="E530" s="45"/>
      <c r="F530" s="45"/>
      <c r="G530" s="45"/>
      <c r="H530" s="45"/>
      <c r="I530" s="46"/>
      <c r="J530" s="103"/>
      <c r="K530" s="104"/>
      <c r="L530" s="105"/>
      <c r="M530" s="106" t="str">
        <f t="shared" si="201"/>
        <v/>
      </c>
      <c r="N530" s="5" t="s">
        <v>1672</v>
      </c>
    </row>
    <row r="531" spans="1:14" s="5" customFormat="1" ht="20.100000000000001" customHeight="1" x14ac:dyDescent="0.25">
      <c r="A531" s="14" t="s">
        <v>7</v>
      </c>
      <c r="B531" s="16" t="s">
        <v>20</v>
      </c>
      <c r="C531" s="25" t="s">
        <v>60</v>
      </c>
      <c r="D531" s="6" t="s">
        <v>20</v>
      </c>
      <c r="E531" s="37"/>
      <c r="F531" s="37"/>
      <c r="G531" s="37"/>
      <c r="H531" s="37"/>
      <c r="I531" s="48"/>
      <c r="J531" s="103"/>
      <c r="K531" s="104"/>
      <c r="L531" s="105"/>
      <c r="M531" s="106" t="str">
        <f t="shared" si="201"/>
        <v/>
      </c>
      <c r="N531" s="5" t="s">
        <v>1673</v>
      </c>
    </row>
    <row r="532" spans="1:14" s="5" customFormat="1" ht="30" customHeight="1" x14ac:dyDescent="0.25">
      <c r="A532" s="14" t="s">
        <v>7</v>
      </c>
      <c r="B532" s="16" t="s">
        <v>20</v>
      </c>
      <c r="C532" s="25" t="s">
        <v>61</v>
      </c>
      <c r="D532" s="12" t="s">
        <v>25</v>
      </c>
      <c r="E532" s="38">
        <v>0</v>
      </c>
      <c r="F532" s="39">
        <v>0</v>
      </c>
      <c r="G532" s="40">
        <v>0</v>
      </c>
      <c r="H532" s="41">
        <v>0</v>
      </c>
      <c r="I532" s="42">
        <f>SUM(E532:H532)</f>
        <v>0</v>
      </c>
      <c r="J532" s="103" t="str">
        <f>IFERROR(E532/$I532*100,"")</f>
        <v/>
      </c>
      <c r="K532" s="104" t="str">
        <f>IFERROR(F532/$I532*100,"")</f>
        <v/>
      </c>
      <c r="L532" s="105" t="str">
        <f>IFERROR(G532/$I532*100,"")</f>
        <v/>
      </c>
      <c r="M532" s="106" t="str">
        <f t="shared" si="201"/>
        <v/>
      </c>
      <c r="N532" s="5" t="s">
        <v>1671</v>
      </c>
    </row>
    <row r="533" spans="1:14" ht="5.0999999999999996" customHeight="1" x14ac:dyDescent="0.25">
      <c r="A533" s="14" t="s">
        <v>7</v>
      </c>
      <c r="B533" s="16" t="s">
        <v>20</v>
      </c>
      <c r="C533"/>
      <c r="D533" s="57"/>
      <c r="E533" s="59"/>
      <c r="F533" s="59"/>
      <c r="G533" s="59"/>
      <c r="H533" s="59"/>
      <c r="I533" s="59"/>
      <c r="J533" s="103"/>
      <c r="K533" s="104"/>
      <c r="L533" s="105"/>
      <c r="M533" s="106" t="str">
        <f t="shared" si="201"/>
        <v/>
      </c>
    </row>
    <row r="534" spans="1:14" s="5" customFormat="1" ht="20.100000000000001" customHeight="1" x14ac:dyDescent="0.25">
      <c r="A534" s="14" t="s">
        <v>7</v>
      </c>
      <c r="B534" s="16" t="s">
        <v>26</v>
      </c>
      <c r="C534" s="25" t="s">
        <v>60</v>
      </c>
      <c r="D534" s="6" t="s">
        <v>98</v>
      </c>
      <c r="E534" s="37"/>
      <c r="F534" s="37"/>
      <c r="G534" s="37"/>
      <c r="H534" s="37"/>
      <c r="I534" s="47"/>
      <c r="J534" s="103"/>
      <c r="K534" s="104"/>
      <c r="L534" s="105"/>
      <c r="M534" s="106" t="str">
        <f t="shared" si="201"/>
        <v/>
      </c>
      <c r="N534" s="5" t="s">
        <v>1673</v>
      </c>
    </row>
    <row r="535" spans="1:14" s="5" customFormat="1" ht="30" customHeight="1" x14ac:dyDescent="0.25">
      <c r="A535" s="14" t="s">
        <v>7</v>
      </c>
      <c r="B535" s="16" t="s">
        <v>26</v>
      </c>
      <c r="C535" s="25" t="s">
        <v>61</v>
      </c>
      <c r="D535" s="31" t="s">
        <v>21</v>
      </c>
      <c r="E535" s="38">
        <v>0</v>
      </c>
      <c r="F535" s="39">
        <v>0</v>
      </c>
      <c r="G535" s="40">
        <v>0</v>
      </c>
      <c r="H535" s="41">
        <v>0</v>
      </c>
      <c r="I535" s="42">
        <f t="shared" ref="I535:I542" si="202">SUM(E535:H535)</f>
        <v>0</v>
      </c>
      <c r="J535" s="103" t="str">
        <f t="shared" ref="J535:L542" si="203">IFERROR(E535/$I535*100,"")</f>
        <v/>
      </c>
      <c r="K535" s="104" t="str">
        <f t="shared" si="203"/>
        <v/>
      </c>
      <c r="L535" s="105" t="str">
        <f t="shared" si="203"/>
        <v/>
      </c>
      <c r="M535" s="106" t="str">
        <f t="shared" si="201"/>
        <v/>
      </c>
    </row>
    <row r="536" spans="1:14" s="5" customFormat="1" ht="30" customHeight="1" x14ac:dyDescent="0.25">
      <c r="A536" s="14" t="s">
        <v>7</v>
      </c>
      <c r="B536" s="16" t="s">
        <v>26</v>
      </c>
      <c r="C536" s="25" t="s">
        <v>61</v>
      </c>
      <c r="D536" s="31" t="s">
        <v>22</v>
      </c>
      <c r="E536" s="38">
        <v>0</v>
      </c>
      <c r="F536" s="39">
        <v>0</v>
      </c>
      <c r="G536" s="40">
        <v>0</v>
      </c>
      <c r="H536" s="41">
        <v>0</v>
      </c>
      <c r="I536" s="42">
        <f t="shared" si="202"/>
        <v>0</v>
      </c>
      <c r="J536" s="103" t="str">
        <f t="shared" si="203"/>
        <v/>
      </c>
      <c r="K536" s="104" t="str">
        <f t="shared" si="203"/>
        <v/>
      </c>
      <c r="L536" s="105" t="str">
        <f t="shared" si="203"/>
        <v/>
      </c>
      <c r="M536" s="106" t="str">
        <f t="shared" si="201"/>
        <v/>
      </c>
    </row>
    <row r="537" spans="1:14" s="5" customFormat="1" ht="30" customHeight="1" x14ac:dyDescent="0.25">
      <c r="A537" s="14" t="s">
        <v>7</v>
      </c>
      <c r="B537" s="16" t="s">
        <v>26</v>
      </c>
      <c r="C537" s="25" t="s">
        <v>61</v>
      </c>
      <c r="D537" s="31" t="s">
        <v>27</v>
      </c>
      <c r="E537" s="38">
        <v>0</v>
      </c>
      <c r="F537" s="39">
        <v>0</v>
      </c>
      <c r="G537" s="40">
        <v>0</v>
      </c>
      <c r="H537" s="41">
        <v>0</v>
      </c>
      <c r="I537" s="42">
        <f t="shared" si="202"/>
        <v>0</v>
      </c>
      <c r="J537" s="103" t="str">
        <f t="shared" si="203"/>
        <v/>
      </c>
      <c r="K537" s="104" t="str">
        <f t="shared" si="203"/>
        <v/>
      </c>
      <c r="L537" s="105" t="str">
        <f t="shared" si="203"/>
        <v/>
      </c>
      <c r="M537" s="106" t="str">
        <f t="shared" si="201"/>
        <v/>
      </c>
    </row>
    <row r="538" spans="1:14" s="5" customFormat="1" ht="30" customHeight="1" x14ac:dyDescent="0.25">
      <c r="A538" s="14" t="s">
        <v>7</v>
      </c>
      <c r="B538" s="16" t="s">
        <v>26</v>
      </c>
      <c r="C538" s="25" t="s">
        <v>61</v>
      </c>
      <c r="D538" s="31" t="s">
        <v>23</v>
      </c>
      <c r="E538" s="38">
        <v>0</v>
      </c>
      <c r="F538" s="39">
        <v>0</v>
      </c>
      <c r="G538" s="40">
        <v>0</v>
      </c>
      <c r="H538" s="41">
        <v>0</v>
      </c>
      <c r="I538" s="42">
        <f t="shared" si="202"/>
        <v>0</v>
      </c>
      <c r="J538" s="103" t="str">
        <f t="shared" si="203"/>
        <v/>
      </c>
      <c r="K538" s="104" t="str">
        <f t="shared" si="203"/>
        <v/>
      </c>
      <c r="L538" s="105" t="str">
        <f t="shared" si="203"/>
        <v/>
      </c>
      <c r="M538" s="106" t="str">
        <f t="shared" si="201"/>
        <v/>
      </c>
    </row>
    <row r="539" spans="1:14" s="5" customFormat="1" ht="30" customHeight="1" x14ac:dyDescent="0.25">
      <c r="A539" s="14" t="s">
        <v>7</v>
      </c>
      <c r="B539" s="16" t="s">
        <v>26</v>
      </c>
      <c r="C539" s="25" t="s">
        <v>61</v>
      </c>
      <c r="D539" s="31" t="s">
        <v>24</v>
      </c>
      <c r="E539" s="38">
        <v>0</v>
      </c>
      <c r="F539" s="39">
        <v>0</v>
      </c>
      <c r="G539" s="40">
        <v>0</v>
      </c>
      <c r="H539" s="41">
        <v>0</v>
      </c>
      <c r="I539" s="42">
        <f t="shared" si="202"/>
        <v>0</v>
      </c>
      <c r="J539" s="103" t="str">
        <f t="shared" si="203"/>
        <v/>
      </c>
      <c r="K539" s="104" t="str">
        <f t="shared" si="203"/>
        <v/>
      </c>
      <c r="L539" s="105" t="str">
        <f t="shared" si="203"/>
        <v/>
      </c>
      <c r="M539" s="106" t="str">
        <f t="shared" si="201"/>
        <v/>
      </c>
    </row>
    <row r="540" spans="1:14" s="3" customFormat="1" ht="30" customHeight="1" x14ac:dyDescent="0.25">
      <c r="A540" s="14" t="s">
        <v>7</v>
      </c>
      <c r="B540" s="16" t="s">
        <v>26</v>
      </c>
      <c r="C540" s="25" t="s">
        <v>61</v>
      </c>
      <c r="D540" s="31" t="s">
        <v>41</v>
      </c>
      <c r="E540" s="38">
        <v>0</v>
      </c>
      <c r="F540" s="39">
        <v>0</v>
      </c>
      <c r="G540" s="40">
        <v>0</v>
      </c>
      <c r="H540" s="41">
        <v>0</v>
      </c>
      <c r="I540" s="42">
        <f t="shared" si="202"/>
        <v>0</v>
      </c>
      <c r="J540" s="103" t="str">
        <f t="shared" si="203"/>
        <v/>
      </c>
      <c r="K540" s="104" t="str">
        <f t="shared" si="203"/>
        <v/>
      </c>
      <c r="L540" s="105" t="str">
        <f t="shared" si="203"/>
        <v/>
      </c>
      <c r="M540" s="106" t="str">
        <f t="shared" si="201"/>
        <v/>
      </c>
    </row>
    <row r="541" spans="1:14" s="5" customFormat="1" ht="30" customHeight="1" x14ac:dyDescent="0.25">
      <c r="A541" s="14" t="s">
        <v>7</v>
      </c>
      <c r="B541" s="16" t="s">
        <v>26</v>
      </c>
      <c r="C541" s="25" t="s">
        <v>61</v>
      </c>
      <c r="D541" s="31" t="s">
        <v>28</v>
      </c>
      <c r="E541" s="38">
        <v>0</v>
      </c>
      <c r="F541" s="39">
        <v>0</v>
      </c>
      <c r="G541" s="40">
        <v>0</v>
      </c>
      <c r="H541" s="41">
        <v>0</v>
      </c>
      <c r="I541" s="42">
        <f t="shared" si="202"/>
        <v>0</v>
      </c>
      <c r="J541" s="103" t="str">
        <f t="shared" si="203"/>
        <v/>
      </c>
      <c r="K541" s="104" t="str">
        <f t="shared" si="203"/>
        <v/>
      </c>
      <c r="L541" s="105" t="str">
        <f t="shared" si="203"/>
        <v/>
      </c>
      <c r="M541" s="106" t="str">
        <f t="shared" si="201"/>
        <v/>
      </c>
    </row>
    <row r="542" spans="1:14" s="5" customFormat="1" ht="30" customHeight="1" x14ac:dyDescent="0.25">
      <c r="A542" s="14" t="s">
        <v>7</v>
      </c>
      <c r="B542" s="16" t="s">
        <v>26</v>
      </c>
      <c r="C542" s="25" t="s">
        <v>61</v>
      </c>
      <c r="D542" s="31" t="s">
        <v>40</v>
      </c>
      <c r="E542" s="38">
        <v>0</v>
      </c>
      <c r="F542" s="39">
        <v>0</v>
      </c>
      <c r="G542" s="40">
        <v>0</v>
      </c>
      <c r="H542" s="41">
        <v>0</v>
      </c>
      <c r="I542" s="42">
        <f t="shared" si="202"/>
        <v>0</v>
      </c>
      <c r="J542" s="103" t="str">
        <f t="shared" si="203"/>
        <v/>
      </c>
      <c r="K542" s="104" t="str">
        <f t="shared" si="203"/>
        <v/>
      </c>
      <c r="L542" s="105" t="str">
        <f t="shared" si="203"/>
        <v/>
      </c>
      <c r="M542" s="106" t="str">
        <f t="shared" si="201"/>
        <v/>
      </c>
    </row>
    <row r="543" spans="1:14" s="8" customFormat="1" ht="30" customHeight="1" x14ac:dyDescent="0.25">
      <c r="A543" s="14" t="s">
        <v>7</v>
      </c>
      <c r="B543" s="16" t="s">
        <v>26</v>
      </c>
      <c r="C543" s="25"/>
      <c r="D543" s="9" t="s">
        <v>29</v>
      </c>
      <c r="E543" s="38">
        <f>SUM(E535:E542)</f>
        <v>0</v>
      </c>
      <c r="F543" s="39">
        <f t="shared" ref="F543" si="204">SUM(F535:F542)</f>
        <v>0</v>
      </c>
      <c r="G543" s="40">
        <f t="shared" ref="G543" si="205">SUM(G535:G542)</f>
        <v>0</v>
      </c>
      <c r="H543" s="41">
        <f t="shared" ref="H543" si="206">SUM(H535:H542)</f>
        <v>0</v>
      </c>
      <c r="I543" s="43">
        <f t="shared" ref="I543" si="207">SUM(I535:I542)</f>
        <v>0</v>
      </c>
      <c r="J543" s="103" t="str">
        <f>IFERROR(E543/SUM($E543:$H543)*100,"")</f>
        <v/>
      </c>
      <c r="K543" s="104" t="str">
        <f>IFERROR(F543/SUM($E543:$H543)*100,"")</f>
        <v/>
      </c>
      <c r="L543" s="105" t="str">
        <f>IFERROR(G543/SUM($E543:$H543)*100,"")</f>
        <v/>
      </c>
      <c r="M543" s="106" t="str">
        <f t="shared" si="201"/>
        <v/>
      </c>
      <c r="N543" s="5" t="s">
        <v>1671</v>
      </c>
    </row>
    <row r="544" spans="1:14" ht="5.0999999999999996" customHeight="1" x14ac:dyDescent="0.25">
      <c r="A544" s="14" t="s">
        <v>7</v>
      </c>
      <c r="B544" s="16" t="s">
        <v>26</v>
      </c>
      <c r="C544"/>
      <c r="D544" s="57"/>
      <c r="E544" s="59"/>
      <c r="F544" s="59"/>
      <c r="G544" s="59"/>
      <c r="H544" s="59"/>
      <c r="I544" s="59"/>
      <c r="J544" s="103"/>
      <c r="K544" s="104"/>
      <c r="L544" s="105"/>
      <c r="M544" s="106" t="str">
        <f t="shared" si="201"/>
        <v/>
      </c>
    </row>
    <row r="545" spans="1:14" s="5" customFormat="1" ht="20.100000000000001" customHeight="1" x14ac:dyDescent="0.25">
      <c r="A545" s="14" t="s">
        <v>7</v>
      </c>
      <c r="B545" s="16" t="s">
        <v>64</v>
      </c>
      <c r="C545" s="25" t="s">
        <v>60</v>
      </c>
      <c r="D545" s="6" t="s">
        <v>65</v>
      </c>
      <c r="E545" s="37"/>
      <c r="F545" s="37"/>
      <c r="G545" s="37"/>
      <c r="H545" s="37"/>
      <c r="I545" s="48"/>
      <c r="J545" s="103"/>
      <c r="K545" s="104"/>
      <c r="L545" s="105"/>
      <c r="M545" s="106" t="str">
        <f t="shared" si="201"/>
        <v/>
      </c>
      <c r="N545" s="5" t="s">
        <v>1673</v>
      </c>
    </row>
    <row r="546" spans="1:14" s="5" customFormat="1" ht="30" customHeight="1" x14ac:dyDescent="0.25">
      <c r="A546" s="14" t="s">
        <v>7</v>
      </c>
      <c r="B546" s="16" t="s">
        <v>64</v>
      </c>
      <c r="C546" s="25" t="s">
        <v>61</v>
      </c>
      <c r="D546" s="12" t="s">
        <v>66</v>
      </c>
      <c r="E546" s="38">
        <v>0</v>
      </c>
      <c r="F546" s="39">
        <v>0</v>
      </c>
      <c r="G546" s="40">
        <v>0</v>
      </c>
      <c r="H546" s="41">
        <v>0</v>
      </c>
      <c r="I546" s="42">
        <f>SUM(E546:H546)</f>
        <v>0</v>
      </c>
      <c r="J546" s="103" t="str">
        <f>IFERROR(E546/$I546*100,"")</f>
        <v/>
      </c>
      <c r="K546" s="104" t="str">
        <f>IFERROR(F546/$I546*100,"")</f>
        <v/>
      </c>
      <c r="L546" s="105" t="str">
        <f>IFERROR(G546/$I546*100,"")</f>
        <v/>
      </c>
      <c r="M546" s="106" t="str">
        <f t="shared" si="201"/>
        <v/>
      </c>
      <c r="N546" s="5" t="s">
        <v>1671</v>
      </c>
    </row>
    <row r="547" spans="1:14" ht="5.0999999999999996" customHeight="1" x14ac:dyDescent="0.25">
      <c r="A547" s="14" t="s">
        <v>7</v>
      </c>
      <c r="B547" s="16" t="s">
        <v>64</v>
      </c>
      <c r="C547"/>
      <c r="D547" s="57"/>
      <c r="E547" s="59"/>
      <c r="F547" s="59"/>
      <c r="G547" s="59"/>
      <c r="H547" s="59"/>
      <c r="I547" s="59"/>
      <c r="J547" s="103"/>
      <c r="K547" s="104"/>
      <c r="L547" s="105"/>
      <c r="M547" s="106" t="str">
        <f t="shared" si="201"/>
        <v/>
      </c>
    </row>
    <row r="548" spans="1:14" s="5" customFormat="1" ht="20.100000000000001" customHeight="1" x14ac:dyDescent="0.25">
      <c r="A548" s="14" t="s">
        <v>7</v>
      </c>
      <c r="B548" s="16" t="s">
        <v>55</v>
      </c>
      <c r="C548" s="25" t="s">
        <v>60</v>
      </c>
      <c r="D548" s="6" t="s">
        <v>55</v>
      </c>
      <c r="E548" s="37"/>
      <c r="F548" s="37"/>
      <c r="G548" s="37"/>
      <c r="H548" s="37"/>
      <c r="I548" s="48"/>
      <c r="J548" s="103"/>
      <c r="K548" s="104"/>
      <c r="L548" s="105"/>
      <c r="M548" s="106" t="str">
        <f t="shared" si="201"/>
        <v/>
      </c>
      <c r="N548" s="5" t="s">
        <v>1673</v>
      </c>
    </row>
    <row r="549" spans="1:14" s="3" customFormat="1" ht="30" customHeight="1" x14ac:dyDescent="0.25">
      <c r="A549" s="14" t="s">
        <v>7</v>
      </c>
      <c r="B549" s="16" t="s">
        <v>55</v>
      </c>
      <c r="C549" s="25" t="s">
        <v>61</v>
      </c>
      <c r="D549" s="12" t="s">
        <v>56</v>
      </c>
      <c r="E549" s="38">
        <v>0</v>
      </c>
      <c r="F549" s="39">
        <v>0</v>
      </c>
      <c r="G549" s="40">
        <v>0</v>
      </c>
      <c r="H549" s="41">
        <v>0</v>
      </c>
      <c r="I549" s="42">
        <f>SUM(E549:H549)</f>
        <v>0</v>
      </c>
      <c r="J549" s="103" t="str">
        <f t="shared" ref="J549:L551" si="208">IFERROR(E549/$I549*100,"")</f>
        <v/>
      </c>
      <c r="K549" s="104" t="str">
        <f t="shared" si="208"/>
        <v/>
      </c>
      <c r="L549" s="105" t="str">
        <f t="shared" si="208"/>
        <v/>
      </c>
      <c r="M549" s="106" t="str">
        <f t="shared" si="201"/>
        <v/>
      </c>
      <c r="N549" s="5"/>
    </row>
    <row r="550" spans="1:14" s="3" customFormat="1" ht="30" customHeight="1" x14ac:dyDescent="0.25">
      <c r="A550" s="14" t="s">
        <v>7</v>
      </c>
      <c r="B550" s="16" t="s">
        <v>55</v>
      </c>
      <c r="C550" s="25" t="s">
        <v>61</v>
      </c>
      <c r="D550" s="12" t="s">
        <v>57</v>
      </c>
      <c r="E550" s="38">
        <v>0</v>
      </c>
      <c r="F550" s="39">
        <v>0</v>
      </c>
      <c r="G550" s="40">
        <v>0</v>
      </c>
      <c r="H550" s="41">
        <v>0</v>
      </c>
      <c r="I550" s="42">
        <f>SUM(E550:H550)</f>
        <v>0</v>
      </c>
      <c r="J550" s="103" t="str">
        <f t="shared" si="208"/>
        <v/>
      </c>
      <c r="K550" s="104" t="str">
        <f t="shared" si="208"/>
        <v/>
      </c>
      <c r="L550" s="105" t="str">
        <f t="shared" si="208"/>
        <v/>
      </c>
      <c r="M550" s="106" t="str">
        <f t="shared" si="201"/>
        <v/>
      </c>
    </row>
    <row r="551" spans="1:14" s="3" customFormat="1" ht="30" customHeight="1" x14ac:dyDescent="0.25">
      <c r="A551" s="14" t="s">
        <v>7</v>
      </c>
      <c r="B551" s="16" t="s">
        <v>55</v>
      </c>
      <c r="C551" s="25"/>
      <c r="D551" s="91" t="s">
        <v>29</v>
      </c>
      <c r="E551" s="38">
        <f>SUM(E549:E550)</f>
        <v>0</v>
      </c>
      <c r="F551" s="39">
        <f t="shared" ref="F551" si="209">SUM(F549:F550)</f>
        <v>0</v>
      </c>
      <c r="G551" s="40">
        <f t="shared" ref="G551" si="210">SUM(G549:G550)</f>
        <v>0</v>
      </c>
      <c r="H551" s="41">
        <f t="shared" ref="H551" si="211">SUM(H549:H550)</f>
        <v>0</v>
      </c>
      <c r="I551" s="42">
        <f t="shared" ref="I551" si="212">SUM(I549:I550)</f>
        <v>0</v>
      </c>
      <c r="J551" s="103" t="str">
        <f t="shared" si="208"/>
        <v/>
      </c>
      <c r="K551" s="104" t="str">
        <f t="shared" si="208"/>
        <v/>
      </c>
      <c r="L551" s="105" t="str">
        <f t="shared" si="208"/>
        <v/>
      </c>
      <c r="M551" s="106" t="str">
        <f t="shared" si="201"/>
        <v/>
      </c>
      <c r="N551" s="5" t="s">
        <v>1671</v>
      </c>
    </row>
    <row r="552" spans="1:14" ht="5.0999999999999996" customHeight="1" x14ac:dyDescent="0.25">
      <c r="A552" s="14" t="s">
        <v>7</v>
      </c>
      <c r="B552" s="16" t="s">
        <v>55</v>
      </c>
      <c r="C552"/>
      <c r="D552" s="57"/>
      <c r="E552" s="59"/>
      <c r="F552" s="59"/>
      <c r="G552" s="59"/>
      <c r="H552" s="59"/>
      <c r="I552" s="59"/>
      <c r="J552" s="103"/>
      <c r="K552" s="104"/>
      <c r="L552" s="105"/>
      <c r="M552" s="106" t="str">
        <f t="shared" si="201"/>
        <v/>
      </c>
    </row>
    <row r="553" spans="1:14" s="5" customFormat="1" ht="20.100000000000001" customHeight="1" x14ac:dyDescent="0.25">
      <c r="A553" s="14" t="s">
        <v>7</v>
      </c>
      <c r="B553" s="16" t="s">
        <v>74</v>
      </c>
      <c r="C553" s="25" t="s">
        <v>60</v>
      </c>
      <c r="D553" s="6" t="s">
        <v>75</v>
      </c>
      <c r="E553" s="37"/>
      <c r="F553" s="37"/>
      <c r="G553" s="37"/>
      <c r="H553" s="37"/>
      <c r="I553" s="48"/>
      <c r="J553" s="103"/>
      <c r="K553" s="104"/>
      <c r="L553" s="105"/>
      <c r="M553" s="106" t="str">
        <f t="shared" si="201"/>
        <v/>
      </c>
      <c r="N553" s="5" t="s">
        <v>1673</v>
      </c>
    </row>
    <row r="554" spans="1:14" s="3" customFormat="1" ht="30" customHeight="1" x14ac:dyDescent="0.25">
      <c r="A554" s="14" t="s">
        <v>7</v>
      </c>
      <c r="B554" s="16" t="s">
        <v>74</v>
      </c>
      <c r="C554" s="25" t="s">
        <v>61</v>
      </c>
      <c r="D554" s="12" t="s">
        <v>77</v>
      </c>
      <c r="E554" s="38">
        <v>0</v>
      </c>
      <c r="F554" s="39">
        <v>0</v>
      </c>
      <c r="G554" s="40">
        <v>0</v>
      </c>
      <c r="H554" s="41">
        <v>0</v>
      </c>
      <c r="I554" s="42">
        <f>SUM(E554:H554)</f>
        <v>0</v>
      </c>
      <c r="J554" s="103" t="str">
        <f>IFERROR(E554/$I554*100,"")</f>
        <v/>
      </c>
      <c r="K554" s="104" t="str">
        <f>IFERROR(F554/$I554*100,"")</f>
        <v/>
      </c>
      <c r="L554" s="105" t="str">
        <f>IFERROR(G554/$I554*100,"")</f>
        <v/>
      </c>
      <c r="M554" s="106" t="str">
        <f t="shared" si="201"/>
        <v/>
      </c>
      <c r="N554" s="3" t="s">
        <v>1671</v>
      </c>
    </row>
    <row r="555" spans="1:14" ht="5.0999999999999996" customHeight="1" x14ac:dyDescent="0.25">
      <c r="A555" s="14" t="s">
        <v>7</v>
      </c>
      <c r="B555" s="16" t="s">
        <v>74</v>
      </c>
      <c r="C555"/>
      <c r="D555" s="57"/>
      <c r="E555" s="59"/>
      <c r="F555" s="59"/>
      <c r="G555" s="59"/>
      <c r="H555" s="59"/>
      <c r="I555" s="59"/>
      <c r="J555" s="103"/>
      <c r="K555" s="104"/>
      <c r="L555" s="105"/>
      <c r="M555" s="106" t="str">
        <f t="shared" si="201"/>
        <v/>
      </c>
    </row>
    <row r="556" spans="1:14" s="5" customFormat="1" ht="20.100000000000001" customHeight="1" x14ac:dyDescent="0.25">
      <c r="A556" s="14" t="s">
        <v>7</v>
      </c>
      <c r="B556" s="16" t="s">
        <v>78</v>
      </c>
      <c r="C556" s="25" t="s">
        <v>60</v>
      </c>
      <c r="D556" s="6" t="s">
        <v>80</v>
      </c>
      <c r="E556" s="37"/>
      <c r="F556" s="37"/>
      <c r="G556" s="37"/>
      <c r="H556" s="37"/>
      <c r="I556" s="48"/>
      <c r="J556" s="103"/>
      <c r="K556" s="104"/>
      <c r="L556" s="105"/>
      <c r="M556" s="106" t="str">
        <f t="shared" si="201"/>
        <v/>
      </c>
      <c r="N556" s="5" t="s">
        <v>1673</v>
      </c>
    </row>
    <row r="557" spans="1:14" s="5" customFormat="1" ht="30" customHeight="1" x14ac:dyDescent="0.25">
      <c r="A557" s="14" t="s">
        <v>7</v>
      </c>
      <c r="B557" s="16" t="s">
        <v>78</v>
      </c>
      <c r="C557" s="25" t="s">
        <v>61</v>
      </c>
      <c r="D557" s="81" t="s">
        <v>81</v>
      </c>
      <c r="E557" s="38">
        <v>0</v>
      </c>
      <c r="F557" s="39">
        <v>0</v>
      </c>
      <c r="G557" s="40">
        <v>0</v>
      </c>
      <c r="H557" s="41">
        <v>0</v>
      </c>
      <c r="I557" s="42">
        <f t="shared" ref="I557:I563" si="213">SUM(E557:H557)</f>
        <v>0</v>
      </c>
      <c r="J557" s="103" t="str">
        <f t="shared" ref="J557:L563" si="214">IFERROR(E557/$I557*100,"")</f>
        <v/>
      </c>
      <c r="K557" s="104" t="str">
        <f t="shared" si="214"/>
        <v/>
      </c>
      <c r="L557" s="105" t="str">
        <f t="shared" si="214"/>
        <v/>
      </c>
      <c r="M557" s="106" t="str">
        <f t="shared" si="201"/>
        <v/>
      </c>
    </row>
    <row r="558" spans="1:14" s="5" customFormat="1" ht="30" customHeight="1" x14ac:dyDescent="0.25">
      <c r="A558" s="14" t="s">
        <v>7</v>
      </c>
      <c r="B558" s="16" t="s">
        <v>78</v>
      </c>
      <c r="C558" s="25" t="s">
        <v>61</v>
      </c>
      <c r="D558" s="81" t="s">
        <v>82</v>
      </c>
      <c r="E558" s="38">
        <v>0</v>
      </c>
      <c r="F558" s="39">
        <v>0</v>
      </c>
      <c r="G558" s="40">
        <v>0</v>
      </c>
      <c r="H558" s="41">
        <v>0</v>
      </c>
      <c r="I558" s="42">
        <f t="shared" si="213"/>
        <v>0</v>
      </c>
      <c r="J558" s="103" t="str">
        <f t="shared" si="214"/>
        <v/>
      </c>
      <c r="K558" s="104" t="str">
        <f t="shared" si="214"/>
        <v/>
      </c>
      <c r="L558" s="105" t="str">
        <f t="shared" si="214"/>
        <v/>
      </c>
      <c r="M558" s="106" t="str">
        <f t="shared" si="201"/>
        <v/>
      </c>
    </row>
    <row r="559" spans="1:14" s="5" customFormat="1" ht="30" customHeight="1" x14ac:dyDescent="0.25">
      <c r="A559" s="14" t="s">
        <v>7</v>
      </c>
      <c r="B559" s="16" t="s">
        <v>78</v>
      </c>
      <c r="C559" s="25" t="s">
        <v>61</v>
      </c>
      <c r="D559" s="81" t="s">
        <v>83</v>
      </c>
      <c r="E559" s="38">
        <v>0</v>
      </c>
      <c r="F559" s="39">
        <v>0</v>
      </c>
      <c r="G559" s="40">
        <v>0</v>
      </c>
      <c r="H559" s="41">
        <v>0</v>
      </c>
      <c r="I559" s="42">
        <f t="shared" si="213"/>
        <v>0</v>
      </c>
      <c r="J559" s="103" t="str">
        <f t="shared" si="214"/>
        <v/>
      </c>
      <c r="K559" s="104" t="str">
        <f t="shared" si="214"/>
        <v/>
      </c>
      <c r="L559" s="105" t="str">
        <f t="shared" si="214"/>
        <v/>
      </c>
      <c r="M559" s="106" t="str">
        <f t="shared" si="201"/>
        <v/>
      </c>
    </row>
    <row r="560" spans="1:14" s="5" customFormat="1" ht="30" customHeight="1" x14ac:dyDescent="0.25">
      <c r="A560" s="14" t="s">
        <v>7</v>
      </c>
      <c r="B560" s="16" t="s">
        <v>78</v>
      </c>
      <c r="C560" s="25" t="s">
        <v>61</v>
      </c>
      <c r="D560" s="81" t="s">
        <v>88</v>
      </c>
      <c r="E560" s="38">
        <v>0</v>
      </c>
      <c r="F560" s="39">
        <v>0</v>
      </c>
      <c r="G560" s="40">
        <v>0</v>
      </c>
      <c r="H560" s="41">
        <v>0</v>
      </c>
      <c r="I560" s="42">
        <f t="shared" si="213"/>
        <v>0</v>
      </c>
      <c r="J560" s="103" t="str">
        <f t="shared" si="214"/>
        <v/>
      </c>
      <c r="K560" s="104" t="str">
        <f t="shared" si="214"/>
        <v/>
      </c>
      <c r="L560" s="105" t="str">
        <f t="shared" si="214"/>
        <v/>
      </c>
      <c r="M560" s="106" t="str">
        <f t="shared" si="201"/>
        <v/>
      </c>
    </row>
    <row r="561" spans="1:14" s="5" customFormat="1" ht="30" customHeight="1" x14ac:dyDescent="0.25">
      <c r="A561" s="14" t="s">
        <v>7</v>
      </c>
      <c r="B561" s="16" t="s">
        <v>78</v>
      </c>
      <c r="C561" s="25" t="s">
        <v>61</v>
      </c>
      <c r="D561" s="81" t="s">
        <v>87</v>
      </c>
      <c r="E561" s="38">
        <v>0</v>
      </c>
      <c r="F561" s="39">
        <v>0</v>
      </c>
      <c r="G561" s="40">
        <v>0</v>
      </c>
      <c r="H561" s="41">
        <v>0</v>
      </c>
      <c r="I561" s="42">
        <f t="shared" si="213"/>
        <v>0</v>
      </c>
      <c r="J561" s="103" t="str">
        <f t="shared" si="214"/>
        <v/>
      </c>
      <c r="K561" s="104" t="str">
        <f t="shared" si="214"/>
        <v/>
      </c>
      <c r="L561" s="105" t="str">
        <f t="shared" si="214"/>
        <v/>
      </c>
      <c r="M561" s="106" t="str">
        <f t="shared" si="201"/>
        <v/>
      </c>
    </row>
    <row r="562" spans="1:14" s="5" customFormat="1" ht="30" customHeight="1" x14ac:dyDescent="0.25">
      <c r="A562" s="14" t="s">
        <v>7</v>
      </c>
      <c r="B562" s="16" t="s">
        <v>78</v>
      </c>
      <c r="C562" s="25" t="s">
        <v>61</v>
      </c>
      <c r="D562" s="81" t="s">
        <v>84</v>
      </c>
      <c r="E562" s="38">
        <v>0</v>
      </c>
      <c r="F562" s="39">
        <v>0</v>
      </c>
      <c r="G562" s="40">
        <v>0</v>
      </c>
      <c r="H562" s="41">
        <v>0</v>
      </c>
      <c r="I562" s="42">
        <f t="shared" si="213"/>
        <v>0</v>
      </c>
      <c r="J562" s="103" t="str">
        <f t="shared" si="214"/>
        <v/>
      </c>
      <c r="K562" s="104" t="str">
        <f t="shared" si="214"/>
        <v/>
      </c>
      <c r="L562" s="105" t="str">
        <f t="shared" si="214"/>
        <v/>
      </c>
      <c r="M562" s="106" t="str">
        <f t="shared" si="201"/>
        <v/>
      </c>
    </row>
    <row r="563" spans="1:14" s="5" customFormat="1" ht="30" customHeight="1" x14ac:dyDescent="0.25">
      <c r="A563" s="14" t="s">
        <v>7</v>
      </c>
      <c r="B563" s="16" t="s">
        <v>78</v>
      </c>
      <c r="C563" s="25" t="s">
        <v>86</v>
      </c>
      <c r="D563" s="81" t="s">
        <v>79</v>
      </c>
      <c r="E563" s="38">
        <v>0</v>
      </c>
      <c r="F563" s="39">
        <v>0</v>
      </c>
      <c r="G563" s="40">
        <v>0</v>
      </c>
      <c r="H563" s="41">
        <v>0</v>
      </c>
      <c r="I563" s="42">
        <f t="shared" si="213"/>
        <v>0</v>
      </c>
      <c r="J563" s="103" t="str">
        <f t="shared" si="214"/>
        <v/>
      </c>
      <c r="K563" s="104" t="str">
        <f t="shared" si="214"/>
        <v/>
      </c>
      <c r="L563" s="105" t="str">
        <f t="shared" si="214"/>
        <v/>
      </c>
      <c r="M563" s="106" t="str">
        <f t="shared" si="201"/>
        <v/>
      </c>
      <c r="N563" s="5" t="s">
        <v>1671</v>
      </c>
    </row>
    <row r="564" spans="1:14" ht="5.0999999999999996" customHeight="1" x14ac:dyDescent="0.25">
      <c r="A564" s="14" t="s">
        <v>7</v>
      </c>
      <c r="B564" s="16" t="s">
        <v>78</v>
      </c>
      <c r="C564"/>
      <c r="D564" s="57"/>
      <c r="E564" s="59"/>
      <c r="F564" s="59"/>
      <c r="G564" s="59"/>
      <c r="H564" s="59"/>
      <c r="I564" s="59"/>
      <c r="J564" s="103"/>
      <c r="K564" s="104"/>
      <c r="L564" s="105"/>
      <c r="M564" s="106" t="str">
        <f t="shared" si="201"/>
        <v/>
      </c>
    </row>
    <row r="565" spans="1:14" s="5" customFormat="1" ht="20.100000000000001" customHeight="1" x14ac:dyDescent="0.25">
      <c r="A565" s="14" t="s">
        <v>7</v>
      </c>
      <c r="B565" s="16" t="s">
        <v>91</v>
      </c>
      <c r="C565" s="25" t="s">
        <v>60</v>
      </c>
      <c r="D565" s="6" t="s">
        <v>89</v>
      </c>
      <c r="E565" s="37"/>
      <c r="F565" s="37"/>
      <c r="G565" s="37"/>
      <c r="H565" s="37"/>
      <c r="I565" s="48"/>
      <c r="J565" s="103"/>
      <c r="K565" s="104"/>
      <c r="L565" s="105"/>
      <c r="M565" s="106" t="str">
        <f t="shared" si="201"/>
        <v/>
      </c>
      <c r="N565" s="5" t="s">
        <v>1673</v>
      </c>
    </row>
    <row r="566" spans="1:14" s="5" customFormat="1" ht="30" customHeight="1" x14ac:dyDescent="0.25">
      <c r="A566" s="14" t="s">
        <v>7</v>
      </c>
      <c r="B566" s="16" t="s">
        <v>91</v>
      </c>
      <c r="C566" s="25" t="s">
        <v>61</v>
      </c>
      <c r="D566" s="82" t="s">
        <v>90</v>
      </c>
      <c r="E566" s="38">
        <v>0</v>
      </c>
      <c r="F566" s="39">
        <v>0</v>
      </c>
      <c r="G566" s="40">
        <v>0</v>
      </c>
      <c r="H566" s="41">
        <v>0</v>
      </c>
      <c r="I566" s="42">
        <f t="shared" ref="I566" si="215">SUM(E566:H566)</f>
        <v>0</v>
      </c>
      <c r="J566" s="103" t="str">
        <f>IFERROR(E566/$I566*100,"")</f>
        <v/>
      </c>
      <c r="K566" s="104" t="str">
        <f>IFERROR(F566/$I566*100,"")</f>
        <v/>
      </c>
      <c r="L566" s="105" t="str">
        <f>IFERROR(G566/$I566*100,"")</f>
        <v/>
      </c>
      <c r="M566" s="106" t="str">
        <f t="shared" si="201"/>
        <v/>
      </c>
      <c r="N566" s="5" t="s">
        <v>1671</v>
      </c>
    </row>
    <row r="567" spans="1:14" ht="5.0999999999999996" customHeight="1" x14ac:dyDescent="0.25">
      <c r="A567" s="14" t="s">
        <v>7</v>
      </c>
      <c r="B567" s="16" t="s">
        <v>91</v>
      </c>
      <c r="C567"/>
      <c r="D567" s="57"/>
      <c r="E567" s="59"/>
      <c r="F567" s="59"/>
      <c r="G567" s="59"/>
      <c r="H567" s="59"/>
      <c r="I567" s="59"/>
      <c r="J567" s="103"/>
      <c r="K567" s="104"/>
      <c r="L567" s="105"/>
      <c r="M567" s="106" t="str">
        <f t="shared" si="201"/>
        <v/>
      </c>
    </row>
    <row r="568" spans="1:14" s="5" customFormat="1" ht="20.100000000000001" customHeight="1" x14ac:dyDescent="0.25">
      <c r="A568" s="14" t="s">
        <v>7</v>
      </c>
      <c r="B568" s="16" t="s">
        <v>1916</v>
      </c>
      <c r="C568" s="25" t="s">
        <v>60</v>
      </c>
      <c r="D568" s="6" t="s">
        <v>1853</v>
      </c>
      <c r="E568" s="37"/>
      <c r="F568" s="37"/>
      <c r="G568" s="37"/>
      <c r="H568" s="37"/>
      <c r="I568" s="48"/>
      <c r="J568" s="103"/>
      <c r="K568" s="104"/>
      <c r="L568" s="105"/>
      <c r="M568" s="106" t="str">
        <f t="shared" si="201"/>
        <v/>
      </c>
      <c r="N568" s="5" t="s">
        <v>1673</v>
      </c>
    </row>
    <row r="569" spans="1:14" s="5" customFormat="1" ht="30" customHeight="1" x14ac:dyDescent="0.25">
      <c r="A569" s="14" t="s">
        <v>7</v>
      </c>
      <c r="B569" s="16" t="s">
        <v>1916</v>
      </c>
      <c r="C569" s="25" t="s">
        <v>61</v>
      </c>
      <c r="D569" s="175" t="s">
        <v>1917</v>
      </c>
      <c r="E569" s="38">
        <v>0</v>
      </c>
      <c r="F569" s="39">
        <v>0</v>
      </c>
      <c r="G569" s="40">
        <v>0</v>
      </c>
      <c r="H569" s="41">
        <v>0</v>
      </c>
      <c r="I569" s="42">
        <f t="shared" ref="I569" si="216">SUM(E569:H569)</f>
        <v>0</v>
      </c>
      <c r="J569" s="103" t="str">
        <f>IFERROR(E569/$I569*100,"")</f>
        <v/>
      </c>
      <c r="K569" s="104" t="str">
        <f>IFERROR(F569/$I569*100,"")</f>
        <v/>
      </c>
      <c r="L569" s="105" t="str">
        <f>IFERROR(G569/$I569*100,"")</f>
        <v/>
      </c>
      <c r="M569" s="106" t="str">
        <f t="shared" si="201"/>
        <v/>
      </c>
      <c r="N569" s="5" t="s">
        <v>1671</v>
      </c>
    </row>
    <row r="570" spans="1:14" ht="5.0999999999999996" customHeight="1" x14ac:dyDescent="0.25">
      <c r="A570" s="14" t="s">
        <v>7</v>
      </c>
      <c r="B570" s="16" t="s">
        <v>1916</v>
      </c>
      <c r="C570"/>
      <c r="D570" s="57"/>
      <c r="E570" s="59"/>
      <c r="F570" s="59"/>
      <c r="G570" s="59"/>
      <c r="H570" s="59"/>
      <c r="I570" s="59"/>
      <c r="J570" s="103"/>
      <c r="K570" s="104"/>
      <c r="L570" s="105"/>
      <c r="M570" s="106" t="str">
        <f t="shared" si="201"/>
        <v/>
      </c>
    </row>
    <row r="571" spans="1:14" s="5" customFormat="1" ht="20.100000000000001" customHeight="1" x14ac:dyDescent="0.25">
      <c r="A571" s="14" t="s">
        <v>7</v>
      </c>
      <c r="B571" s="16" t="s">
        <v>1637</v>
      </c>
      <c r="C571" s="25" t="s">
        <v>60</v>
      </c>
      <c r="D571" s="6" t="s">
        <v>1636</v>
      </c>
      <c r="E571" s="37"/>
      <c r="F571" s="37"/>
      <c r="G571" s="37"/>
      <c r="H571" s="37"/>
      <c r="I571" s="48"/>
      <c r="J571" s="103"/>
      <c r="K571" s="104"/>
      <c r="L571" s="105"/>
      <c r="M571" s="106" t="str">
        <f t="shared" si="201"/>
        <v/>
      </c>
      <c r="N571" s="5" t="s">
        <v>1673</v>
      </c>
    </row>
    <row r="572" spans="1:14" s="3" customFormat="1" ht="30" customHeight="1" x14ac:dyDescent="0.25">
      <c r="A572" s="14" t="s">
        <v>7</v>
      </c>
      <c r="B572" s="16" t="s">
        <v>1637</v>
      </c>
      <c r="C572" s="25" t="s">
        <v>61</v>
      </c>
      <c r="D572" s="87" t="s">
        <v>1638</v>
      </c>
      <c r="E572" s="38">
        <v>0</v>
      </c>
      <c r="F572" s="39">
        <v>0</v>
      </c>
      <c r="G572" s="40">
        <v>0</v>
      </c>
      <c r="H572" s="41">
        <v>0</v>
      </c>
      <c r="I572" s="42">
        <f t="shared" ref="I572:I577" si="217">SUM(E572:H572)</f>
        <v>0</v>
      </c>
      <c r="J572" s="103" t="str">
        <f t="shared" ref="J572:L576" si="218">IFERROR(E572/$I572*100,"")</f>
        <v/>
      </c>
      <c r="K572" s="104" t="str">
        <f t="shared" si="218"/>
        <v/>
      </c>
      <c r="L572" s="105" t="str">
        <f t="shared" si="218"/>
        <v/>
      </c>
      <c r="M572" s="106" t="str">
        <f t="shared" si="201"/>
        <v/>
      </c>
    </row>
    <row r="573" spans="1:14" s="3" customFormat="1" ht="30" customHeight="1" x14ac:dyDescent="0.25">
      <c r="A573" s="14" t="s">
        <v>7</v>
      </c>
      <c r="B573" s="16" t="s">
        <v>1637</v>
      </c>
      <c r="C573" s="25" t="s">
        <v>61</v>
      </c>
      <c r="D573" s="87" t="s">
        <v>1669</v>
      </c>
      <c r="E573" s="38">
        <v>0</v>
      </c>
      <c r="F573" s="39">
        <v>0</v>
      </c>
      <c r="G573" s="40">
        <v>0</v>
      </c>
      <c r="H573" s="41">
        <v>0</v>
      </c>
      <c r="I573" s="42">
        <f t="shared" si="217"/>
        <v>0</v>
      </c>
      <c r="J573" s="103" t="str">
        <f t="shared" si="218"/>
        <v/>
      </c>
      <c r="K573" s="104" t="str">
        <f t="shared" si="218"/>
        <v/>
      </c>
      <c r="L573" s="105" t="str">
        <f t="shared" si="218"/>
        <v/>
      </c>
      <c r="M573" s="106" t="str">
        <f t="shared" si="201"/>
        <v/>
      </c>
    </row>
    <row r="574" spans="1:14" s="3" customFormat="1" ht="30" customHeight="1" x14ac:dyDescent="0.25">
      <c r="A574" s="14" t="s">
        <v>7</v>
      </c>
      <c r="B574" s="16" t="s">
        <v>1637</v>
      </c>
      <c r="C574" s="25" t="s">
        <v>61</v>
      </c>
      <c r="D574" s="87" t="s">
        <v>1640</v>
      </c>
      <c r="E574" s="38">
        <v>0</v>
      </c>
      <c r="F574" s="39">
        <v>0</v>
      </c>
      <c r="G574" s="40">
        <v>0</v>
      </c>
      <c r="H574" s="41">
        <v>0</v>
      </c>
      <c r="I574" s="42">
        <f t="shared" si="217"/>
        <v>0</v>
      </c>
      <c r="J574" s="103" t="str">
        <f t="shared" si="218"/>
        <v/>
      </c>
      <c r="K574" s="104" t="str">
        <f t="shared" si="218"/>
        <v/>
      </c>
      <c r="L574" s="105" t="str">
        <f t="shared" si="218"/>
        <v/>
      </c>
      <c r="M574" s="106" t="str">
        <f t="shared" si="201"/>
        <v/>
      </c>
    </row>
    <row r="575" spans="1:14" s="3" customFormat="1" ht="30" customHeight="1" x14ac:dyDescent="0.25">
      <c r="A575" s="14" t="s">
        <v>7</v>
      </c>
      <c r="B575" s="16" t="s">
        <v>1637</v>
      </c>
      <c r="C575" s="25" t="s">
        <v>61</v>
      </c>
      <c r="D575" s="87" t="s">
        <v>1639</v>
      </c>
      <c r="E575" s="38">
        <v>0</v>
      </c>
      <c r="F575" s="39">
        <v>0</v>
      </c>
      <c r="G575" s="40">
        <v>0</v>
      </c>
      <c r="H575" s="41">
        <v>0</v>
      </c>
      <c r="I575" s="42">
        <f t="shared" si="217"/>
        <v>0</v>
      </c>
      <c r="J575" s="103" t="str">
        <f t="shared" si="218"/>
        <v/>
      </c>
      <c r="K575" s="104" t="str">
        <f t="shared" si="218"/>
        <v/>
      </c>
      <c r="L575" s="105" t="str">
        <f t="shared" si="218"/>
        <v/>
      </c>
      <c r="M575" s="106" t="str">
        <f t="shared" si="201"/>
        <v/>
      </c>
    </row>
    <row r="576" spans="1:14" s="3" customFormat="1" ht="30" customHeight="1" x14ac:dyDescent="0.25">
      <c r="A576" s="14" t="s">
        <v>7</v>
      </c>
      <c r="B576" s="16" t="s">
        <v>1637</v>
      </c>
      <c r="C576" s="25" t="s">
        <v>61</v>
      </c>
      <c r="D576" s="87" t="s">
        <v>1641</v>
      </c>
      <c r="E576" s="38">
        <v>0</v>
      </c>
      <c r="F576" s="39">
        <v>0</v>
      </c>
      <c r="G576" s="40">
        <v>0</v>
      </c>
      <c r="H576" s="41">
        <v>0</v>
      </c>
      <c r="I576" s="42">
        <f t="shared" si="217"/>
        <v>0</v>
      </c>
      <c r="J576" s="103" t="str">
        <f t="shared" si="218"/>
        <v/>
      </c>
      <c r="K576" s="104" t="str">
        <f t="shared" si="218"/>
        <v/>
      </c>
      <c r="L576" s="105" t="str">
        <f t="shared" si="218"/>
        <v/>
      </c>
      <c r="M576" s="106" t="str">
        <f t="shared" si="201"/>
        <v/>
      </c>
    </row>
    <row r="577" spans="1:14" s="3" customFormat="1" ht="30" customHeight="1" x14ac:dyDescent="0.25">
      <c r="A577" s="14" t="s">
        <v>7</v>
      </c>
      <c r="B577" s="16" t="s">
        <v>1637</v>
      </c>
      <c r="C577" s="25"/>
      <c r="D577" s="87" t="s">
        <v>29</v>
      </c>
      <c r="E577" s="38">
        <f>SUM(E572:E576)</f>
        <v>0</v>
      </c>
      <c r="F577" s="39">
        <f>SUM(F572:F576)</f>
        <v>0</v>
      </c>
      <c r="G577" s="40">
        <f>SUM(G572:G576)</f>
        <v>0</v>
      </c>
      <c r="H577" s="41">
        <f>SUM(H572:H576)</f>
        <v>0</v>
      </c>
      <c r="I577" s="42">
        <f t="shared" si="217"/>
        <v>0</v>
      </c>
      <c r="J577" s="103" t="str">
        <f>IFERROR(E577/SUM($E577:$H577)*100,"")</f>
        <v/>
      </c>
      <c r="K577" s="104" t="str">
        <f>IFERROR(F577/SUM($E577:$H577)*100,"")</f>
        <v/>
      </c>
      <c r="L577" s="105" t="str">
        <f>IFERROR(G577/SUM($E577:$H577)*100,"")</f>
        <v/>
      </c>
      <c r="M577" s="106" t="str">
        <f t="shared" si="201"/>
        <v/>
      </c>
      <c r="N577" s="5" t="s">
        <v>1671</v>
      </c>
    </row>
    <row r="578" spans="1:14" ht="5.0999999999999996" customHeight="1" x14ac:dyDescent="0.25">
      <c r="A578" s="14" t="s">
        <v>7</v>
      </c>
      <c r="B578" s="16" t="s">
        <v>1637</v>
      </c>
      <c r="C578"/>
      <c r="J578" s="103"/>
      <c r="K578" s="104"/>
      <c r="L578" s="105"/>
      <c r="M578" s="106" t="str">
        <f t="shared" si="201"/>
        <v/>
      </c>
    </row>
    <row r="579" spans="1:14" s="5" customFormat="1" ht="20.100000000000001" customHeight="1" x14ac:dyDescent="0.25">
      <c r="A579" s="14" t="s">
        <v>7</v>
      </c>
      <c r="B579" s="16" t="s">
        <v>42</v>
      </c>
      <c r="C579" s="25" t="s">
        <v>60</v>
      </c>
      <c r="D579" s="6" t="s">
        <v>1744</v>
      </c>
      <c r="E579" s="37"/>
      <c r="F579" s="37"/>
      <c r="G579" s="37"/>
      <c r="H579" s="37"/>
      <c r="I579" s="48"/>
      <c r="J579" s="103"/>
      <c r="K579" s="104"/>
      <c r="L579" s="105"/>
      <c r="M579" s="106" t="str">
        <f t="shared" si="201"/>
        <v/>
      </c>
      <c r="N579" s="5" t="s">
        <v>1673</v>
      </c>
    </row>
    <row r="580" spans="1:14" s="3" customFormat="1" ht="30" customHeight="1" x14ac:dyDescent="0.25">
      <c r="A580" s="14" t="s">
        <v>7</v>
      </c>
      <c r="B580" s="16" t="s">
        <v>42</v>
      </c>
      <c r="C580" s="25" t="s">
        <v>61</v>
      </c>
      <c r="D580" s="12" t="s">
        <v>43</v>
      </c>
      <c r="E580" s="38">
        <v>0</v>
      </c>
      <c r="F580" s="39">
        <v>0</v>
      </c>
      <c r="G580" s="40">
        <v>0</v>
      </c>
      <c r="H580" s="41">
        <v>0</v>
      </c>
      <c r="I580" s="42">
        <f t="shared" ref="I580:I589" si="219">SUM(E580:H580)</f>
        <v>0</v>
      </c>
      <c r="J580" s="103" t="str">
        <f t="shared" ref="J580:J589" si="220">IFERROR(E580/$I580*100,"")</f>
        <v/>
      </c>
      <c r="K580" s="104" t="str">
        <f t="shared" ref="K580:K589" si="221">IFERROR(F580/$I580*100,"")</f>
        <v/>
      </c>
      <c r="L580" s="105" t="str">
        <f t="shared" ref="L580:L589" si="222">IFERROR(G580/$I580*100,"")</f>
        <v/>
      </c>
      <c r="M580" s="106" t="str">
        <f t="shared" si="201"/>
        <v/>
      </c>
    </row>
    <row r="581" spans="1:14" s="3" customFormat="1" ht="30" customHeight="1" x14ac:dyDescent="0.25">
      <c r="A581" s="14" t="s">
        <v>7</v>
      </c>
      <c r="B581" s="16" t="s">
        <v>42</v>
      </c>
      <c r="C581" s="25" t="s">
        <v>61</v>
      </c>
      <c r="D581" s="12" t="s">
        <v>44</v>
      </c>
      <c r="E581" s="38">
        <v>0</v>
      </c>
      <c r="F581" s="39">
        <v>0</v>
      </c>
      <c r="G581" s="40">
        <v>0</v>
      </c>
      <c r="H581" s="41">
        <v>0</v>
      </c>
      <c r="I581" s="42">
        <f t="shared" si="219"/>
        <v>0</v>
      </c>
      <c r="J581" s="103" t="str">
        <f t="shared" si="220"/>
        <v/>
      </c>
      <c r="K581" s="104" t="str">
        <f t="shared" si="221"/>
        <v/>
      </c>
      <c r="L581" s="105" t="str">
        <f t="shared" si="222"/>
        <v/>
      </c>
      <c r="M581" s="106" t="str">
        <f t="shared" si="201"/>
        <v/>
      </c>
    </row>
    <row r="582" spans="1:14" s="3" customFormat="1" ht="30" customHeight="1" x14ac:dyDescent="0.25">
      <c r="A582" s="14" t="s">
        <v>7</v>
      </c>
      <c r="B582" s="16" t="s">
        <v>42</v>
      </c>
      <c r="C582" s="25" t="s">
        <v>61</v>
      </c>
      <c r="D582" s="12" t="s">
        <v>45</v>
      </c>
      <c r="E582" s="38">
        <v>0</v>
      </c>
      <c r="F582" s="39">
        <v>0</v>
      </c>
      <c r="G582" s="40">
        <v>0</v>
      </c>
      <c r="H582" s="41">
        <v>0</v>
      </c>
      <c r="I582" s="42">
        <f t="shared" si="219"/>
        <v>0</v>
      </c>
      <c r="J582" s="103" t="str">
        <f t="shared" si="220"/>
        <v/>
      </c>
      <c r="K582" s="104" t="str">
        <f t="shared" si="221"/>
        <v/>
      </c>
      <c r="L582" s="105" t="str">
        <f t="shared" si="222"/>
        <v/>
      </c>
      <c r="M582" s="106" t="str">
        <f t="shared" si="201"/>
        <v/>
      </c>
    </row>
    <row r="583" spans="1:14" s="3" customFormat="1" ht="30" customHeight="1" x14ac:dyDescent="0.25">
      <c r="A583" s="14" t="s">
        <v>7</v>
      </c>
      <c r="B583" s="16" t="s">
        <v>42</v>
      </c>
      <c r="C583" s="25" t="s">
        <v>61</v>
      </c>
      <c r="D583" s="12" t="s">
        <v>46</v>
      </c>
      <c r="E583" s="38">
        <v>0</v>
      </c>
      <c r="F583" s="39">
        <v>0</v>
      </c>
      <c r="G583" s="40">
        <v>0</v>
      </c>
      <c r="H583" s="41">
        <v>0</v>
      </c>
      <c r="I583" s="42">
        <f t="shared" si="219"/>
        <v>0</v>
      </c>
      <c r="J583" s="103" t="str">
        <f t="shared" si="220"/>
        <v/>
      </c>
      <c r="K583" s="104" t="str">
        <f t="shared" si="221"/>
        <v/>
      </c>
      <c r="L583" s="105" t="str">
        <f t="shared" si="222"/>
        <v/>
      </c>
      <c r="M583" s="106" t="str">
        <f t="shared" si="201"/>
        <v/>
      </c>
    </row>
    <row r="584" spans="1:14" s="3" customFormat="1" ht="30" customHeight="1" x14ac:dyDescent="0.25">
      <c r="A584" s="14" t="s">
        <v>7</v>
      </c>
      <c r="B584" s="16" t="s">
        <v>42</v>
      </c>
      <c r="C584" s="25" t="s">
        <v>61</v>
      </c>
      <c r="D584" s="12" t="s">
        <v>51</v>
      </c>
      <c r="E584" s="38">
        <v>0</v>
      </c>
      <c r="F584" s="39">
        <v>0</v>
      </c>
      <c r="G584" s="40">
        <v>0</v>
      </c>
      <c r="H584" s="41">
        <v>0</v>
      </c>
      <c r="I584" s="42">
        <f t="shared" si="219"/>
        <v>0</v>
      </c>
      <c r="J584" s="103" t="str">
        <f t="shared" si="220"/>
        <v/>
      </c>
      <c r="K584" s="104" t="str">
        <f t="shared" si="221"/>
        <v/>
      </c>
      <c r="L584" s="105" t="str">
        <f t="shared" si="222"/>
        <v/>
      </c>
      <c r="M584" s="106" t="str">
        <f t="shared" si="201"/>
        <v/>
      </c>
    </row>
    <row r="585" spans="1:14" s="3" customFormat="1" ht="30" customHeight="1" x14ac:dyDescent="0.25">
      <c r="A585" s="14" t="s">
        <v>7</v>
      </c>
      <c r="B585" s="16" t="s">
        <v>42</v>
      </c>
      <c r="C585" s="25" t="s">
        <v>61</v>
      </c>
      <c r="D585" s="12" t="s">
        <v>52</v>
      </c>
      <c r="E585" s="38">
        <v>0</v>
      </c>
      <c r="F585" s="39">
        <v>0</v>
      </c>
      <c r="G585" s="40">
        <v>0</v>
      </c>
      <c r="H585" s="41">
        <v>0</v>
      </c>
      <c r="I585" s="42">
        <f t="shared" si="219"/>
        <v>0</v>
      </c>
      <c r="J585" s="103" t="str">
        <f t="shared" si="220"/>
        <v/>
      </c>
      <c r="K585" s="104" t="str">
        <f t="shared" si="221"/>
        <v/>
      </c>
      <c r="L585" s="105" t="str">
        <f t="shared" si="222"/>
        <v/>
      </c>
      <c r="M585" s="106" t="str">
        <f t="shared" si="201"/>
        <v/>
      </c>
    </row>
    <row r="586" spans="1:14" s="3" customFormat="1" ht="30" customHeight="1" x14ac:dyDescent="0.25">
      <c r="A586" s="14" t="s">
        <v>7</v>
      </c>
      <c r="B586" s="16" t="s">
        <v>42</v>
      </c>
      <c r="C586" s="25" t="s">
        <v>61</v>
      </c>
      <c r="D586" s="12" t="s">
        <v>47</v>
      </c>
      <c r="E586" s="38">
        <v>0</v>
      </c>
      <c r="F586" s="39">
        <v>0</v>
      </c>
      <c r="G586" s="40">
        <v>0</v>
      </c>
      <c r="H586" s="41">
        <v>0</v>
      </c>
      <c r="I586" s="42">
        <f t="shared" si="219"/>
        <v>0</v>
      </c>
      <c r="J586" s="103" t="str">
        <f t="shared" si="220"/>
        <v/>
      </c>
      <c r="K586" s="104" t="str">
        <f t="shared" si="221"/>
        <v/>
      </c>
      <c r="L586" s="105" t="str">
        <f t="shared" si="222"/>
        <v/>
      </c>
      <c r="M586" s="106" t="str">
        <f t="shared" si="201"/>
        <v/>
      </c>
    </row>
    <row r="587" spans="1:14" s="3" customFormat="1" ht="30" customHeight="1" x14ac:dyDescent="0.25">
      <c r="A587" s="14" t="s">
        <v>7</v>
      </c>
      <c r="B587" s="16" t="s">
        <v>42</v>
      </c>
      <c r="C587" s="25" t="s">
        <v>61</v>
      </c>
      <c r="D587" s="12" t="s">
        <v>48</v>
      </c>
      <c r="E587" s="38">
        <v>0</v>
      </c>
      <c r="F587" s="39">
        <v>0</v>
      </c>
      <c r="G587" s="40">
        <v>0</v>
      </c>
      <c r="H587" s="41">
        <v>0</v>
      </c>
      <c r="I587" s="42">
        <f t="shared" si="219"/>
        <v>0</v>
      </c>
      <c r="J587" s="103" t="str">
        <f t="shared" si="220"/>
        <v/>
      </c>
      <c r="K587" s="104" t="str">
        <f t="shared" si="221"/>
        <v/>
      </c>
      <c r="L587" s="105" t="str">
        <f t="shared" si="222"/>
        <v/>
      </c>
      <c r="M587" s="106" t="str">
        <f t="shared" si="201"/>
        <v/>
      </c>
    </row>
    <row r="588" spans="1:14" s="3" customFormat="1" ht="30" customHeight="1" x14ac:dyDescent="0.25">
      <c r="A588" s="14" t="s">
        <v>7</v>
      </c>
      <c r="B588" s="16" t="s">
        <v>42</v>
      </c>
      <c r="C588" s="25" t="s">
        <v>61</v>
      </c>
      <c r="D588" s="12" t="s">
        <v>49</v>
      </c>
      <c r="E588" s="38">
        <v>0</v>
      </c>
      <c r="F588" s="39">
        <v>0</v>
      </c>
      <c r="G588" s="40">
        <v>0</v>
      </c>
      <c r="H588" s="41">
        <v>0</v>
      </c>
      <c r="I588" s="42">
        <f t="shared" si="219"/>
        <v>0</v>
      </c>
      <c r="J588" s="103" t="str">
        <f t="shared" si="220"/>
        <v/>
      </c>
      <c r="K588" s="104" t="str">
        <f t="shared" si="221"/>
        <v/>
      </c>
      <c r="L588" s="105" t="str">
        <f t="shared" si="222"/>
        <v/>
      </c>
      <c r="M588" s="106" t="str">
        <f t="shared" si="201"/>
        <v/>
      </c>
    </row>
    <row r="589" spans="1:14" s="3" customFormat="1" ht="30" customHeight="1" x14ac:dyDescent="0.25">
      <c r="A589" s="14" t="s">
        <v>7</v>
      </c>
      <c r="B589" s="16" t="s">
        <v>42</v>
      </c>
      <c r="C589" s="25" t="s">
        <v>61</v>
      </c>
      <c r="D589" s="12" t="s">
        <v>50</v>
      </c>
      <c r="E589" s="38">
        <v>0</v>
      </c>
      <c r="F589" s="39">
        <v>0</v>
      </c>
      <c r="G589" s="40">
        <v>0</v>
      </c>
      <c r="H589" s="41">
        <v>0</v>
      </c>
      <c r="I589" s="42">
        <f t="shared" si="219"/>
        <v>0</v>
      </c>
      <c r="J589" s="103" t="str">
        <f t="shared" si="220"/>
        <v/>
      </c>
      <c r="K589" s="104" t="str">
        <f t="shared" si="221"/>
        <v/>
      </c>
      <c r="L589" s="105" t="str">
        <f t="shared" si="222"/>
        <v/>
      </c>
      <c r="M589" s="106" t="str">
        <f t="shared" ref="M589:M652" si="223">IFERROR(H589/$I589*100,"")</f>
        <v/>
      </c>
    </row>
    <row r="590" spans="1:14" s="8" customFormat="1" ht="30" customHeight="1" x14ac:dyDescent="0.25">
      <c r="A590" s="14" t="s">
        <v>7</v>
      </c>
      <c r="B590" s="16" t="s">
        <v>42</v>
      </c>
      <c r="C590" s="25"/>
      <c r="D590" s="9" t="s">
        <v>29</v>
      </c>
      <c r="E590" s="38">
        <f>SUM(E580:E589)</f>
        <v>0</v>
      </c>
      <c r="F590" s="39">
        <f t="shared" ref="F590" si="224">SUM(F580:F589)</f>
        <v>0</v>
      </c>
      <c r="G590" s="40">
        <f t="shared" ref="G590" si="225">SUM(G580:G589)</f>
        <v>0</v>
      </c>
      <c r="H590" s="41">
        <f t="shared" ref="H590" si="226">SUM(H580:H589)</f>
        <v>0</v>
      </c>
      <c r="I590" s="43">
        <f t="shared" ref="I590" si="227">SUM(I580:I589)</f>
        <v>0</v>
      </c>
      <c r="J590" s="103" t="str">
        <f>IFERROR(E590/SUM($E590:$H590)*100,"")</f>
        <v/>
      </c>
      <c r="K590" s="104" t="str">
        <f>IFERROR(F590/SUM($E590:$H590)*100,"")</f>
        <v/>
      </c>
      <c r="L590" s="105" t="str">
        <f>IFERROR(G590/SUM($E590:$H590)*100,"")</f>
        <v/>
      </c>
      <c r="M590" s="106" t="str">
        <f t="shared" si="223"/>
        <v/>
      </c>
      <c r="N590" s="5" t="s">
        <v>1671</v>
      </c>
    </row>
    <row r="591" spans="1:14" ht="5.0999999999999996" customHeight="1" x14ac:dyDescent="0.25">
      <c r="A591" s="14" t="s">
        <v>7</v>
      </c>
      <c r="B591" s="16" t="s">
        <v>42</v>
      </c>
      <c r="C591"/>
      <c r="E591" s="59"/>
      <c r="F591" s="59"/>
      <c r="G591" s="59"/>
      <c r="H591" s="59"/>
      <c r="I591" s="59"/>
      <c r="J591" s="103"/>
      <c r="K591" s="104"/>
      <c r="L591" s="105"/>
      <c r="M591" s="106" t="str">
        <f t="shared" si="223"/>
        <v/>
      </c>
    </row>
    <row r="592" spans="1:14" s="7" customFormat="1" ht="20.100000000000001" customHeight="1" x14ac:dyDescent="0.25">
      <c r="A592" s="14" t="s">
        <v>7</v>
      </c>
      <c r="B592" s="16" t="s">
        <v>62</v>
      </c>
      <c r="C592" s="25" t="s">
        <v>60</v>
      </c>
      <c r="D592" s="62" t="s">
        <v>63</v>
      </c>
      <c r="E592" s="63"/>
      <c r="F592" s="63"/>
      <c r="G592" s="63"/>
      <c r="H592" s="63"/>
      <c r="I592" s="64"/>
      <c r="J592" s="103"/>
      <c r="K592" s="104"/>
      <c r="L592" s="105"/>
      <c r="M592" s="106" t="str">
        <f t="shared" si="223"/>
        <v/>
      </c>
      <c r="N592" s="5" t="s">
        <v>1673</v>
      </c>
    </row>
    <row r="593" spans="1:14" s="8" customFormat="1" ht="30" customHeight="1" x14ac:dyDescent="0.25">
      <c r="A593" s="14" t="s">
        <v>7</v>
      </c>
      <c r="B593" s="16" t="s">
        <v>62</v>
      </c>
      <c r="C593" s="25"/>
      <c r="D593" s="12" t="s">
        <v>29</v>
      </c>
      <c r="E593" s="38" t="e">
        <f>SUM(E543,E532,E551,E590,E546,E554,E563,E566,E577,#REF!)</f>
        <v>#REF!</v>
      </c>
      <c r="F593" s="39" t="e">
        <f>SUM(F543,F532,F551,F590,F546,F554,F563,F566,F577,#REF!)</f>
        <v>#REF!</v>
      </c>
      <c r="G593" s="40" t="e">
        <f>SUM(G543,G532,G551,G590,G546,G554,G563,G566,G577,#REF!)</f>
        <v>#REF!</v>
      </c>
      <c r="H593" s="41" t="e">
        <f>SUM(H543,H532,H551,H590,H546,H554,H563,H566,H577,#REF!)</f>
        <v>#REF!</v>
      </c>
      <c r="I593" s="42" t="e">
        <f>SUM(I543,I532,I551,I590,I546,I554,I563,I566,I577,#REF!)</f>
        <v>#REF!</v>
      </c>
      <c r="J593" s="103" t="str">
        <f>IFERROR(E593/SUM($E593:$H593)*100,"")</f>
        <v/>
      </c>
      <c r="K593" s="104" t="str">
        <f>IFERROR(F593/SUM($E593:$H593)*100,"")</f>
        <v/>
      </c>
      <c r="L593" s="105" t="str">
        <f>IFERROR(G593/SUM($E593:$H593)*100,"")</f>
        <v/>
      </c>
      <c r="M593" s="106" t="str">
        <f t="shared" si="223"/>
        <v/>
      </c>
      <c r="N593" s="5" t="s">
        <v>1671</v>
      </c>
    </row>
    <row r="594" spans="1:14" s="5" customFormat="1" ht="20.100000000000001" customHeight="1" x14ac:dyDescent="0.25">
      <c r="A594" s="14" t="s">
        <v>7</v>
      </c>
      <c r="B594" s="14"/>
      <c r="C594" s="25" t="s">
        <v>60</v>
      </c>
      <c r="D594" s="58"/>
      <c r="E594" s="60"/>
      <c r="F594" s="60"/>
      <c r="G594" s="60"/>
      <c r="H594" s="60"/>
      <c r="I594" s="60"/>
      <c r="J594" s="103"/>
      <c r="K594" s="104"/>
      <c r="L594" s="105"/>
      <c r="M594" s="106" t="str">
        <f t="shared" si="223"/>
        <v/>
      </c>
    </row>
    <row r="595" spans="1:14" s="5" customFormat="1" ht="20.100000000000001" customHeight="1" x14ac:dyDescent="0.25">
      <c r="A595" s="14" t="s">
        <v>13</v>
      </c>
      <c r="B595" s="14"/>
      <c r="C595" s="25" t="s">
        <v>60</v>
      </c>
      <c r="D595" s="20" t="str">
        <f>IFERROR(A595&amp;"   ("&amp;COUNTIFS(#REF!,"="&amp;A595)&amp;")",A595)</f>
        <v>DOF</v>
      </c>
      <c r="E595" s="45"/>
      <c r="F595" s="45"/>
      <c r="G595" s="45"/>
      <c r="H595" s="45"/>
      <c r="I595" s="46"/>
      <c r="J595" s="103"/>
      <c r="K595" s="104"/>
      <c r="L595" s="105"/>
      <c r="M595" s="106" t="str">
        <f t="shared" si="223"/>
        <v/>
      </c>
      <c r="N595" s="5" t="s">
        <v>1672</v>
      </c>
    </row>
    <row r="596" spans="1:14" s="5" customFormat="1" ht="20.100000000000001" customHeight="1" x14ac:dyDescent="0.25">
      <c r="A596" s="14" t="s">
        <v>13</v>
      </c>
      <c r="B596" s="16" t="s">
        <v>20</v>
      </c>
      <c r="C596" s="25" t="s">
        <v>60</v>
      </c>
      <c r="D596" s="6" t="s">
        <v>20</v>
      </c>
      <c r="E596" s="37"/>
      <c r="F596" s="37"/>
      <c r="G596" s="37"/>
      <c r="H596" s="37"/>
      <c r="I596" s="48"/>
      <c r="J596" s="103"/>
      <c r="K596" s="104"/>
      <c r="L596" s="105"/>
      <c r="M596" s="106" t="str">
        <f t="shared" si="223"/>
        <v/>
      </c>
      <c r="N596" s="5" t="s">
        <v>1673</v>
      </c>
    </row>
    <row r="597" spans="1:14" s="5" customFormat="1" ht="30" customHeight="1" x14ac:dyDescent="0.25">
      <c r="A597" s="14" t="s">
        <v>13</v>
      </c>
      <c r="B597" s="16" t="s">
        <v>20</v>
      </c>
      <c r="C597" s="25" t="s">
        <v>61</v>
      </c>
      <c r="D597" s="12" t="s">
        <v>25</v>
      </c>
      <c r="E597" s="38">
        <v>0</v>
      </c>
      <c r="F597" s="39">
        <v>0</v>
      </c>
      <c r="G597" s="40">
        <v>0</v>
      </c>
      <c r="H597" s="41">
        <v>0</v>
      </c>
      <c r="I597" s="42">
        <f>SUM(E597:H597)</f>
        <v>0</v>
      </c>
      <c r="J597" s="103" t="str">
        <f>IFERROR(E597/$I597*100,"")</f>
        <v/>
      </c>
      <c r="K597" s="104" t="str">
        <f>IFERROR(F597/$I597*100,"")</f>
        <v/>
      </c>
      <c r="L597" s="105" t="str">
        <f>IFERROR(G597/$I597*100,"")</f>
        <v/>
      </c>
      <c r="M597" s="106" t="str">
        <f t="shared" si="223"/>
        <v/>
      </c>
      <c r="N597" s="5" t="s">
        <v>1671</v>
      </c>
    </row>
    <row r="598" spans="1:14" ht="5.0999999999999996" customHeight="1" x14ac:dyDescent="0.25">
      <c r="A598" s="14" t="s">
        <v>13</v>
      </c>
      <c r="B598" s="16" t="s">
        <v>20</v>
      </c>
      <c r="C598"/>
      <c r="D598" s="57"/>
      <c r="E598" s="59"/>
      <c r="F598" s="59"/>
      <c r="G598" s="59"/>
      <c r="H598" s="59"/>
      <c r="I598" s="59"/>
      <c r="J598" s="103"/>
      <c r="K598" s="104"/>
      <c r="L598" s="105"/>
      <c r="M598" s="106" t="str">
        <f t="shared" si="223"/>
        <v/>
      </c>
    </row>
    <row r="599" spans="1:14" s="5" customFormat="1" ht="20.100000000000001" customHeight="1" x14ac:dyDescent="0.25">
      <c r="A599" s="14" t="s">
        <v>13</v>
      </c>
      <c r="B599" s="16" t="s">
        <v>26</v>
      </c>
      <c r="C599" s="25" t="s">
        <v>60</v>
      </c>
      <c r="D599" s="6" t="s">
        <v>98</v>
      </c>
      <c r="E599" s="37"/>
      <c r="F599" s="37"/>
      <c r="G599" s="37"/>
      <c r="H599" s="37"/>
      <c r="I599" s="47"/>
      <c r="J599" s="103"/>
      <c r="K599" s="104"/>
      <c r="L599" s="105"/>
      <c r="M599" s="106" t="str">
        <f t="shared" si="223"/>
        <v/>
      </c>
      <c r="N599" s="5" t="s">
        <v>1673</v>
      </c>
    </row>
    <row r="600" spans="1:14" s="5" customFormat="1" ht="30" customHeight="1" x14ac:dyDescent="0.25">
      <c r="A600" s="14" t="s">
        <v>13</v>
      </c>
      <c r="B600" s="16" t="s">
        <v>26</v>
      </c>
      <c r="C600" s="25" t="s">
        <v>61</v>
      </c>
      <c r="D600" s="31" t="s">
        <v>21</v>
      </c>
      <c r="E600" s="38">
        <v>0</v>
      </c>
      <c r="F600" s="39">
        <v>0</v>
      </c>
      <c r="G600" s="40">
        <v>0</v>
      </c>
      <c r="H600" s="41">
        <v>0</v>
      </c>
      <c r="I600" s="42">
        <f t="shared" ref="I600:I607" si="228">SUM(E600:H600)</f>
        <v>0</v>
      </c>
      <c r="J600" s="103" t="str">
        <f t="shared" ref="J600:L607" si="229">IFERROR(E600/$I600*100,"")</f>
        <v/>
      </c>
      <c r="K600" s="104" t="str">
        <f t="shared" si="229"/>
        <v/>
      </c>
      <c r="L600" s="105" t="str">
        <f t="shared" si="229"/>
        <v/>
      </c>
      <c r="M600" s="106" t="str">
        <f t="shared" si="223"/>
        <v/>
      </c>
    </row>
    <row r="601" spans="1:14" s="5" customFormat="1" ht="30" customHeight="1" x14ac:dyDescent="0.25">
      <c r="A601" s="14" t="s">
        <v>13</v>
      </c>
      <c r="B601" s="16" t="s">
        <v>26</v>
      </c>
      <c r="C601" s="25" t="s">
        <v>61</v>
      </c>
      <c r="D601" s="31" t="s">
        <v>22</v>
      </c>
      <c r="E601" s="38">
        <v>0</v>
      </c>
      <c r="F601" s="39">
        <v>0</v>
      </c>
      <c r="G601" s="40">
        <v>0</v>
      </c>
      <c r="H601" s="41">
        <v>0</v>
      </c>
      <c r="I601" s="42">
        <f t="shared" si="228"/>
        <v>0</v>
      </c>
      <c r="J601" s="103" t="str">
        <f t="shared" si="229"/>
        <v/>
      </c>
      <c r="K601" s="104" t="str">
        <f t="shared" si="229"/>
        <v/>
      </c>
      <c r="L601" s="105" t="str">
        <f t="shared" si="229"/>
        <v/>
      </c>
      <c r="M601" s="106" t="str">
        <f t="shared" si="223"/>
        <v/>
      </c>
    </row>
    <row r="602" spans="1:14" s="5" customFormat="1" ht="30" customHeight="1" x14ac:dyDescent="0.25">
      <c r="A602" s="14" t="s">
        <v>13</v>
      </c>
      <c r="B602" s="16" t="s">
        <v>26</v>
      </c>
      <c r="C602" s="25" t="s">
        <v>61</v>
      </c>
      <c r="D602" s="31" t="s">
        <v>27</v>
      </c>
      <c r="E602" s="38">
        <v>0</v>
      </c>
      <c r="F602" s="39">
        <v>0</v>
      </c>
      <c r="G602" s="40">
        <v>0</v>
      </c>
      <c r="H602" s="41">
        <v>0</v>
      </c>
      <c r="I602" s="42">
        <f t="shared" si="228"/>
        <v>0</v>
      </c>
      <c r="J602" s="103" t="str">
        <f t="shared" si="229"/>
        <v/>
      </c>
      <c r="K602" s="104" t="str">
        <f t="shared" si="229"/>
        <v/>
      </c>
      <c r="L602" s="105" t="str">
        <f t="shared" si="229"/>
        <v/>
      </c>
      <c r="M602" s="106" t="str">
        <f t="shared" si="223"/>
        <v/>
      </c>
    </row>
    <row r="603" spans="1:14" s="5" customFormat="1" ht="30" customHeight="1" x14ac:dyDescent="0.25">
      <c r="A603" s="14" t="s">
        <v>13</v>
      </c>
      <c r="B603" s="16" t="s">
        <v>26</v>
      </c>
      <c r="C603" s="25" t="s">
        <v>61</v>
      </c>
      <c r="D603" s="31" t="s">
        <v>23</v>
      </c>
      <c r="E603" s="38">
        <v>0</v>
      </c>
      <c r="F603" s="39">
        <v>0</v>
      </c>
      <c r="G603" s="40">
        <v>0</v>
      </c>
      <c r="H603" s="41">
        <v>0</v>
      </c>
      <c r="I603" s="42">
        <f t="shared" si="228"/>
        <v>0</v>
      </c>
      <c r="J603" s="103" t="str">
        <f t="shared" si="229"/>
        <v/>
      </c>
      <c r="K603" s="104" t="str">
        <f t="shared" si="229"/>
        <v/>
      </c>
      <c r="L603" s="105" t="str">
        <f t="shared" si="229"/>
        <v/>
      </c>
      <c r="M603" s="106" t="str">
        <f t="shared" si="223"/>
        <v/>
      </c>
    </row>
    <row r="604" spans="1:14" s="5" customFormat="1" ht="30" customHeight="1" x14ac:dyDescent="0.25">
      <c r="A604" s="14" t="s">
        <v>13</v>
      </c>
      <c r="B604" s="16" t="s">
        <v>26</v>
      </c>
      <c r="C604" s="25" t="s">
        <v>61</v>
      </c>
      <c r="D604" s="31" t="s">
        <v>24</v>
      </c>
      <c r="E604" s="38">
        <v>0</v>
      </c>
      <c r="F604" s="39">
        <v>0</v>
      </c>
      <c r="G604" s="40">
        <v>0</v>
      </c>
      <c r="H604" s="41">
        <v>0</v>
      </c>
      <c r="I604" s="42">
        <f t="shared" si="228"/>
        <v>0</v>
      </c>
      <c r="J604" s="103" t="str">
        <f t="shared" si="229"/>
        <v/>
      </c>
      <c r="K604" s="104" t="str">
        <f t="shared" si="229"/>
        <v/>
      </c>
      <c r="L604" s="105" t="str">
        <f t="shared" si="229"/>
        <v/>
      </c>
      <c r="M604" s="106" t="str">
        <f t="shared" si="223"/>
        <v/>
      </c>
    </row>
    <row r="605" spans="1:14" s="3" customFormat="1" ht="30" customHeight="1" x14ac:dyDescent="0.25">
      <c r="A605" s="14" t="s">
        <v>13</v>
      </c>
      <c r="B605" s="16" t="s">
        <v>26</v>
      </c>
      <c r="C605" s="25" t="s">
        <v>61</v>
      </c>
      <c r="D605" s="31" t="s">
        <v>41</v>
      </c>
      <c r="E605" s="38">
        <v>0</v>
      </c>
      <c r="F605" s="39">
        <v>0</v>
      </c>
      <c r="G605" s="40">
        <v>0</v>
      </c>
      <c r="H605" s="41">
        <v>0</v>
      </c>
      <c r="I605" s="42">
        <f t="shared" si="228"/>
        <v>0</v>
      </c>
      <c r="J605" s="103" t="str">
        <f t="shared" si="229"/>
        <v/>
      </c>
      <c r="K605" s="104" t="str">
        <f t="shared" si="229"/>
        <v/>
      </c>
      <c r="L605" s="105" t="str">
        <f t="shared" si="229"/>
        <v/>
      </c>
      <c r="M605" s="106" t="str">
        <f t="shared" si="223"/>
        <v/>
      </c>
    </row>
    <row r="606" spans="1:14" s="5" customFormat="1" ht="30" customHeight="1" x14ac:dyDescent="0.25">
      <c r="A606" s="14" t="s">
        <v>13</v>
      </c>
      <c r="B606" s="16" t="s">
        <v>26</v>
      </c>
      <c r="C606" s="25" t="s">
        <v>61</v>
      </c>
      <c r="D606" s="31" t="s">
        <v>28</v>
      </c>
      <c r="E606" s="38">
        <v>0</v>
      </c>
      <c r="F606" s="39">
        <v>0</v>
      </c>
      <c r="G606" s="40">
        <v>0</v>
      </c>
      <c r="H606" s="41">
        <v>0</v>
      </c>
      <c r="I606" s="42">
        <f t="shared" si="228"/>
        <v>0</v>
      </c>
      <c r="J606" s="103" t="str">
        <f t="shared" si="229"/>
        <v/>
      </c>
      <c r="K606" s="104" t="str">
        <f t="shared" si="229"/>
        <v/>
      </c>
      <c r="L606" s="105" t="str">
        <f t="shared" si="229"/>
        <v/>
      </c>
      <c r="M606" s="106" t="str">
        <f t="shared" si="223"/>
        <v/>
      </c>
    </row>
    <row r="607" spans="1:14" s="5" customFormat="1" ht="30" customHeight="1" x14ac:dyDescent="0.25">
      <c r="A607" s="14" t="s">
        <v>13</v>
      </c>
      <c r="B607" s="16" t="s">
        <v>26</v>
      </c>
      <c r="C607" s="25" t="s">
        <v>61</v>
      </c>
      <c r="D607" s="31" t="s">
        <v>40</v>
      </c>
      <c r="E607" s="38">
        <v>0</v>
      </c>
      <c r="F607" s="39">
        <v>0</v>
      </c>
      <c r="G607" s="40">
        <v>0</v>
      </c>
      <c r="H607" s="41">
        <v>0</v>
      </c>
      <c r="I607" s="42">
        <f t="shared" si="228"/>
        <v>0</v>
      </c>
      <c r="J607" s="103" t="str">
        <f t="shared" si="229"/>
        <v/>
      </c>
      <c r="K607" s="104" t="str">
        <f t="shared" si="229"/>
        <v/>
      </c>
      <c r="L607" s="105" t="str">
        <f t="shared" si="229"/>
        <v/>
      </c>
      <c r="M607" s="106" t="str">
        <f t="shared" si="223"/>
        <v/>
      </c>
    </row>
    <row r="608" spans="1:14" s="5" customFormat="1" ht="30" customHeight="1" x14ac:dyDescent="0.25">
      <c r="A608" s="14" t="s">
        <v>13</v>
      </c>
      <c r="B608" s="16" t="s">
        <v>26</v>
      </c>
      <c r="C608" s="25"/>
      <c r="D608" s="9" t="s">
        <v>29</v>
      </c>
      <c r="E608" s="38">
        <f>SUM(E600:E607)</f>
        <v>0</v>
      </c>
      <c r="F608" s="39">
        <f t="shared" ref="F608" si="230">SUM(F600:F607)</f>
        <v>0</v>
      </c>
      <c r="G608" s="40">
        <f t="shared" ref="G608" si="231">SUM(G600:G607)</f>
        <v>0</v>
      </c>
      <c r="H608" s="41">
        <f t="shared" ref="H608" si="232">SUM(H600:H607)</f>
        <v>0</v>
      </c>
      <c r="I608" s="43">
        <f t="shared" ref="I608" si="233">SUM(I600:I607)</f>
        <v>0</v>
      </c>
      <c r="J608" s="103" t="str">
        <f>IFERROR(E608/SUM($E608:$H608)*100,"")</f>
        <v/>
      </c>
      <c r="K608" s="104" t="str">
        <f>IFERROR(F608/SUM($E608:$H608)*100,"")</f>
        <v/>
      </c>
      <c r="L608" s="105" t="str">
        <f>IFERROR(G608/SUM($E608:$H608)*100,"")</f>
        <v/>
      </c>
      <c r="M608" s="106" t="str">
        <f t="shared" si="223"/>
        <v/>
      </c>
      <c r="N608" s="5" t="s">
        <v>1671</v>
      </c>
    </row>
    <row r="609" spans="1:14" ht="5.0999999999999996" customHeight="1" x14ac:dyDescent="0.25">
      <c r="A609" s="14" t="s">
        <v>13</v>
      </c>
      <c r="B609" s="16" t="s">
        <v>26</v>
      </c>
      <c r="C609"/>
      <c r="D609" s="57"/>
      <c r="E609" s="59"/>
      <c r="F609" s="59"/>
      <c r="G609" s="59"/>
      <c r="H609" s="59"/>
      <c r="I609" s="59"/>
      <c r="J609" s="103"/>
      <c r="K609" s="104"/>
      <c r="L609" s="105"/>
      <c r="M609" s="106" t="str">
        <f t="shared" si="223"/>
        <v/>
      </c>
    </row>
    <row r="610" spans="1:14" s="5" customFormat="1" ht="20.100000000000001" customHeight="1" x14ac:dyDescent="0.25">
      <c r="A610" s="14" t="s">
        <v>13</v>
      </c>
      <c r="B610" s="16" t="s">
        <v>64</v>
      </c>
      <c r="C610" s="25" t="s">
        <v>60</v>
      </c>
      <c r="D610" s="6" t="s">
        <v>65</v>
      </c>
      <c r="E610" s="37"/>
      <c r="F610" s="37"/>
      <c r="G610" s="37"/>
      <c r="H610" s="37"/>
      <c r="I610" s="48"/>
      <c r="J610" s="103"/>
      <c r="K610" s="104"/>
      <c r="L610" s="105"/>
      <c r="M610" s="106" t="str">
        <f t="shared" si="223"/>
        <v/>
      </c>
      <c r="N610" s="5" t="s">
        <v>1673</v>
      </c>
    </row>
    <row r="611" spans="1:14" s="5" customFormat="1" ht="30" customHeight="1" x14ac:dyDescent="0.25">
      <c r="A611" s="14" t="s">
        <v>13</v>
      </c>
      <c r="B611" s="16" t="s">
        <v>64</v>
      </c>
      <c r="C611" s="25" t="s">
        <v>61</v>
      </c>
      <c r="D611" s="12" t="s">
        <v>66</v>
      </c>
      <c r="E611" s="38">
        <v>0</v>
      </c>
      <c r="F611" s="39">
        <v>0</v>
      </c>
      <c r="G611" s="40">
        <v>0</v>
      </c>
      <c r="H611" s="41">
        <v>0</v>
      </c>
      <c r="I611" s="42">
        <f>SUM(E611:H611)</f>
        <v>0</v>
      </c>
      <c r="J611" s="103" t="str">
        <f>IFERROR(E611/$I611*100,"")</f>
        <v/>
      </c>
      <c r="K611" s="104" t="str">
        <f>IFERROR(F611/$I611*100,"")</f>
        <v/>
      </c>
      <c r="L611" s="105" t="str">
        <f>IFERROR(G611/$I611*100,"")</f>
        <v/>
      </c>
      <c r="M611" s="106" t="str">
        <f t="shared" si="223"/>
        <v/>
      </c>
      <c r="N611" s="5" t="s">
        <v>1671</v>
      </c>
    </row>
    <row r="612" spans="1:14" ht="5.0999999999999996" customHeight="1" x14ac:dyDescent="0.25">
      <c r="A612" s="14" t="s">
        <v>13</v>
      </c>
      <c r="B612" s="16" t="s">
        <v>64</v>
      </c>
      <c r="C612"/>
      <c r="D612" s="57"/>
      <c r="E612" s="59"/>
      <c r="F612" s="59"/>
      <c r="G612" s="59"/>
      <c r="H612" s="59"/>
      <c r="I612" s="59"/>
      <c r="J612" s="103"/>
      <c r="K612" s="104"/>
      <c r="L612" s="105"/>
      <c r="M612" s="106" t="str">
        <f t="shared" si="223"/>
        <v/>
      </c>
    </row>
    <row r="613" spans="1:14" s="5" customFormat="1" ht="20.100000000000001" customHeight="1" x14ac:dyDescent="0.25">
      <c r="A613" s="14" t="s">
        <v>13</v>
      </c>
      <c r="B613" s="16" t="s">
        <v>55</v>
      </c>
      <c r="C613" s="25" t="s">
        <v>60</v>
      </c>
      <c r="D613" s="6" t="s">
        <v>55</v>
      </c>
      <c r="E613" s="37"/>
      <c r="F613" s="37"/>
      <c r="G613" s="37"/>
      <c r="H613" s="37"/>
      <c r="I613" s="48"/>
      <c r="J613" s="103"/>
      <c r="K613" s="104"/>
      <c r="L613" s="105"/>
      <c r="M613" s="106" t="str">
        <f t="shared" si="223"/>
        <v/>
      </c>
      <c r="N613" s="5" t="s">
        <v>1673</v>
      </c>
    </row>
    <row r="614" spans="1:14" s="3" customFormat="1" ht="30" customHeight="1" x14ac:dyDescent="0.25">
      <c r="A614" s="14" t="s">
        <v>13</v>
      </c>
      <c r="B614" s="16" t="s">
        <v>55</v>
      </c>
      <c r="C614" s="25" t="s">
        <v>61</v>
      </c>
      <c r="D614" s="12" t="s">
        <v>56</v>
      </c>
      <c r="E614" s="38">
        <v>0</v>
      </c>
      <c r="F614" s="39">
        <v>0</v>
      </c>
      <c r="G614" s="40">
        <v>0</v>
      </c>
      <c r="H614" s="41">
        <v>0</v>
      </c>
      <c r="I614" s="42">
        <f>SUM(E614:H614)</f>
        <v>0</v>
      </c>
      <c r="J614" s="103" t="str">
        <f t="shared" ref="J614:L616" si="234">IFERROR(E614/$I614*100,"")</f>
        <v/>
      </c>
      <c r="K614" s="104" t="str">
        <f t="shared" si="234"/>
        <v/>
      </c>
      <c r="L614" s="105" t="str">
        <f t="shared" si="234"/>
        <v/>
      </c>
      <c r="M614" s="106" t="str">
        <f t="shared" si="223"/>
        <v/>
      </c>
      <c r="N614" s="5"/>
    </row>
    <row r="615" spans="1:14" s="3" customFormat="1" ht="30" customHeight="1" x14ac:dyDescent="0.25">
      <c r="A615" s="14" t="s">
        <v>13</v>
      </c>
      <c r="B615" s="16" t="s">
        <v>55</v>
      </c>
      <c r="C615" s="25" t="s">
        <v>61</v>
      </c>
      <c r="D615" s="12" t="s">
        <v>57</v>
      </c>
      <c r="E615" s="38">
        <v>0</v>
      </c>
      <c r="F615" s="39">
        <v>0</v>
      </c>
      <c r="G615" s="40">
        <v>0</v>
      </c>
      <c r="H615" s="41">
        <v>0</v>
      </c>
      <c r="I615" s="42">
        <f>SUM(E615:H615)</f>
        <v>0</v>
      </c>
      <c r="J615" s="103" t="str">
        <f t="shared" si="234"/>
        <v/>
      </c>
      <c r="K615" s="104" t="str">
        <f t="shared" si="234"/>
        <v/>
      </c>
      <c r="L615" s="105" t="str">
        <f t="shared" si="234"/>
        <v/>
      </c>
      <c r="M615" s="106" t="str">
        <f t="shared" si="223"/>
        <v/>
      </c>
    </row>
    <row r="616" spans="1:14" s="3" customFormat="1" ht="30" customHeight="1" x14ac:dyDescent="0.25">
      <c r="A616" s="14" t="s">
        <v>13</v>
      </c>
      <c r="B616" s="16" t="s">
        <v>55</v>
      </c>
      <c r="C616" s="25"/>
      <c r="D616" s="91" t="s">
        <v>29</v>
      </c>
      <c r="E616" s="38">
        <f>SUM(E614:E615)</f>
        <v>0</v>
      </c>
      <c r="F616" s="39">
        <f t="shared" ref="F616:I616" si="235">SUM(F614:F615)</f>
        <v>0</v>
      </c>
      <c r="G616" s="40">
        <f t="shared" si="235"/>
        <v>0</v>
      </c>
      <c r="H616" s="41">
        <f t="shared" si="235"/>
        <v>0</v>
      </c>
      <c r="I616" s="42">
        <f t="shared" si="235"/>
        <v>0</v>
      </c>
      <c r="J616" s="103" t="str">
        <f t="shared" si="234"/>
        <v/>
      </c>
      <c r="K616" s="104" t="str">
        <f t="shared" si="234"/>
        <v/>
      </c>
      <c r="L616" s="105" t="str">
        <f t="shared" si="234"/>
        <v/>
      </c>
      <c r="M616" s="106" t="str">
        <f t="shared" si="223"/>
        <v/>
      </c>
      <c r="N616" s="5" t="s">
        <v>1671</v>
      </c>
    </row>
    <row r="617" spans="1:14" ht="5.0999999999999996" customHeight="1" x14ac:dyDescent="0.25">
      <c r="A617" s="14" t="s">
        <v>13</v>
      </c>
      <c r="B617" s="16" t="s">
        <v>55</v>
      </c>
      <c r="C617"/>
      <c r="D617" s="57"/>
      <c r="E617" s="59"/>
      <c r="F617" s="59"/>
      <c r="G617" s="59"/>
      <c r="H617" s="59"/>
      <c r="I617" s="59"/>
      <c r="J617" s="103"/>
      <c r="K617" s="104"/>
      <c r="L617" s="105"/>
      <c r="M617" s="106" t="str">
        <f t="shared" si="223"/>
        <v/>
      </c>
    </row>
    <row r="618" spans="1:14" s="5" customFormat="1" ht="20.100000000000001" customHeight="1" x14ac:dyDescent="0.25">
      <c r="A618" s="14" t="s">
        <v>13</v>
      </c>
      <c r="B618" s="16" t="s">
        <v>74</v>
      </c>
      <c r="C618" s="25" t="s">
        <v>60</v>
      </c>
      <c r="D618" s="6" t="s">
        <v>75</v>
      </c>
      <c r="E618" s="37"/>
      <c r="F618" s="37"/>
      <c r="G618" s="37"/>
      <c r="H618" s="37"/>
      <c r="I618" s="48"/>
      <c r="J618" s="103"/>
      <c r="K618" s="104"/>
      <c r="L618" s="105"/>
      <c r="M618" s="106" t="str">
        <f t="shared" si="223"/>
        <v/>
      </c>
      <c r="N618" s="5" t="s">
        <v>1673</v>
      </c>
    </row>
    <row r="619" spans="1:14" s="3" customFormat="1" ht="30" customHeight="1" x14ac:dyDescent="0.25">
      <c r="A619" s="14" t="s">
        <v>13</v>
      </c>
      <c r="B619" s="16" t="s">
        <v>74</v>
      </c>
      <c r="C619" s="25" t="s">
        <v>61</v>
      </c>
      <c r="D619" s="12" t="s">
        <v>77</v>
      </c>
      <c r="E619" s="38">
        <v>0</v>
      </c>
      <c r="F619" s="39">
        <v>0</v>
      </c>
      <c r="G619" s="40">
        <v>0</v>
      </c>
      <c r="H619" s="41">
        <v>0</v>
      </c>
      <c r="I619" s="42">
        <f>SUM(E619:H619)</f>
        <v>0</v>
      </c>
      <c r="J619" s="103" t="str">
        <f>IFERROR(E619/$I619*100,"")</f>
        <v/>
      </c>
      <c r="K619" s="104" t="str">
        <f>IFERROR(F619/$I619*100,"")</f>
        <v/>
      </c>
      <c r="L619" s="105" t="str">
        <f>IFERROR(G619/$I619*100,"")</f>
        <v/>
      </c>
      <c r="M619" s="106" t="str">
        <f t="shared" si="223"/>
        <v/>
      </c>
      <c r="N619" s="3" t="s">
        <v>1671</v>
      </c>
    </row>
    <row r="620" spans="1:14" ht="5.0999999999999996" customHeight="1" x14ac:dyDescent="0.25">
      <c r="A620" s="14" t="s">
        <v>13</v>
      </c>
      <c r="B620" s="16" t="s">
        <v>74</v>
      </c>
      <c r="C620"/>
      <c r="D620" s="57"/>
      <c r="E620" s="59"/>
      <c r="F620" s="59"/>
      <c r="G620" s="59"/>
      <c r="H620" s="59"/>
      <c r="I620" s="59"/>
      <c r="J620" s="103"/>
      <c r="K620" s="104"/>
      <c r="L620" s="105"/>
      <c r="M620" s="106" t="str">
        <f t="shared" si="223"/>
        <v/>
      </c>
    </row>
    <row r="621" spans="1:14" s="5" customFormat="1" ht="20.100000000000001" customHeight="1" x14ac:dyDescent="0.25">
      <c r="A621" s="14" t="s">
        <v>13</v>
      </c>
      <c r="B621" s="16" t="s">
        <v>78</v>
      </c>
      <c r="C621" s="25" t="s">
        <v>60</v>
      </c>
      <c r="D621" s="6" t="s">
        <v>80</v>
      </c>
      <c r="E621" s="37"/>
      <c r="F621" s="37"/>
      <c r="G621" s="37"/>
      <c r="H621" s="37"/>
      <c r="I621" s="48"/>
      <c r="J621" s="103"/>
      <c r="K621" s="104"/>
      <c r="L621" s="105"/>
      <c r="M621" s="106" t="str">
        <f t="shared" si="223"/>
        <v/>
      </c>
      <c r="N621" s="5" t="s">
        <v>1673</v>
      </c>
    </row>
    <row r="622" spans="1:14" s="5" customFormat="1" ht="30" customHeight="1" x14ac:dyDescent="0.25">
      <c r="A622" s="14" t="s">
        <v>13</v>
      </c>
      <c r="B622" s="16" t="s">
        <v>78</v>
      </c>
      <c r="C622" s="25" t="s">
        <v>61</v>
      </c>
      <c r="D622" s="81" t="s">
        <v>81</v>
      </c>
      <c r="E622" s="38">
        <v>0</v>
      </c>
      <c r="F622" s="39">
        <v>0</v>
      </c>
      <c r="G622" s="40">
        <v>0</v>
      </c>
      <c r="H622" s="41">
        <v>0</v>
      </c>
      <c r="I622" s="42">
        <f t="shared" ref="I622:I628" si="236">SUM(E622:H622)</f>
        <v>0</v>
      </c>
      <c r="J622" s="103" t="str">
        <f t="shared" ref="J622:L628" si="237">IFERROR(E622/$I622*100,"")</f>
        <v/>
      </c>
      <c r="K622" s="104" t="str">
        <f t="shared" si="237"/>
        <v/>
      </c>
      <c r="L622" s="105" t="str">
        <f t="shared" si="237"/>
        <v/>
      </c>
      <c r="M622" s="106" t="str">
        <f t="shared" si="223"/>
        <v/>
      </c>
    </row>
    <row r="623" spans="1:14" s="5" customFormat="1" ht="30" customHeight="1" x14ac:dyDescent="0.25">
      <c r="A623" s="14" t="s">
        <v>13</v>
      </c>
      <c r="B623" s="16" t="s">
        <v>78</v>
      </c>
      <c r="C623" s="25" t="s">
        <v>61</v>
      </c>
      <c r="D623" s="81" t="s">
        <v>82</v>
      </c>
      <c r="E623" s="38">
        <v>0</v>
      </c>
      <c r="F623" s="39">
        <v>0</v>
      </c>
      <c r="G623" s="40">
        <v>0</v>
      </c>
      <c r="H623" s="41">
        <v>0</v>
      </c>
      <c r="I623" s="42">
        <f t="shared" si="236"/>
        <v>0</v>
      </c>
      <c r="J623" s="103" t="str">
        <f t="shared" si="237"/>
        <v/>
      </c>
      <c r="K623" s="104" t="str">
        <f t="shared" si="237"/>
        <v/>
      </c>
      <c r="L623" s="105" t="str">
        <f t="shared" si="237"/>
        <v/>
      </c>
      <c r="M623" s="106" t="str">
        <f t="shared" si="223"/>
        <v/>
      </c>
    </row>
    <row r="624" spans="1:14" s="5" customFormat="1" ht="30" customHeight="1" x14ac:dyDescent="0.25">
      <c r="A624" s="14" t="s">
        <v>13</v>
      </c>
      <c r="B624" s="16" t="s">
        <v>78</v>
      </c>
      <c r="C624" s="25" t="s">
        <v>61</v>
      </c>
      <c r="D624" s="81" t="s">
        <v>83</v>
      </c>
      <c r="E624" s="38">
        <v>0</v>
      </c>
      <c r="F624" s="39">
        <v>0</v>
      </c>
      <c r="G624" s="40">
        <v>0</v>
      </c>
      <c r="H624" s="41">
        <v>0</v>
      </c>
      <c r="I624" s="42">
        <f t="shared" si="236"/>
        <v>0</v>
      </c>
      <c r="J624" s="103" t="str">
        <f t="shared" si="237"/>
        <v/>
      </c>
      <c r="K624" s="104" t="str">
        <f t="shared" si="237"/>
        <v/>
      </c>
      <c r="L624" s="105" t="str">
        <f t="shared" si="237"/>
        <v/>
      </c>
      <c r="M624" s="106" t="str">
        <f t="shared" si="223"/>
        <v/>
      </c>
    </row>
    <row r="625" spans="1:14" s="5" customFormat="1" ht="30" customHeight="1" x14ac:dyDescent="0.25">
      <c r="A625" s="14" t="s">
        <v>13</v>
      </c>
      <c r="B625" s="16" t="s">
        <v>78</v>
      </c>
      <c r="C625" s="25" t="s">
        <v>61</v>
      </c>
      <c r="D625" s="81" t="s">
        <v>88</v>
      </c>
      <c r="E625" s="38">
        <v>0</v>
      </c>
      <c r="F625" s="39">
        <v>0</v>
      </c>
      <c r="G625" s="40">
        <v>0</v>
      </c>
      <c r="H625" s="41">
        <v>0</v>
      </c>
      <c r="I625" s="42">
        <f t="shared" si="236"/>
        <v>0</v>
      </c>
      <c r="J625" s="103" t="str">
        <f t="shared" si="237"/>
        <v/>
      </c>
      <c r="K625" s="104" t="str">
        <f t="shared" si="237"/>
        <v/>
      </c>
      <c r="L625" s="105" t="str">
        <f t="shared" si="237"/>
        <v/>
      </c>
      <c r="M625" s="106" t="str">
        <f t="shared" si="223"/>
        <v/>
      </c>
    </row>
    <row r="626" spans="1:14" s="5" customFormat="1" ht="30" customHeight="1" x14ac:dyDescent="0.25">
      <c r="A626" s="14" t="s">
        <v>13</v>
      </c>
      <c r="B626" s="16" t="s">
        <v>78</v>
      </c>
      <c r="C626" s="25" t="s">
        <v>61</v>
      </c>
      <c r="D626" s="81" t="s">
        <v>87</v>
      </c>
      <c r="E626" s="38">
        <v>0</v>
      </c>
      <c r="F626" s="39">
        <v>0</v>
      </c>
      <c r="G626" s="40">
        <v>0</v>
      </c>
      <c r="H626" s="41">
        <v>0</v>
      </c>
      <c r="I626" s="42">
        <f t="shared" si="236"/>
        <v>0</v>
      </c>
      <c r="J626" s="103" t="str">
        <f t="shared" si="237"/>
        <v/>
      </c>
      <c r="K626" s="104" t="str">
        <f t="shared" si="237"/>
        <v/>
      </c>
      <c r="L626" s="105" t="str">
        <f t="shared" si="237"/>
        <v/>
      </c>
      <c r="M626" s="106" t="str">
        <f t="shared" si="223"/>
        <v/>
      </c>
    </row>
    <row r="627" spans="1:14" s="5" customFormat="1" ht="30" customHeight="1" x14ac:dyDescent="0.25">
      <c r="A627" s="14" t="s">
        <v>13</v>
      </c>
      <c r="B627" s="16" t="s">
        <v>78</v>
      </c>
      <c r="C627" s="25" t="s">
        <v>61</v>
      </c>
      <c r="D627" s="81" t="s">
        <v>84</v>
      </c>
      <c r="E627" s="38">
        <v>0</v>
      </c>
      <c r="F627" s="39">
        <v>0</v>
      </c>
      <c r="G627" s="40">
        <v>0</v>
      </c>
      <c r="H627" s="41">
        <v>0</v>
      </c>
      <c r="I627" s="42">
        <f t="shared" si="236"/>
        <v>0</v>
      </c>
      <c r="J627" s="103" t="str">
        <f t="shared" si="237"/>
        <v/>
      </c>
      <c r="K627" s="104" t="str">
        <f t="shared" si="237"/>
        <v/>
      </c>
      <c r="L627" s="105" t="str">
        <f t="shared" si="237"/>
        <v/>
      </c>
      <c r="M627" s="106" t="str">
        <f t="shared" si="223"/>
        <v/>
      </c>
    </row>
    <row r="628" spans="1:14" s="5" customFormat="1" ht="30" customHeight="1" x14ac:dyDescent="0.25">
      <c r="A628" s="14" t="s">
        <v>13</v>
      </c>
      <c r="B628" s="16" t="s">
        <v>78</v>
      </c>
      <c r="C628" s="25" t="s">
        <v>86</v>
      </c>
      <c r="D628" s="81" t="s">
        <v>79</v>
      </c>
      <c r="E628" s="38">
        <v>0</v>
      </c>
      <c r="F628" s="39">
        <v>0</v>
      </c>
      <c r="G628" s="40">
        <v>0</v>
      </c>
      <c r="H628" s="41">
        <v>0</v>
      </c>
      <c r="I628" s="42">
        <f t="shared" si="236"/>
        <v>0</v>
      </c>
      <c r="J628" s="103" t="str">
        <f t="shared" si="237"/>
        <v/>
      </c>
      <c r="K628" s="104" t="str">
        <f t="shared" si="237"/>
        <v/>
      </c>
      <c r="L628" s="105" t="str">
        <f t="shared" si="237"/>
        <v/>
      </c>
      <c r="M628" s="106" t="str">
        <f t="shared" si="223"/>
        <v/>
      </c>
      <c r="N628" s="5" t="s">
        <v>1671</v>
      </c>
    </row>
    <row r="629" spans="1:14" ht="5.0999999999999996" customHeight="1" x14ac:dyDescent="0.25">
      <c r="A629" s="14" t="s">
        <v>13</v>
      </c>
      <c r="B629" s="16" t="s">
        <v>78</v>
      </c>
      <c r="C629"/>
      <c r="D629" s="57"/>
      <c r="E629" s="59"/>
      <c r="F629" s="59"/>
      <c r="G629" s="59"/>
      <c r="H629" s="59"/>
      <c r="I629" s="59"/>
      <c r="J629" s="103"/>
      <c r="K629" s="104"/>
      <c r="L629" s="105"/>
      <c r="M629" s="106" t="str">
        <f t="shared" si="223"/>
        <v/>
      </c>
    </row>
    <row r="630" spans="1:14" s="5" customFormat="1" ht="20.100000000000001" customHeight="1" x14ac:dyDescent="0.25">
      <c r="A630" s="14" t="s">
        <v>13</v>
      </c>
      <c r="B630" s="16" t="s">
        <v>91</v>
      </c>
      <c r="C630" s="25" t="s">
        <v>60</v>
      </c>
      <c r="D630" s="6" t="s">
        <v>89</v>
      </c>
      <c r="E630" s="37"/>
      <c r="F630" s="37"/>
      <c r="G630" s="37"/>
      <c r="H630" s="37"/>
      <c r="I630" s="48"/>
      <c r="J630" s="103"/>
      <c r="K630" s="104"/>
      <c r="L630" s="105"/>
      <c r="M630" s="106" t="str">
        <f t="shared" si="223"/>
        <v/>
      </c>
      <c r="N630" s="5" t="s">
        <v>1673</v>
      </c>
    </row>
    <row r="631" spans="1:14" s="5" customFormat="1" ht="30" customHeight="1" x14ac:dyDescent="0.25">
      <c r="A631" s="14" t="s">
        <v>13</v>
      </c>
      <c r="B631" s="16" t="s">
        <v>91</v>
      </c>
      <c r="C631" s="25" t="s">
        <v>61</v>
      </c>
      <c r="D631" s="82" t="s">
        <v>90</v>
      </c>
      <c r="E631" s="38">
        <v>0</v>
      </c>
      <c r="F631" s="39">
        <v>0</v>
      </c>
      <c r="G631" s="40">
        <v>0</v>
      </c>
      <c r="H631" s="41">
        <v>0</v>
      </c>
      <c r="I631" s="42">
        <f t="shared" ref="I631" si="238">SUM(E631:H631)</f>
        <v>0</v>
      </c>
      <c r="J631" s="103" t="str">
        <f>IFERROR(E631/$I631*100,"")</f>
        <v/>
      </c>
      <c r="K631" s="104" t="str">
        <f>IFERROR(F631/$I631*100,"")</f>
        <v/>
      </c>
      <c r="L631" s="105" t="str">
        <f>IFERROR(G631/$I631*100,"")</f>
        <v/>
      </c>
      <c r="M631" s="106" t="str">
        <f t="shared" si="223"/>
        <v/>
      </c>
      <c r="N631" s="5" t="s">
        <v>1671</v>
      </c>
    </row>
    <row r="632" spans="1:14" ht="5.0999999999999996" customHeight="1" x14ac:dyDescent="0.25">
      <c r="A632" s="14" t="s">
        <v>13</v>
      </c>
      <c r="B632" s="16" t="s">
        <v>91</v>
      </c>
      <c r="C632"/>
      <c r="D632" s="57"/>
      <c r="E632" s="59"/>
      <c r="F632" s="59"/>
      <c r="G632" s="59"/>
      <c r="H632" s="59"/>
      <c r="I632" s="59"/>
      <c r="J632" s="103"/>
      <c r="K632" s="104"/>
      <c r="L632" s="105"/>
      <c r="M632" s="106" t="str">
        <f t="shared" si="223"/>
        <v/>
      </c>
    </row>
    <row r="633" spans="1:14" s="5" customFormat="1" ht="20.100000000000001" customHeight="1" x14ac:dyDescent="0.25">
      <c r="A633" s="14" t="s">
        <v>13</v>
      </c>
      <c r="B633" s="16" t="s">
        <v>1916</v>
      </c>
      <c r="C633" s="25" t="s">
        <v>60</v>
      </c>
      <c r="D633" s="6" t="s">
        <v>1853</v>
      </c>
      <c r="E633" s="37"/>
      <c r="F633" s="37"/>
      <c r="G633" s="37"/>
      <c r="H633" s="37"/>
      <c r="I633" s="48"/>
      <c r="J633" s="103"/>
      <c r="K633" s="104"/>
      <c r="L633" s="105"/>
      <c r="M633" s="106" t="str">
        <f t="shared" si="223"/>
        <v/>
      </c>
      <c r="N633" s="5" t="s">
        <v>1673</v>
      </c>
    </row>
    <row r="634" spans="1:14" s="5" customFormat="1" ht="30" customHeight="1" x14ac:dyDescent="0.25">
      <c r="A634" s="14" t="s">
        <v>13</v>
      </c>
      <c r="B634" s="16" t="s">
        <v>1916</v>
      </c>
      <c r="C634" s="25" t="s">
        <v>61</v>
      </c>
      <c r="D634" s="175" t="s">
        <v>1917</v>
      </c>
      <c r="E634" s="38">
        <v>0</v>
      </c>
      <c r="F634" s="39">
        <v>0</v>
      </c>
      <c r="G634" s="40">
        <v>0</v>
      </c>
      <c r="H634" s="41">
        <v>0</v>
      </c>
      <c r="I634" s="42">
        <f t="shared" ref="I634" si="239">SUM(E634:H634)</f>
        <v>0</v>
      </c>
      <c r="J634" s="103" t="str">
        <f>IFERROR(E634/$I634*100,"")</f>
        <v/>
      </c>
      <c r="K634" s="104" t="str">
        <f>IFERROR(F634/$I634*100,"")</f>
        <v/>
      </c>
      <c r="L634" s="105" t="str">
        <f>IFERROR(G634/$I634*100,"")</f>
        <v/>
      </c>
      <c r="M634" s="106" t="str">
        <f t="shared" si="223"/>
        <v/>
      </c>
      <c r="N634" s="5" t="s">
        <v>1671</v>
      </c>
    </row>
    <row r="635" spans="1:14" ht="5.0999999999999996" customHeight="1" x14ac:dyDescent="0.25">
      <c r="A635" s="14" t="s">
        <v>13</v>
      </c>
      <c r="B635" s="16" t="s">
        <v>1916</v>
      </c>
      <c r="C635"/>
      <c r="D635" s="57"/>
      <c r="E635" s="59"/>
      <c r="F635" s="59"/>
      <c r="G635" s="59"/>
      <c r="H635" s="59"/>
      <c r="I635" s="59"/>
      <c r="J635" s="103"/>
      <c r="K635" s="104"/>
      <c r="L635" s="105"/>
      <c r="M635" s="106" t="str">
        <f t="shared" si="223"/>
        <v/>
      </c>
    </row>
    <row r="636" spans="1:14" s="5" customFormat="1" ht="20.100000000000001" customHeight="1" x14ac:dyDescent="0.25">
      <c r="A636" s="14" t="s">
        <v>13</v>
      </c>
      <c r="B636" s="16" t="s">
        <v>1637</v>
      </c>
      <c r="C636" s="25" t="s">
        <v>60</v>
      </c>
      <c r="D636" s="6" t="s">
        <v>1636</v>
      </c>
      <c r="E636" s="37"/>
      <c r="F636" s="37"/>
      <c r="G636" s="37"/>
      <c r="H636" s="37"/>
      <c r="I636" s="48"/>
      <c r="J636" s="103"/>
      <c r="K636" s="104"/>
      <c r="L636" s="105"/>
      <c r="M636" s="106" t="str">
        <f t="shared" si="223"/>
        <v/>
      </c>
      <c r="N636" s="5" t="s">
        <v>1673</v>
      </c>
    </row>
    <row r="637" spans="1:14" s="3" customFormat="1" ht="30" customHeight="1" x14ac:dyDescent="0.25">
      <c r="A637" s="14" t="s">
        <v>13</v>
      </c>
      <c r="B637" s="16" t="s">
        <v>1637</v>
      </c>
      <c r="C637" s="25" t="s">
        <v>61</v>
      </c>
      <c r="D637" s="87" t="s">
        <v>1638</v>
      </c>
      <c r="E637" s="38">
        <v>0</v>
      </c>
      <c r="F637" s="39">
        <v>0</v>
      </c>
      <c r="G637" s="40">
        <v>0</v>
      </c>
      <c r="H637" s="41">
        <v>0</v>
      </c>
      <c r="I637" s="42">
        <f t="shared" ref="I637:I642" si="240">SUM(E637:H637)</f>
        <v>0</v>
      </c>
      <c r="J637" s="103" t="str">
        <f t="shared" ref="J637:L641" si="241">IFERROR(E637/$I637*100,"")</f>
        <v/>
      </c>
      <c r="K637" s="104" t="str">
        <f t="shared" si="241"/>
        <v/>
      </c>
      <c r="L637" s="105" t="str">
        <f t="shared" si="241"/>
        <v/>
      </c>
      <c r="M637" s="106" t="str">
        <f t="shared" si="223"/>
        <v/>
      </c>
    </row>
    <row r="638" spans="1:14" s="3" customFormat="1" ht="30" customHeight="1" x14ac:dyDescent="0.25">
      <c r="A638" s="14" t="s">
        <v>13</v>
      </c>
      <c r="B638" s="16" t="s">
        <v>1637</v>
      </c>
      <c r="C638" s="25" t="s">
        <v>61</v>
      </c>
      <c r="D638" s="87" t="s">
        <v>1669</v>
      </c>
      <c r="E638" s="38">
        <v>0</v>
      </c>
      <c r="F638" s="39">
        <v>0</v>
      </c>
      <c r="G638" s="40">
        <v>0</v>
      </c>
      <c r="H638" s="41">
        <v>0</v>
      </c>
      <c r="I638" s="42">
        <f t="shared" si="240"/>
        <v>0</v>
      </c>
      <c r="J638" s="103" t="str">
        <f t="shared" si="241"/>
        <v/>
      </c>
      <c r="K638" s="104" t="str">
        <f t="shared" si="241"/>
        <v/>
      </c>
      <c r="L638" s="105" t="str">
        <f t="shared" si="241"/>
        <v/>
      </c>
      <c r="M638" s="106" t="str">
        <f t="shared" si="223"/>
        <v/>
      </c>
    </row>
    <row r="639" spans="1:14" s="3" customFormat="1" ht="30" customHeight="1" x14ac:dyDescent="0.25">
      <c r="A639" s="14" t="s">
        <v>13</v>
      </c>
      <c r="B639" s="16" t="s">
        <v>1637</v>
      </c>
      <c r="C639" s="25" t="s">
        <v>61</v>
      </c>
      <c r="D639" s="87" t="s">
        <v>1640</v>
      </c>
      <c r="E639" s="38">
        <v>0</v>
      </c>
      <c r="F639" s="39">
        <v>0</v>
      </c>
      <c r="G639" s="40">
        <v>0</v>
      </c>
      <c r="H639" s="41">
        <v>0</v>
      </c>
      <c r="I639" s="42">
        <f t="shared" si="240"/>
        <v>0</v>
      </c>
      <c r="J639" s="103" t="str">
        <f t="shared" si="241"/>
        <v/>
      </c>
      <c r="K639" s="104" t="str">
        <f t="shared" si="241"/>
        <v/>
      </c>
      <c r="L639" s="105" t="str">
        <f t="shared" si="241"/>
        <v/>
      </c>
      <c r="M639" s="106" t="str">
        <f t="shared" si="223"/>
        <v/>
      </c>
    </row>
    <row r="640" spans="1:14" s="3" customFormat="1" ht="30" customHeight="1" x14ac:dyDescent="0.25">
      <c r="A640" s="14" t="s">
        <v>13</v>
      </c>
      <c r="B640" s="16" t="s">
        <v>1637</v>
      </c>
      <c r="C640" s="25" t="s">
        <v>61</v>
      </c>
      <c r="D640" s="87" t="s">
        <v>1639</v>
      </c>
      <c r="E640" s="38">
        <v>0</v>
      </c>
      <c r="F640" s="39">
        <v>0</v>
      </c>
      <c r="G640" s="40">
        <v>0</v>
      </c>
      <c r="H640" s="41">
        <v>0</v>
      </c>
      <c r="I640" s="42">
        <f t="shared" si="240"/>
        <v>0</v>
      </c>
      <c r="J640" s="103" t="str">
        <f t="shared" si="241"/>
        <v/>
      </c>
      <c r="K640" s="104" t="str">
        <f t="shared" si="241"/>
        <v/>
      </c>
      <c r="L640" s="105" t="str">
        <f t="shared" si="241"/>
        <v/>
      </c>
      <c r="M640" s="106" t="str">
        <f t="shared" si="223"/>
        <v/>
      </c>
    </row>
    <row r="641" spans="1:14" s="3" customFormat="1" ht="30" customHeight="1" x14ac:dyDescent="0.25">
      <c r="A641" s="14" t="s">
        <v>13</v>
      </c>
      <c r="B641" s="16" t="s">
        <v>1637</v>
      </c>
      <c r="C641" s="25" t="s">
        <v>61</v>
      </c>
      <c r="D641" s="87" t="s">
        <v>1641</v>
      </c>
      <c r="E641" s="38">
        <v>0</v>
      </c>
      <c r="F641" s="39">
        <v>0</v>
      </c>
      <c r="G641" s="40">
        <v>0</v>
      </c>
      <c r="H641" s="41">
        <v>0</v>
      </c>
      <c r="I641" s="42">
        <f t="shared" si="240"/>
        <v>0</v>
      </c>
      <c r="J641" s="103" t="str">
        <f t="shared" si="241"/>
        <v/>
      </c>
      <c r="K641" s="104" t="str">
        <f t="shared" si="241"/>
        <v/>
      </c>
      <c r="L641" s="105" t="str">
        <f t="shared" si="241"/>
        <v/>
      </c>
      <c r="M641" s="106" t="str">
        <f t="shared" si="223"/>
        <v/>
      </c>
    </row>
    <row r="642" spans="1:14" s="3" customFormat="1" ht="30" customHeight="1" x14ac:dyDescent="0.25">
      <c r="A642" s="14" t="s">
        <v>13</v>
      </c>
      <c r="B642" s="16" t="s">
        <v>1637</v>
      </c>
      <c r="C642" s="25"/>
      <c r="D642" s="87" t="s">
        <v>29</v>
      </c>
      <c r="E642" s="38">
        <f>SUM(E637:E641)</f>
        <v>0</v>
      </c>
      <c r="F642" s="39">
        <f>SUM(F637:F641)</f>
        <v>0</v>
      </c>
      <c r="G642" s="40">
        <f>SUM(G637:G641)</f>
        <v>0</v>
      </c>
      <c r="H642" s="41">
        <f>SUM(H637:H641)</f>
        <v>0</v>
      </c>
      <c r="I642" s="42">
        <f t="shared" si="240"/>
        <v>0</v>
      </c>
      <c r="J642" s="103" t="str">
        <f>IFERROR(E642/SUM($E642:$H642)*100,"")</f>
        <v/>
      </c>
      <c r="K642" s="104" t="str">
        <f>IFERROR(F642/SUM($E642:$H642)*100,"")</f>
        <v/>
      </c>
      <c r="L642" s="105" t="str">
        <f>IFERROR(G642/SUM($E642:$H642)*100,"")</f>
        <v/>
      </c>
      <c r="M642" s="106" t="str">
        <f t="shared" si="223"/>
        <v/>
      </c>
      <c r="N642" s="5" t="s">
        <v>1671</v>
      </c>
    </row>
    <row r="643" spans="1:14" ht="5.0999999999999996" customHeight="1" x14ac:dyDescent="0.25">
      <c r="A643" s="14" t="s">
        <v>13</v>
      </c>
      <c r="B643" s="16" t="s">
        <v>1637</v>
      </c>
      <c r="C643"/>
      <c r="J643" s="103"/>
      <c r="K643" s="104"/>
      <c r="L643" s="105"/>
      <c r="M643" s="106" t="str">
        <f t="shared" si="223"/>
        <v/>
      </c>
    </row>
    <row r="644" spans="1:14" s="5" customFormat="1" ht="20.100000000000001" customHeight="1" x14ac:dyDescent="0.25">
      <c r="A644" s="14" t="s">
        <v>13</v>
      </c>
      <c r="B644" s="16" t="s">
        <v>42</v>
      </c>
      <c r="C644" s="25" t="s">
        <v>60</v>
      </c>
      <c r="D644" s="6" t="s">
        <v>1744</v>
      </c>
      <c r="E644" s="37"/>
      <c r="F644" s="37"/>
      <c r="G644" s="37"/>
      <c r="H644" s="37"/>
      <c r="I644" s="48"/>
      <c r="J644" s="103"/>
      <c r="K644" s="104"/>
      <c r="L644" s="105"/>
      <c r="M644" s="106" t="str">
        <f t="shared" si="223"/>
        <v/>
      </c>
      <c r="N644" s="5" t="s">
        <v>1673</v>
      </c>
    </row>
    <row r="645" spans="1:14" s="3" customFormat="1" ht="30" customHeight="1" x14ac:dyDescent="0.25">
      <c r="A645" s="14" t="s">
        <v>13</v>
      </c>
      <c r="B645" s="16" t="s">
        <v>42</v>
      </c>
      <c r="C645" s="25" t="s">
        <v>61</v>
      </c>
      <c r="D645" s="12" t="s">
        <v>43</v>
      </c>
      <c r="E645" s="38">
        <v>0</v>
      </c>
      <c r="F645" s="39">
        <v>0</v>
      </c>
      <c r="G645" s="40">
        <v>0</v>
      </c>
      <c r="H645" s="41">
        <v>0</v>
      </c>
      <c r="I645" s="42">
        <f t="shared" ref="I645:I654" si="242">SUM(E645:H645)</f>
        <v>0</v>
      </c>
      <c r="J645" s="103" t="str">
        <f t="shared" ref="J645:J654" si="243">IFERROR(E645/$I645*100,"")</f>
        <v/>
      </c>
      <c r="K645" s="104" t="str">
        <f t="shared" ref="K645:K654" si="244">IFERROR(F645/$I645*100,"")</f>
        <v/>
      </c>
      <c r="L645" s="105" t="str">
        <f t="shared" ref="L645:L654" si="245">IFERROR(G645/$I645*100,"")</f>
        <v/>
      </c>
      <c r="M645" s="106" t="str">
        <f t="shared" si="223"/>
        <v/>
      </c>
    </row>
    <row r="646" spans="1:14" s="3" customFormat="1" ht="30" customHeight="1" x14ac:dyDescent="0.25">
      <c r="A646" s="14" t="s">
        <v>13</v>
      </c>
      <c r="B646" s="16" t="s">
        <v>42</v>
      </c>
      <c r="C646" s="25" t="s">
        <v>61</v>
      </c>
      <c r="D646" s="12" t="s">
        <v>44</v>
      </c>
      <c r="E646" s="38">
        <v>0</v>
      </c>
      <c r="F646" s="39">
        <v>0</v>
      </c>
      <c r="G646" s="40">
        <v>0</v>
      </c>
      <c r="H646" s="41">
        <v>0</v>
      </c>
      <c r="I646" s="42">
        <f t="shared" si="242"/>
        <v>0</v>
      </c>
      <c r="J646" s="103" t="str">
        <f t="shared" si="243"/>
        <v/>
      </c>
      <c r="K646" s="104" t="str">
        <f t="shared" si="244"/>
        <v/>
      </c>
      <c r="L646" s="105" t="str">
        <f t="shared" si="245"/>
        <v/>
      </c>
      <c r="M646" s="106" t="str">
        <f t="shared" si="223"/>
        <v/>
      </c>
    </row>
    <row r="647" spans="1:14" s="3" customFormat="1" ht="30" customHeight="1" x14ac:dyDescent="0.25">
      <c r="A647" s="14" t="s">
        <v>13</v>
      </c>
      <c r="B647" s="16" t="s">
        <v>42</v>
      </c>
      <c r="C647" s="25" t="s">
        <v>61</v>
      </c>
      <c r="D647" s="12" t="s">
        <v>45</v>
      </c>
      <c r="E647" s="38">
        <v>0</v>
      </c>
      <c r="F647" s="39">
        <v>0</v>
      </c>
      <c r="G647" s="40">
        <v>0</v>
      </c>
      <c r="H647" s="41">
        <v>0</v>
      </c>
      <c r="I647" s="42">
        <f t="shared" si="242"/>
        <v>0</v>
      </c>
      <c r="J647" s="103" t="str">
        <f t="shared" si="243"/>
        <v/>
      </c>
      <c r="K647" s="104" t="str">
        <f t="shared" si="244"/>
        <v/>
      </c>
      <c r="L647" s="105" t="str">
        <f t="shared" si="245"/>
        <v/>
      </c>
      <c r="M647" s="106" t="str">
        <f t="shared" si="223"/>
        <v/>
      </c>
    </row>
    <row r="648" spans="1:14" s="3" customFormat="1" ht="30" customHeight="1" x14ac:dyDescent="0.25">
      <c r="A648" s="14" t="s">
        <v>13</v>
      </c>
      <c r="B648" s="16" t="s">
        <v>42</v>
      </c>
      <c r="C648" s="25" t="s">
        <v>61</v>
      </c>
      <c r="D648" s="12" t="s">
        <v>46</v>
      </c>
      <c r="E648" s="38">
        <v>0</v>
      </c>
      <c r="F648" s="39">
        <v>0</v>
      </c>
      <c r="G648" s="40">
        <v>0</v>
      </c>
      <c r="H648" s="41">
        <v>0</v>
      </c>
      <c r="I648" s="42">
        <f t="shared" si="242"/>
        <v>0</v>
      </c>
      <c r="J648" s="103" t="str">
        <f t="shared" si="243"/>
        <v/>
      </c>
      <c r="K648" s="104" t="str">
        <f t="shared" si="244"/>
        <v/>
      </c>
      <c r="L648" s="105" t="str">
        <f t="shared" si="245"/>
        <v/>
      </c>
      <c r="M648" s="106" t="str">
        <f t="shared" si="223"/>
        <v/>
      </c>
    </row>
    <row r="649" spans="1:14" s="3" customFormat="1" ht="30" customHeight="1" x14ac:dyDescent="0.25">
      <c r="A649" s="14" t="s">
        <v>13</v>
      </c>
      <c r="B649" s="16" t="s">
        <v>42</v>
      </c>
      <c r="C649" s="25" t="s">
        <v>61</v>
      </c>
      <c r="D649" s="12" t="s">
        <v>51</v>
      </c>
      <c r="E649" s="38">
        <v>0</v>
      </c>
      <c r="F649" s="39">
        <v>0</v>
      </c>
      <c r="G649" s="40">
        <v>0</v>
      </c>
      <c r="H649" s="41">
        <v>0</v>
      </c>
      <c r="I649" s="42">
        <f t="shared" si="242"/>
        <v>0</v>
      </c>
      <c r="J649" s="103" t="str">
        <f t="shared" si="243"/>
        <v/>
      </c>
      <c r="K649" s="104" t="str">
        <f t="shared" si="244"/>
        <v/>
      </c>
      <c r="L649" s="105" t="str">
        <f t="shared" si="245"/>
        <v/>
      </c>
      <c r="M649" s="106" t="str">
        <f t="shared" si="223"/>
        <v/>
      </c>
    </row>
    <row r="650" spans="1:14" s="3" customFormat="1" ht="30" customHeight="1" x14ac:dyDescent="0.25">
      <c r="A650" s="14" t="s">
        <v>13</v>
      </c>
      <c r="B650" s="16" t="s">
        <v>42</v>
      </c>
      <c r="C650" s="25" t="s">
        <v>61</v>
      </c>
      <c r="D650" s="12" t="s">
        <v>52</v>
      </c>
      <c r="E650" s="38">
        <v>0</v>
      </c>
      <c r="F650" s="39">
        <v>0</v>
      </c>
      <c r="G650" s="40">
        <v>0</v>
      </c>
      <c r="H650" s="41">
        <v>0</v>
      </c>
      <c r="I650" s="42">
        <f t="shared" si="242"/>
        <v>0</v>
      </c>
      <c r="J650" s="103" t="str">
        <f t="shared" si="243"/>
        <v/>
      </c>
      <c r="K650" s="104" t="str">
        <f t="shared" si="244"/>
        <v/>
      </c>
      <c r="L650" s="105" t="str">
        <f t="shared" si="245"/>
        <v/>
      </c>
      <c r="M650" s="106" t="str">
        <f t="shared" si="223"/>
        <v/>
      </c>
    </row>
    <row r="651" spans="1:14" s="3" customFormat="1" ht="30" customHeight="1" x14ac:dyDescent="0.25">
      <c r="A651" s="14" t="s">
        <v>13</v>
      </c>
      <c r="B651" s="16" t="s">
        <v>42</v>
      </c>
      <c r="C651" s="25" t="s">
        <v>61</v>
      </c>
      <c r="D651" s="12" t="s">
        <v>47</v>
      </c>
      <c r="E651" s="38">
        <v>0</v>
      </c>
      <c r="F651" s="39">
        <v>0</v>
      </c>
      <c r="G651" s="40">
        <v>0</v>
      </c>
      <c r="H651" s="41">
        <v>0</v>
      </c>
      <c r="I651" s="42">
        <f t="shared" si="242"/>
        <v>0</v>
      </c>
      <c r="J651" s="103" t="str">
        <f t="shared" si="243"/>
        <v/>
      </c>
      <c r="K651" s="104" t="str">
        <f t="shared" si="244"/>
        <v/>
      </c>
      <c r="L651" s="105" t="str">
        <f t="shared" si="245"/>
        <v/>
      </c>
      <c r="M651" s="106" t="str">
        <f t="shared" si="223"/>
        <v/>
      </c>
    </row>
    <row r="652" spans="1:14" s="3" customFormat="1" ht="30" customHeight="1" x14ac:dyDescent="0.25">
      <c r="A652" s="14" t="s">
        <v>13</v>
      </c>
      <c r="B652" s="16" t="s">
        <v>42</v>
      </c>
      <c r="C652" s="25" t="s">
        <v>61</v>
      </c>
      <c r="D652" s="12" t="s">
        <v>48</v>
      </c>
      <c r="E652" s="38">
        <v>0</v>
      </c>
      <c r="F652" s="39">
        <v>0</v>
      </c>
      <c r="G652" s="40">
        <v>0</v>
      </c>
      <c r="H652" s="41">
        <v>0</v>
      </c>
      <c r="I652" s="42">
        <f t="shared" si="242"/>
        <v>0</v>
      </c>
      <c r="J652" s="103" t="str">
        <f t="shared" si="243"/>
        <v/>
      </c>
      <c r="K652" s="104" t="str">
        <f t="shared" si="244"/>
        <v/>
      </c>
      <c r="L652" s="105" t="str">
        <f t="shared" si="245"/>
        <v/>
      </c>
      <c r="M652" s="106" t="str">
        <f t="shared" si="223"/>
        <v/>
      </c>
    </row>
    <row r="653" spans="1:14" s="3" customFormat="1" ht="30" customHeight="1" x14ac:dyDescent="0.25">
      <c r="A653" s="14" t="s">
        <v>13</v>
      </c>
      <c r="B653" s="16" t="s">
        <v>42</v>
      </c>
      <c r="C653" s="25" t="s">
        <v>61</v>
      </c>
      <c r="D653" s="12" t="s">
        <v>49</v>
      </c>
      <c r="E653" s="38">
        <v>0</v>
      </c>
      <c r="F653" s="39">
        <v>0</v>
      </c>
      <c r="G653" s="40">
        <v>0</v>
      </c>
      <c r="H653" s="41">
        <v>0</v>
      </c>
      <c r="I653" s="42">
        <f t="shared" si="242"/>
        <v>0</v>
      </c>
      <c r="J653" s="103" t="str">
        <f t="shared" si="243"/>
        <v/>
      </c>
      <c r="K653" s="104" t="str">
        <f t="shared" si="244"/>
        <v/>
      </c>
      <c r="L653" s="105" t="str">
        <f t="shared" si="245"/>
        <v/>
      </c>
      <c r="M653" s="106" t="str">
        <f t="shared" ref="M653:M716" si="246">IFERROR(H653/$I653*100,"")</f>
        <v/>
      </c>
    </row>
    <row r="654" spans="1:14" s="3" customFormat="1" ht="30" customHeight="1" x14ac:dyDescent="0.25">
      <c r="A654" s="14" t="s">
        <v>13</v>
      </c>
      <c r="B654" s="16" t="s">
        <v>42</v>
      </c>
      <c r="C654" s="25" t="s">
        <v>61</v>
      </c>
      <c r="D654" s="12" t="s">
        <v>50</v>
      </c>
      <c r="E654" s="38">
        <v>0</v>
      </c>
      <c r="F654" s="39">
        <v>0</v>
      </c>
      <c r="G654" s="40">
        <v>0</v>
      </c>
      <c r="H654" s="41">
        <v>0</v>
      </c>
      <c r="I654" s="42">
        <f t="shared" si="242"/>
        <v>0</v>
      </c>
      <c r="J654" s="103" t="str">
        <f t="shared" si="243"/>
        <v/>
      </c>
      <c r="K654" s="104" t="str">
        <f t="shared" si="244"/>
        <v/>
      </c>
      <c r="L654" s="105" t="str">
        <f t="shared" si="245"/>
        <v/>
      </c>
      <c r="M654" s="106" t="str">
        <f t="shared" si="246"/>
        <v/>
      </c>
    </row>
    <row r="655" spans="1:14" s="8" customFormat="1" ht="30" customHeight="1" x14ac:dyDescent="0.25">
      <c r="A655" s="14" t="s">
        <v>13</v>
      </c>
      <c r="B655" s="16" t="s">
        <v>42</v>
      </c>
      <c r="C655" s="25"/>
      <c r="D655" s="9" t="s">
        <v>29</v>
      </c>
      <c r="E655" s="38">
        <f>SUM(E645:E654)</f>
        <v>0</v>
      </c>
      <c r="F655" s="39">
        <f t="shared" ref="F655" si="247">SUM(F645:F654)</f>
        <v>0</v>
      </c>
      <c r="G655" s="40">
        <f t="shared" ref="G655" si="248">SUM(G645:G654)</f>
        <v>0</v>
      </c>
      <c r="H655" s="41">
        <f t="shared" ref="H655" si="249">SUM(H645:H654)</f>
        <v>0</v>
      </c>
      <c r="I655" s="43">
        <f t="shared" ref="I655" si="250">SUM(I645:I654)</f>
        <v>0</v>
      </c>
      <c r="J655" s="103" t="str">
        <f>IFERROR(E655/SUM($E655:$H655)*100,"")</f>
        <v/>
      </c>
      <c r="K655" s="104" t="str">
        <f>IFERROR(F655/SUM($E655:$H655)*100,"")</f>
        <v/>
      </c>
      <c r="L655" s="105" t="str">
        <f>IFERROR(G655/SUM($E655:$H655)*100,"")</f>
        <v/>
      </c>
      <c r="M655" s="106" t="str">
        <f t="shared" si="246"/>
        <v/>
      </c>
      <c r="N655" s="5" t="s">
        <v>1671</v>
      </c>
    </row>
    <row r="656" spans="1:14" ht="5.0999999999999996" customHeight="1" x14ac:dyDescent="0.25">
      <c r="A656" s="14" t="s">
        <v>13</v>
      </c>
      <c r="B656" s="16" t="s">
        <v>42</v>
      </c>
      <c r="C656"/>
      <c r="D656" s="57"/>
      <c r="E656" s="59"/>
      <c r="F656" s="59"/>
      <c r="G656" s="59"/>
      <c r="H656" s="59"/>
      <c r="I656" s="59"/>
      <c r="J656" s="103"/>
      <c r="K656" s="104"/>
      <c r="L656" s="105"/>
      <c r="M656" s="106" t="str">
        <f t="shared" si="246"/>
        <v/>
      </c>
    </row>
    <row r="657" spans="1:14" s="7" customFormat="1" ht="20.100000000000001" customHeight="1" x14ac:dyDescent="0.25">
      <c r="A657" s="14" t="s">
        <v>13</v>
      </c>
      <c r="B657" s="16" t="s">
        <v>62</v>
      </c>
      <c r="C657" s="25" t="s">
        <v>60</v>
      </c>
      <c r="D657" s="62" t="s">
        <v>63</v>
      </c>
      <c r="E657" s="63"/>
      <c r="F657" s="63"/>
      <c r="G657" s="63"/>
      <c r="H657" s="63"/>
      <c r="I657" s="64"/>
      <c r="J657" s="103"/>
      <c r="K657" s="104"/>
      <c r="L657" s="105"/>
      <c r="M657" s="106" t="str">
        <f t="shared" si="246"/>
        <v/>
      </c>
      <c r="N657" s="5" t="s">
        <v>1673</v>
      </c>
    </row>
    <row r="658" spans="1:14" s="8" customFormat="1" ht="30" customHeight="1" x14ac:dyDescent="0.25">
      <c r="A658" s="14" t="s">
        <v>13</v>
      </c>
      <c r="B658" s="16" t="s">
        <v>62</v>
      </c>
      <c r="C658" s="25"/>
      <c r="D658" s="12" t="s">
        <v>29</v>
      </c>
      <c r="E658" s="38" t="e">
        <f>SUM(E608,E597,E616,E655,E611,E619,E628,E631,E642,#REF!)</f>
        <v>#REF!</v>
      </c>
      <c r="F658" s="39" t="e">
        <f>SUM(F608,F597,F616,F655,F611,F619,F628,F631,F642,#REF!)</f>
        <v>#REF!</v>
      </c>
      <c r="G658" s="40" t="e">
        <f>SUM(G608,G597,G616,G655,G611,G619,G628,G631,G642,#REF!)</f>
        <v>#REF!</v>
      </c>
      <c r="H658" s="41" t="e">
        <f>SUM(H608,H597,H616,H655,H611,H619,H628,H631,H642,#REF!)</f>
        <v>#REF!</v>
      </c>
      <c r="I658" s="42" t="e">
        <f>SUM(I608,I597,I616,I655,I611,I619,I628,I631,I642,#REF!)</f>
        <v>#REF!</v>
      </c>
      <c r="J658" s="103" t="str">
        <f>IFERROR(E658/SUM($E658:$H658)*100,"")</f>
        <v/>
      </c>
      <c r="K658" s="104" t="str">
        <f>IFERROR(F658/SUM($E658:$H658)*100,"")</f>
        <v/>
      </c>
      <c r="L658" s="105" t="str">
        <f>IFERROR(G658/SUM($E658:$H658)*100,"")</f>
        <v/>
      </c>
      <c r="M658" s="106" t="str">
        <f t="shared" si="246"/>
        <v/>
      </c>
      <c r="N658" s="5" t="s">
        <v>1671</v>
      </c>
    </row>
    <row r="659" spans="1:14" s="5" customFormat="1" ht="20.100000000000001" customHeight="1" x14ac:dyDescent="0.25">
      <c r="A659" s="14" t="s">
        <v>13</v>
      </c>
      <c r="B659" s="14"/>
      <c r="C659" s="25" t="s">
        <v>60</v>
      </c>
      <c r="D659" s="58"/>
      <c r="E659" s="60"/>
      <c r="F659" s="60"/>
      <c r="G659" s="60"/>
      <c r="H659" s="60"/>
      <c r="I659" s="60"/>
      <c r="J659" s="103"/>
      <c r="K659" s="104"/>
      <c r="L659" s="105"/>
      <c r="M659" s="106" t="str">
        <f t="shared" si="246"/>
        <v/>
      </c>
    </row>
    <row r="660" spans="1:14" s="5" customFormat="1" ht="20.100000000000001" customHeight="1" x14ac:dyDescent="0.25">
      <c r="A660" s="14" t="s">
        <v>14</v>
      </c>
      <c r="B660" s="14"/>
      <c r="C660" s="25" t="s">
        <v>60</v>
      </c>
      <c r="D660" s="20" t="str">
        <f>IFERROR(A660&amp;"   ("&amp;COUNTIFS(#REF!,"="&amp;A660)&amp;")",A660)</f>
        <v>DOK</v>
      </c>
      <c r="E660" s="45"/>
      <c r="F660" s="45"/>
      <c r="G660" s="45"/>
      <c r="H660" s="45"/>
      <c r="I660" s="46"/>
      <c r="J660" s="103"/>
      <c r="K660" s="104"/>
      <c r="L660" s="105"/>
      <c r="M660" s="106" t="str">
        <f t="shared" si="246"/>
        <v/>
      </c>
      <c r="N660" s="5" t="s">
        <v>1672</v>
      </c>
    </row>
    <row r="661" spans="1:14" s="5" customFormat="1" ht="20.100000000000001" customHeight="1" x14ac:dyDescent="0.25">
      <c r="A661" s="14" t="s">
        <v>14</v>
      </c>
      <c r="B661" s="16" t="s">
        <v>20</v>
      </c>
      <c r="C661" s="25" t="s">
        <v>60</v>
      </c>
      <c r="D661" s="6" t="s">
        <v>20</v>
      </c>
      <c r="E661" s="37"/>
      <c r="F661" s="37"/>
      <c r="G661" s="37"/>
      <c r="H661" s="37"/>
      <c r="I661" s="48"/>
      <c r="J661" s="103"/>
      <c r="K661" s="104"/>
      <c r="L661" s="105"/>
      <c r="M661" s="106" t="str">
        <f t="shared" si="246"/>
        <v/>
      </c>
      <c r="N661" s="5" t="s">
        <v>1673</v>
      </c>
    </row>
    <row r="662" spans="1:14" s="5" customFormat="1" ht="30" customHeight="1" x14ac:dyDescent="0.25">
      <c r="A662" s="14" t="s">
        <v>14</v>
      </c>
      <c r="B662" s="16" t="s">
        <v>20</v>
      </c>
      <c r="C662" s="25" t="s">
        <v>61</v>
      </c>
      <c r="D662" s="12" t="s">
        <v>25</v>
      </c>
      <c r="E662" s="38">
        <v>0</v>
      </c>
      <c r="F662" s="39">
        <v>0</v>
      </c>
      <c r="G662" s="40">
        <v>0</v>
      </c>
      <c r="H662" s="41">
        <v>0</v>
      </c>
      <c r="I662" s="42">
        <f>SUM(E662:H662)</f>
        <v>0</v>
      </c>
      <c r="J662" s="103" t="str">
        <f>IFERROR(E662/$I662*100,"")</f>
        <v/>
      </c>
      <c r="K662" s="104" t="str">
        <f>IFERROR(F662/$I662*100,"")</f>
        <v/>
      </c>
      <c r="L662" s="105" t="str">
        <f>IFERROR(G662/$I662*100,"")</f>
        <v/>
      </c>
      <c r="M662" s="106" t="str">
        <f t="shared" si="246"/>
        <v/>
      </c>
      <c r="N662" s="5" t="s">
        <v>1671</v>
      </c>
    </row>
    <row r="663" spans="1:14" ht="5.0999999999999996" customHeight="1" x14ac:dyDescent="0.25">
      <c r="A663" s="14" t="s">
        <v>14</v>
      </c>
      <c r="B663" s="16" t="s">
        <v>20</v>
      </c>
      <c r="C663"/>
      <c r="D663" s="57"/>
      <c r="E663" s="59"/>
      <c r="F663" s="59"/>
      <c r="G663" s="59"/>
      <c r="H663" s="59"/>
      <c r="I663" s="59"/>
      <c r="J663" s="103"/>
      <c r="K663" s="104"/>
      <c r="L663" s="105"/>
      <c r="M663" s="106" t="str">
        <f t="shared" si="246"/>
        <v/>
      </c>
    </row>
    <row r="664" spans="1:14" s="5" customFormat="1" ht="20.100000000000001" customHeight="1" x14ac:dyDescent="0.25">
      <c r="A664" s="14" t="s">
        <v>14</v>
      </c>
      <c r="B664" s="16" t="s">
        <v>26</v>
      </c>
      <c r="C664" s="25" t="s">
        <v>60</v>
      </c>
      <c r="D664" s="6" t="s">
        <v>98</v>
      </c>
      <c r="E664" s="37"/>
      <c r="F664" s="37"/>
      <c r="G664" s="37"/>
      <c r="H664" s="37"/>
      <c r="I664" s="47"/>
      <c r="J664" s="103"/>
      <c r="K664" s="104"/>
      <c r="L664" s="105"/>
      <c r="M664" s="106" t="str">
        <f t="shared" si="246"/>
        <v/>
      </c>
      <c r="N664" s="5" t="s">
        <v>1673</v>
      </c>
    </row>
    <row r="665" spans="1:14" s="5" customFormat="1" ht="30" customHeight="1" x14ac:dyDescent="0.25">
      <c r="A665" s="14" t="s">
        <v>14</v>
      </c>
      <c r="B665" s="16" t="s">
        <v>26</v>
      </c>
      <c r="C665" s="25" t="s">
        <v>61</v>
      </c>
      <c r="D665" s="31" t="s">
        <v>21</v>
      </c>
      <c r="E665" s="38">
        <v>0</v>
      </c>
      <c r="F665" s="39">
        <v>0</v>
      </c>
      <c r="G665" s="40">
        <v>0</v>
      </c>
      <c r="H665" s="41">
        <v>0</v>
      </c>
      <c r="I665" s="42">
        <f t="shared" ref="I665:I672" si="251">SUM(E665:H665)</f>
        <v>0</v>
      </c>
      <c r="J665" s="103" t="str">
        <f t="shared" ref="J665:L672" si="252">IFERROR(E665/$I665*100,"")</f>
        <v/>
      </c>
      <c r="K665" s="104" t="str">
        <f t="shared" si="252"/>
        <v/>
      </c>
      <c r="L665" s="105" t="str">
        <f t="shared" si="252"/>
        <v/>
      </c>
      <c r="M665" s="106" t="str">
        <f t="shared" si="246"/>
        <v/>
      </c>
    </row>
    <row r="666" spans="1:14" s="5" customFormat="1" ht="30" customHeight="1" x14ac:dyDescent="0.25">
      <c r="A666" s="14" t="s">
        <v>14</v>
      </c>
      <c r="B666" s="16" t="s">
        <v>26</v>
      </c>
      <c r="C666" s="25" t="s">
        <v>61</v>
      </c>
      <c r="D666" s="31" t="s">
        <v>22</v>
      </c>
      <c r="E666" s="38">
        <v>0</v>
      </c>
      <c r="F666" s="39">
        <v>0</v>
      </c>
      <c r="G666" s="40">
        <v>0</v>
      </c>
      <c r="H666" s="41">
        <v>0</v>
      </c>
      <c r="I666" s="42">
        <f t="shared" si="251"/>
        <v>0</v>
      </c>
      <c r="J666" s="103" t="str">
        <f t="shared" si="252"/>
        <v/>
      </c>
      <c r="K666" s="104" t="str">
        <f t="shared" si="252"/>
        <v/>
      </c>
      <c r="L666" s="105" t="str">
        <f t="shared" si="252"/>
        <v/>
      </c>
      <c r="M666" s="106" t="str">
        <f t="shared" si="246"/>
        <v/>
      </c>
    </row>
    <row r="667" spans="1:14" s="5" customFormat="1" ht="30" customHeight="1" x14ac:dyDescent="0.25">
      <c r="A667" s="14" t="s">
        <v>14</v>
      </c>
      <c r="B667" s="16" t="s">
        <v>26</v>
      </c>
      <c r="C667" s="25" t="s">
        <v>61</v>
      </c>
      <c r="D667" s="31" t="s">
        <v>27</v>
      </c>
      <c r="E667" s="38">
        <v>0</v>
      </c>
      <c r="F667" s="39">
        <v>0</v>
      </c>
      <c r="G667" s="40">
        <v>0</v>
      </c>
      <c r="H667" s="41">
        <v>0</v>
      </c>
      <c r="I667" s="42">
        <f t="shared" si="251"/>
        <v>0</v>
      </c>
      <c r="J667" s="103" t="str">
        <f t="shared" si="252"/>
        <v/>
      </c>
      <c r="K667" s="104" t="str">
        <f t="shared" si="252"/>
        <v/>
      </c>
      <c r="L667" s="105" t="str">
        <f t="shared" si="252"/>
        <v/>
      </c>
      <c r="M667" s="106" t="str">
        <f t="shared" si="246"/>
        <v/>
      </c>
    </row>
    <row r="668" spans="1:14" s="5" customFormat="1" ht="30" customHeight="1" x14ac:dyDescent="0.25">
      <c r="A668" s="14" t="s">
        <v>14</v>
      </c>
      <c r="B668" s="16" t="s">
        <v>26</v>
      </c>
      <c r="C668" s="25" t="s">
        <v>61</v>
      </c>
      <c r="D668" s="31" t="s">
        <v>23</v>
      </c>
      <c r="E668" s="38">
        <v>0</v>
      </c>
      <c r="F668" s="39">
        <v>0</v>
      </c>
      <c r="G668" s="40">
        <v>0</v>
      </c>
      <c r="H668" s="41">
        <v>0</v>
      </c>
      <c r="I668" s="42">
        <f t="shared" si="251"/>
        <v>0</v>
      </c>
      <c r="J668" s="103" t="str">
        <f t="shared" si="252"/>
        <v/>
      </c>
      <c r="K668" s="104" t="str">
        <f t="shared" si="252"/>
        <v/>
      </c>
      <c r="L668" s="105" t="str">
        <f t="shared" si="252"/>
        <v/>
      </c>
      <c r="M668" s="106" t="str">
        <f t="shared" si="246"/>
        <v/>
      </c>
    </row>
    <row r="669" spans="1:14" s="5" customFormat="1" ht="30" customHeight="1" x14ac:dyDescent="0.25">
      <c r="A669" s="14" t="s">
        <v>14</v>
      </c>
      <c r="B669" s="16" t="s">
        <v>26</v>
      </c>
      <c r="C669" s="25" t="s">
        <v>61</v>
      </c>
      <c r="D669" s="31" t="s">
        <v>24</v>
      </c>
      <c r="E669" s="38">
        <v>0</v>
      </c>
      <c r="F669" s="39">
        <v>0</v>
      </c>
      <c r="G669" s="40">
        <v>0</v>
      </c>
      <c r="H669" s="41">
        <v>0</v>
      </c>
      <c r="I669" s="42">
        <f t="shared" si="251"/>
        <v>0</v>
      </c>
      <c r="J669" s="103" t="str">
        <f t="shared" si="252"/>
        <v/>
      </c>
      <c r="K669" s="104" t="str">
        <f t="shared" si="252"/>
        <v/>
      </c>
      <c r="L669" s="105" t="str">
        <f t="shared" si="252"/>
        <v/>
      </c>
      <c r="M669" s="106" t="str">
        <f t="shared" si="246"/>
        <v/>
      </c>
    </row>
    <row r="670" spans="1:14" s="3" customFormat="1" ht="30" customHeight="1" x14ac:dyDescent="0.25">
      <c r="A670" s="14" t="s">
        <v>14</v>
      </c>
      <c r="B670" s="16" t="s">
        <v>26</v>
      </c>
      <c r="C670" s="25" t="s">
        <v>61</v>
      </c>
      <c r="D670" s="31" t="s">
        <v>41</v>
      </c>
      <c r="E670" s="38">
        <v>0</v>
      </c>
      <c r="F670" s="39">
        <v>0</v>
      </c>
      <c r="G670" s="40">
        <v>0</v>
      </c>
      <c r="H670" s="41">
        <v>0</v>
      </c>
      <c r="I670" s="42">
        <f t="shared" si="251"/>
        <v>0</v>
      </c>
      <c r="J670" s="103" t="str">
        <f t="shared" si="252"/>
        <v/>
      </c>
      <c r="K670" s="104" t="str">
        <f t="shared" si="252"/>
        <v/>
      </c>
      <c r="L670" s="105" t="str">
        <f t="shared" si="252"/>
        <v/>
      </c>
      <c r="M670" s="106" t="str">
        <f t="shared" si="246"/>
        <v/>
      </c>
    </row>
    <row r="671" spans="1:14" s="5" customFormat="1" ht="30" customHeight="1" x14ac:dyDescent="0.25">
      <c r="A671" s="14" t="s">
        <v>14</v>
      </c>
      <c r="B671" s="16" t="s">
        <v>26</v>
      </c>
      <c r="C671" s="25" t="s">
        <v>61</v>
      </c>
      <c r="D671" s="31" t="s">
        <v>28</v>
      </c>
      <c r="E671" s="38">
        <v>0</v>
      </c>
      <c r="F671" s="39">
        <v>0</v>
      </c>
      <c r="G671" s="40">
        <v>0</v>
      </c>
      <c r="H671" s="41">
        <v>0</v>
      </c>
      <c r="I671" s="42">
        <f t="shared" si="251"/>
        <v>0</v>
      </c>
      <c r="J671" s="103" t="str">
        <f t="shared" si="252"/>
        <v/>
      </c>
      <c r="K671" s="104" t="str">
        <f t="shared" si="252"/>
        <v/>
      </c>
      <c r="L671" s="105" t="str">
        <f t="shared" si="252"/>
        <v/>
      </c>
      <c r="M671" s="106" t="str">
        <f t="shared" si="246"/>
        <v/>
      </c>
    </row>
    <row r="672" spans="1:14" s="5" customFormat="1" ht="30" customHeight="1" x14ac:dyDescent="0.25">
      <c r="A672" s="14" t="s">
        <v>14</v>
      </c>
      <c r="B672" s="16" t="s">
        <v>26</v>
      </c>
      <c r="C672" s="25" t="s">
        <v>61</v>
      </c>
      <c r="D672" s="31" t="s">
        <v>40</v>
      </c>
      <c r="E672" s="38">
        <v>0</v>
      </c>
      <c r="F672" s="39">
        <v>0</v>
      </c>
      <c r="G672" s="40">
        <v>0</v>
      </c>
      <c r="H672" s="41">
        <v>0</v>
      </c>
      <c r="I672" s="42">
        <f t="shared" si="251"/>
        <v>0</v>
      </c>
      <c r="J672" s="103" t="str">
        <f t="shared" si="252"/>
        <v/>
      </c>
      <c r="K672" s="104" t="str">
        <f t="shared" si="252"/>
        <v/>
      </c>
      <c r="L672" s="105" t="str">
        <f t="shared" si="252"/>
        <v/>
      </c>
      <c r="M672" s="106" t="str">
        <f t="shared" si="246"/>
        <v/>
      </c>
    </row>
    <row r="673" spans="1:14" s="5" customFormat="1" ht="30" customHeight="1" x14ac:dyDescent="0.25">
      <c r="A673" s="14" t="s">
        <v>14</v>
      </c>
      <c r="B673" s="16" t="s">
        <v>26</v>
      </c>
      <c r="C673" s="25"/>
      <c r="D673" s="9" t="s">
        <v>29</v>
      </c>
      <c r="E673" s="38">
        <f>SUM(E665:E672)</f>
        <v>0</v>
      </c>
      <c r="F673" s="39">
        <f t="shared" ref="F673" si="253">SUM(F665:F672)</f>
        <v>0</v>
      </c>
      <c r="G673" s="40">
        <f t="shared" ref="G673" si="254">SUM(G665:G672)</f>
        <v>0</v>
      </c>
      <c r="H673" s="41">
        <f t="shared" ref="H673" si="255">SUM(H665:H672)</f>
        <v>0</v>
      </c>
      <c r="I673" s="43">
        <f t="shared" ref="I673" si="256">SUM(I665:I672)</f>
        <v>0</v>
      </c>
      <c r="J673" s="103" t="str">
        <f>IFERROR(E673/SUM($E673:$H673)*100,"")</f>
        <v/>
      </c>
      <c r="K673" s="104" t="str">
        <f>IFERROR(F673/SUM($E673:$H673)*100,"")</f>
        <v/>
      </c>
      <c r="L673" s="105" t="str">
        <f>IFERROR(G673/SUM($E673:$H673)*100,"")</f>
        <v/>
      </c>
      <c r="M673" s="106" t="str">
        <f t="shared" si="246"/>
        <v/>
      </c>
      <c r="N673" s="5" t="s">
        <v>1671</v>
      </c>
    </row>
    <row r="674" spans="1:14" ht="5.0999999999999996" customHeight="1" x14ac:dyDescent="0.25">
      <c r="A674" s="14" t="s">
        <v>14</v>
      </c>
      <c r="B674" s="16" t="s">
        <v>26</v>
      </c>
      <c r="C674"/>
      <c r="D674" s="57"/>
      <c r="E674" s="59"/>
      <c r="F674" s="59"/>
      <c r="G674" s="59"/>
      <c r="H674" s="59"/>
      <c r="I674" s="59"/>
      <c r="J674" s="103"/>
      <c r="K674" s="104"/>
      <c r="L674" s="105"/>
      <c r="M674" s="106" t="str">
        <f t="shared" si="246"/>
        <v/>
      </c>
    </row>
    <row r="675" spans="1:14" s="5" customFormat="1" ht="20.100000000000001" customHeight="1" x14ac:dyDescent="0.25">
      <c r="A675" s="14" t="s">
        <v>14</v>
      </c>
      <c r="B675" s="16" t="s">
        <v>64</v>
      </c>
      <c r="C675" s="25" t="s">
        <v>60</v>
      </c>
      <c r="D675" s="6" t="s">
        <v>65</v>
      </c>
      <c r="E675" s="37"/>
      <c r="F675" s="37"/>
      <c r="G675" s="37"/>
      <c r="H675" s="37"/>
      <c r="I675" s="48"/>
      <c r="J675" s="103"/>
      <c r="K675" s="104"/>
      <c r="L675" s="105"/>
      <c r="M675" s="106" t="str">
        <f t="shared" si="246"/>
        <v/>
      </c>
      <c r="N675" s="5" t="s">
        <v>1673</v>
      </c>
    </row>
    <row r="676" spans="1:14" s="5" customFormat="1" ht="30" customHeight="1" x14ac:dyDescent="0.25">
      <c r="A676" s="14" t="s">
        <v>14</v>
      </c>
      <c r="B676" s="16" t="s">
        <v>64</v>
      </c>
      <c r="C676" s="25" t="s">
        <v>61</v>
      </c>
      <c r="D676" s="12" t="s">
        <v>66</v>
      </c>
      <c r="E676" s="38">
        <v>0</v>
      </c>
      <c r="F676" s="39">
        <v>0</v>
      </c>
      <c r="G676" s="40">
        <v>0</v>
      </c>
      <c r="H676" s="41">
        <v>0</v>
      </c>
      <c r="I676" s="42">
        <f>SUM(E676:H676)</f>
        <v>0</v>
      </c>
      <c r="J676" s="103" t="str">
        <f>IFERROR(E676/$I676*100,"")</f>
        <v/>
      </c>
      <c r="K676" s="104" t="str">
        <f>IFERROR(F676/$I676*100,"")</f>
        <v/>
      </c>
      <c r="L676" s="105" t="str">
        <f>IFERROR(G676/$I676*100,"")</f>
        <v/>
      </c>
      <c r="M676" s="106" t="str">
        <f t="shared" si="246"/>
        <v/>
      </c>
      <c r="N676" s="5" t="s">
        <v>1671</v>
      </c>
    </row>
    <row r="677" spans="1:14" ht="5.0999999999999996" customHeight="1" x14ac:dyDescent="0.25">
      <c r="A677" s="14" t="s">
        <v>14</v>
      </c>
      <c r="B677" s="16" t="s">
        <v>64</v>
      </c>
      <c r="C677"/>
      <c r="D677" s="57"/>
      <c r="E677" s="59"/>
      <c r="F677" s="59"/>
      <c r="G677" s="59"/>
      <c r="H677" s="59"/>
      <c r="I677" s="59"/>
      <c r="J677" s="103"/>
      <c r="K677" s="104"/>
      <c r="L677" s="105"/>
      <c r="M677" s="106" t="str">
        <f t="shared" si="246"/>
        <v/>
      </c>
    </row>
    <row r="678" spans="1:14" s="5" customFormat="1" ht="20.100000000000001" customHeight="1" x14ac:dyDescent="0.25">
      <c r="A678" s="14" t="s">
        <v>14</v>
      </c>
      <c r="B678" s="16" t="s">
        <v>55</v>
      </c>
      <c r="C678" s="25" t="s">
        <v>60</v>
      </c>
      <c r="D678" s="6" t="s">
        <v>55</v>
      </c>
      <c r="E678" s="37"/>
      <c r="F678" s="37"/>
      <c r="G678" s="37"/>
      <c r="H678" s="37"/>
      <c r="I678" s="48"/>
      <c r="J678" s="103"/>
      <c r="K678" s="104"/>
      <c r="L678" s="105"/>
      <c r="M678" s="106" t="str">
        <f t="shared" si="246"/>
        <v/>
      </c>
      <c r="N678" s="5" t="s">
        <v>1673</v>
      </c>
    </row>
    <row r="679" spans="1:14" s="3" customFormat="1" ht="30" customHeight="1" x14ac:dyDescent="0.25">
      <c r="A679" s="14" t="s">
        <v>14</v>
      </c>
      <c r="B679" s="16" t="s">
        <v>55</v>
      </c>
      <c r="C679" s="25" t="s">
        <v>61</v>
      </c>
      <c r="D679" s="12" t="s">
        <v>56</v>
      </c>
      <c r="E679" s="38">
        <v>0</v>
      </c>
      <c r="F679" s="39">
        <v>0</v>
      </c>
      <c r="G679" s="40">
        <v>0</v>
      </c>
      <c r="H679" s="41">
        <v>0</v>
      </c>
      <c r="I679" s="42">
        <f>SUM(E679:H679)</f>
        <v>0</v>
      </c>
      <c r="J679" s="103" t="str">
        <f t="shared" ref="J679:L681" si="257">IFERROR(E679/$I679*100,"")</f>
        <v/>
      </c>
      <c r="K679" s="104" t="str">
        <f t="shared" si="257"/>
        <v/>
      </c>
      <c r="L679" s="105" t="str">
        <f t="shared" si="257"/>
        <v/>
      </c>
      <c r="M679" s="106" t="str">
        <f t="shared" si="246"/>
        <v/>
      </c>
      <c r="N679" s="5"/>
    </row>
    <row r="680" spans="1:14" s="3" customFormat="1" ht="30" customHeight="1" x14ac:dyDescent="0.25">
      <c r="A680" s="14" t="s">
        <v>14</v>
      </c>
      <c r="B680" s="16" t="s">
        <v>55</v>
      </c>
      <c r="C680" s="25" t="s">
        <v>61</v>
      </c>
      <c r="D680" s="12" t="s">
        <v>57</v>
      </c>
      <c r="E680" s="38">
        <v>0</v>
      </c>
      <c r="F680" s="39">
        <v>0</v>
      </c>
      <c r="G680" s="40">
        <v>0</v>
      </c>
      <c r="H680" s="41">
        <v>0</v>
      </c>
      <c r="I680" s="42">
        <f>SUM(E680:H680)</f>
        <v>0</v>
      </c>
      <c r="J680" s="103" t="str">
        <f t="shared" si="257"/>
        <v/>
      </c>
      <c r="K680" s="104" t="str">
        <f t="shared" si="257"/>
        <v/>
      </c>
      <c r="L680" s="105" t="str">
        <f t="shared" si="257"/>
        <v/>
      </c>
      <c r="M680" s="106" t="str">
        <f t="shared" si="246"/>
        <v/>
      </c>
    </row>
    <row r="681" spans="1:14" s="3" customFormat="1" ht="30" customHeight="1" x14ac:dyDescent="0.25">
      <c r="A681" s="14" t="s">
        <v>14</v>
      </c>
      <c r="B681" s="16" t="s">
        <v>55</v>
      </c>
      <c r="C681" s="25"/>
      <c r="D681" s="91" t="s">
        <v>29</v>
      </c>
      <c r="E681" s="38">
        <f>SUM(E679:E680)</f>
        <v>0</v>
      </c>
      <c r="F681" s="39">
        <f t="shared" ref="F681" si="258">SUM(F679:F680)</f>
        <v>0</v>
      </c>
      <c r="G681" s="40">
        <f t="shared" ref="G681" si="259">SUM(G679:G680)</f>
        <v>0</v>
      </c>
      <c r="H681" s="41">
        <f t="shared" ref="H681" si="260">SUM(H679:H680)</f>
        <v>0</v>
      </c>
      <c r="I681" s="42">
        <f t="shared" ref="I681" si="261">SUM(I679:I680)</f>
        <v>0</v>
      </c>
      <c r="J681" s="103" t="str">
        <f t="shared" si="257"/>
        <v/>
      </c>
      <c r="K681" s="104" t="str">
        <f t="shared" si="257"/>
        <v/>
      </c>
      <c r="L681" s="105" t="str">
        <f t="shared" si="257"/>
        <v/>
      </c>
      <c r="M681" s="106" t="str">
        <f t="shared" si="246"/>
        <v/>
      </c>
      <c r="N681" s="5" t="s">
        <v>1671</v>
      </c>
    </row>
    <row r="682" spans="1:14" ht="5.0999999999999996" customHeight="1" x14ac:dyDescent="0.25">
      <c r="A682" s="14" t="s">
        <v>14</v>
      </c>
      <c r="B682" s="16" t="s">
        <v>55</v>
      </c>
      <c r="C682"/>
      <c r="D682" s="57"/>
      <c r="E682" s="59"/>
      <c r="F682" s="59"/>
      <c r="G682" s="59"/>
      <c r="H682" s="59"/>
      <c r="I682" s="59"/>
      <c r="J682" s="103"/>
      <c r="K682" s="104"/>
      <c r="L682" s="105"/>
      <c r="M682" s="106" t="str">
        <f t="shared" si="246"/>
        <v/>
      </c>
    </row>
    <row r="683" spans="1:14" s="5" customFormat="1" ht="20.100000000000001" customHeight="1" x14ac:dyDescent="0.25">
      <c r="A683" s="14" t="s">
        <v>14</v>
      </c>
      <c r="B683" s="16" t="s">
        <v>74</v>
      </c>
      <c r="C683" s="25" t="s">
        <v>60</v>
      </c>
      <c r="D683" s="6" t="s">
        <v>75</v>
      </c>
      <c r="E683" s="37"/>
      <c r="F683" s="37"/>
      <c r="G683" s="37"/>
      <c r="H683" s="37"/>
      <c r="I683" s="48"/>
      <c r="J683" s="103"/>
      <c r="K683" s="104"/>
      <c r="L683" s="105"/>
      <c r="M683" s="106" t="str">
        <f t="shared" si="246"/>
        <v/>
      </c>
      <c r="N683" s="5" t="s">
        <v>1673</v>
      </c>
    </row>
    <row r="684" spans="1:14" s="3" customFormat="1" ht="30" customHeight="1" x14ac:dyDescent="0.25">
      <c r="A684" s="14" t="s">
        <v>14</v>
      </c>
      <c r="B684" s="16" t="s">
        <v>74</v>
      </c>
      <c r="C684" s="25" t="s">
        <v>61</v>
      </c>
      <c r="D684" s="12" t="s">
        <v>77</v>
      </c>
      <c r="E684" s="38">
        <v>0</v>
      </c>
      <c r="F684" s="39">
        <v>0</v>
      </c>
      <c r="G684" s="40">
        <v>0</v>
      </c>
      <c r="H684" s="41">
        <v>0</v>
      </c>
      <c r="I684" s="42">
        <f>SUM(E684:H684)</f>
        <v>0</v>
      </c>
      <c r="J684" s="103" t="str">
        <f>IFERROR(E684/$I684*100,"")</f>
        <v/>
      </c>
      <c r="K684" s="104" t="str">
        <f>IFERROR(F684/$I684*100,"")</f>
        <v/>
      </c>
      <c r="L684" s="105" t="str">
        <f>IFERROR(G684/$I684*100,"")</f>
        <v/>
      </c>
      <c r="M684" s="106" t="str">
        <f t="shared" si="246"/>
        <v/>
      </c>
      <c r="N684" s="3" t="s">
        <v>1671</v>
      </c>
    </row>
    <row r="685" spans="1:14" ht="5.0999999999999996" customHeight="1" x14ac:dyDescent="0.25">
      <c r="A685" s="14" t="s">
        <v>14</v>
      </c>
      <c r="B685" s="16" t="s">
        <v>74</v>
      </c>
      <c r="C685"/>
      <c r="D685" s="57"/>
      <c r="E685" s="59"/>
      <c r="F685" s="59"/>
      <c r="G685" s="59"/>
      <c r="H685" s="59"/>
      <c r="I685" s="59"/>
      <c r="J685" s="103"/>
      <c r="K685" s="104"/>
      <c r="L685" s="105"/>
      <c r="M685" s="106" t="str">
        <f t="shared" si="246"/>
        <v/>
      </c>
    </row>
    <row r="686" spans="1:14" s="5" customFormat="1" ht="20.100000000000001" customHeight="1" x14ac:dyDescent="0.25">
      <c r="A686" s="14" t="s">
        <v>14</v>
      </c>
      <c r="B686" s="16" t="s">
        <v>78</v>
      </c>
      <c r="C686" s="25" t="s">
        <v>60</v>
      </c>
      <c r="D686" s="6" t="s">
        <v>80</v>
      </c>
      <c r="E686" s="37"/>
      <c r="F686" s="37"/>
      <c r="G686" s="37"/>
      <c r="H686" s="37"/>
      <c r="I686" s="48"/>
      <c r="J686" s="103"/>
      <c r="K686" s="104"/>
      <c r="L686" s="105"/>
      <c r="M686" s="106" t="str">
        <f t="shared" si="246"/>
        <v/>
      </c>
      <c r="N686" s="5" t="s">
        <v>1673</v>
      </c>
    </row>
    <row r="687" spans="1:14" s="5" customFormat="1" ht="30" customHeight="1" x14ac:dyDescent="0.25">
      <c r="A687" s="14" t="s">
        <v>14</v>
      </c>
      <c r="B687" s="16" t="s">
        <v>78</v>
      </c>
      <c r="C687" s="25" t="s">
        <v>61</v>
      </c>
      <c r="D687" s="81" t="s">
        <v>81</v>
      </c>
      <c r="E687" s="38">
        <v>0</v>
      </c>
      <c r="F687" s="39">
        <v>0</v>
      </c>
      <c r="G687" s="40">
        <v>0</v>
      </c>
      <c r="H687" s="41">
        <v>0</v>
      </c>
      <c r="I687" s="42">
        <f t="shared" ref="I687:I693" si="262">SUM(E687:H687)</f>
        <v>0</v>
      </c>
      <c r="J687" s="103" t="str">
        <f t="shared" ref="J687:L693" si="263">IFERROR(E687/$I687*100,"")</f>
        <v/>
      </c>
      <c r="K687" s="104" t="str">
        <f t="shared" si="263"/>
        <v/>
      </c>
      <c r="L687" s="105" t="str">
        <f t="shared" si="263"/>
        <v/>
      </c>
      <c r="M687" s="106" t="str">
        <f t="shared" si="246"/>
        <v/>
      </c>
    </row>
    <row r="688" spans="1:14" s="5" customFormat="1" ht="30" customHeight="1" x14ac:dyDescent="0.25">
      <c r="A688" s="14" t="s">
        <v>14</v>
      </c>
      <c r="B688" s="16" t="s">
        <v>78</v>
      </c>
      <c r="C688" s="25" t="s">
        <v>61</v>
      </c>
      <c r="D688" s="81" t="s">
        <v>82</v>
      </c>
      <c r="E688" s="38">
        <v>0</v>
      </c>
      <c r="F688" s="39">
        <v>0</v>
      </c>
      <c r="G688" s="40">
        <v>0</v>
      </c>
      <c r="H688" s="41">
        <v>0</v>
      </c>
      <c r="I688" s="42">
        <f t="shared" si="262"/>
        <v>0</v>
      </c>
      <c r="J688" s="103" t="str">
        <f t="shared" si="263"/>
        <v/>
      </c>
      <c r="K688" s="104" t="str">
        <f t="shared" si="263"/>
        <v/>
      </c>
      <c r="L688" s="105" t="str">
        <f t="shared" si="263"/>
        <v/>
      </c>
      <c r="M688" s="106" t="str">
        <f t="shared" si="246"/>
        <v/>
      </c>
    </row>
    <row r="689" spans="1:14" s="5" customFormat="1" ht="30" customHeight="1" x14ac:dyDescent="0.25">
      <c r="A689" s="14" t="s">
        <v>14</v>
      </c>
      <c r="B689" s="16" t="s">
        <v>78</v>
      </c>
      <c r="C689" s="25" t="s">
        <v>61</v>
      </c>
      <c r="D689" s="81" t="s">
        <v>83</v>
      </c>
      <c r="E689" s="38">
        <v>0</v>
      </c>
      <c r="F689" s="39">
        <v>0</v>
      </c>
      <c r="G689" s="40">
        <v>0</v>
      </c>
      <c r="H689" s="41">
        <v>0</v>
      </c>
      <c r="I689" s="42">
        <f t="shared" si="262"/>
        <v>0</v>
      </c>
      <c r="J689" s="103" t="str">
        <f t="shared" si="263"/>
        <v/>
      </c>
      <c r="K689" s="104" t="str">
        <f t="shared" si="263"/>
        <v/>
      </c>
      <c r="L689" s="105" t="str">
        <f t="shared" si="263"/>
        <v/>
      </c>
      <c r="M689" s="106" t="str">
        <f t="shared" si="246"/>
        <v/>
      </c>
    </row>
    <row r="690" spans="1:14" s="5" customFormat="1" ht="30" customHeight="1" x14ac:dyDescent="0.25">
      <c r="A690" s="14" t="s">
        <v>14</v>
      </c>
      <c r="B690" s="16" t="s">
        <v>78</v>
      </c>
      <c r="C690" s="25" t="s">
        <v>61</v>
      </c>
      <c r="D690" s="81" t="s">
        <v>88</v>
      </c>
      <c r="E690" s="38">
        <v>0</v>
      </c>
      <c r="F690" s="39">
        <v>0</v>
      </c>
      <c r="G690" s="40">
        <v>0</v>
      </c>
      <c r="H690" s="41">
        <v>0</v>
      </c>
      <c r="I690" s="42">
        <f t="shared" si="262"/>
        <v>0</v>
      </c>
      <c r="J690" s="103" t="str">
        <f t="shared" si="263"/>
        <v/>
      </c>
      <c r="K690" s="104" t="str">
        <f t="shared" si="263"/>
        <v/>
      </c>
      <c r="L690" s="105" t="str">
        <f t="shared" si="263"/>
        <v/>
      </c>
      <c r="M690" s="106" t="str">
        <f t="shared" si="246"/>
        <v/>
      </c>
    </row>
    <row r="691" spans="1:14" s="5" customFormat="1" ht="30" customHeight="1" x14ac:dyDescent="0.25">
      <c r="A691" s="14" t="s">
        <v>14</v>
      </c>
      <c r="B691" s="16" t="s">
        <v>78</v>
      </c>
      <c r="C691" s="25" t="s">
        <v>61</v>
      </c>
      <c r="D691" s="81" t="s">
        <v>87</v>
      </c>
      <c r="E691" s="38">
        <v>0</v>
      </c>
      <c r="F691" s="39">
        <v>0</v>
      </c>
      <c r="G691" s="40">
        <v>0</v>
      </c>
      <c r="H691" s="41">
        <v>0</v>
      </c>
      <c r="I691" s="42">
        <f t="shared" si="262"/>
        <v>0</v>
      </c>
      <c r="J691" s="103" t="str">
        <f t="shared" si="263"/>
        <v/>
      </c>
      <c r="K691" s="104" t="str">
        <f t="shared" si="263"/>
        <v/>
      </c>
      <c r="L691" s="105" t="str">
        <f t="shared" si="263"/>
        <v/>
      </c>
      <c r="M691" s="106" t="str">
        <f t="shared" si="246"/>
        <v/>
      </c>
    </row>
    <row r="692" spans="1:14" s="5" customFormat="1" ht="30" customHeight="1" x14ac:dyDescent="0.25">
      <c r="A692" s="14" t="s">
        <v>14</v>
      </c>
      <c r="B692" s="16" t="s">
        <v>78</v>
      </c>
      <c r="C692" s="25" t="s">
        <v>61</v>
      </c>
      <c r="D692" s="81" t="s">
        <v>84</v>
      </c>
      <c r="E692" s="38">
        <v>0</v>
      </c>
      <c r="F692" s="39">
        <v>0</v>
      </c>
      <c r="G692" s="40">
        <v>0</v>
      </c>
      <c r="H692" s="41">
        <v>0</v>
      </c>
      <c r="I692" s="42">
        <f t="shared" si="262"/>
        <v>0</v>
      </c>
      <c r="J692" s="103" t="str">
        <f t="shared" si="263"/>
        <v/>
      </c>
      <c r="K692" s="104" t="str">
        <f t="shared" si="263"/>
        <v/>
      </c>
      <c r="L692" s="105" t="str">
        <f t="shared" si="263"/>
        <v/>
      </c>
      <c r="M692" s="106" t="str">
        <f t="shared" si="246"/>
        <v/>
      </c>
    </row>
    <row r="693" spans="1:14" s="5" customFormat="1" ht="30" customHeight="1" x14ac:dyDescent="0.25">
      <c r="A693" s="14" t="s">
        <v>14</v>
      </c>
      <c r="B693" s="16" t="s">
        <v>78</v>
      </c>
      <c r="C693" s="25" t="s">
        <v>86</v>
      </c>
      <c r="D693" s="81" t="s">
        <v>79</v>
      </c>
      <c r="E693" s="38">
        <v>0</v>
      </c>
      <c r="F693" s="39">
        <v>0</v>
      </c>
      <c r="G693" s="40">
        <v>0</v>
      </c>
      <c r="H693" s="41">
        <v>0</v>
      </c>
      <c r="I693" s="42">
        <f t="shared" si="262"/>
        <v>0</v>
      </c>
      <c r="J693" s="103" t="str">
        <f t="shared" si="263"/>
        <v/>
      </c>
      <c r="K693" s="104" t="str">
        <f t="shared" si="263"/>
        <v/>
      </c>
      <c r="L693" s="105" t="str">
        <f t="shared" si="263"/>
        <v/>
      </c>
      <c r="M693" s="106" t="str">
        <f t="shared" si="246"/>
        <v/>
      </c>
      <c r="N693" s="5" t="s">
        <v>1671</v>
      </c>
    </row>
    <row r="694" spans="1:14" ht="5.0999999999999996" customHeight="1" x14ac:dyDescent="0.25">
      <c r="A694" s="14" t="s">
        <v>14</v>
      </c>
      <c r="B694" s="16" t="s">
        <v>78</v>
      </c>
      <c r="C694"/>
      <c r="D694" s="57"/>
      <c r="E694" s="59"/>
      <c r="F694" s="59"/>
      <c r="G694" s="59"/>
      <c r="H694" s="59"/>
      <c r="I694" s="59"/>
      <c r="J694" s="103"/>
      <c r="K694" s="104"/>
      <c r="L694" s="105"/>
      <c r="M694" s="106" t="str">
        <f t="shared" si="246"/>
        <v/>
      </c>
    </row>
    <row r="695" spans="1:14" s="5" customFormat="1" ht="20.100000000000001" customHeight="1" x14ac:dyDescent="0.25">
      <c r="A695" s="14" t="s">
        <v>14</v>
      </c>
      <c r="B695" s="16" t="s">
        <v>91</v>
      </c>
      <c r="C695" s="25" t="s">
        <v>60</v>
      </c>
      <c r="D695" s="6" t="s">
        <v>89</v>
      </c>
      <c r="E695" s="37"/>
      <c r="F695" s="37"/>
      <c r="G695" s="37"/>
      <c r="H695" s="37"/>
      <c r="I695" s="48"/>
      <c r="J695" s="103"/>
      <c r="K695" s="104"/>
      <c r="L695" s="105"/>
      <c r="M695" s="106" t="str">
        <f t="shared" si="246"/>
        <v/>
      </c>
      <c r="N695" s="5" t="s">
        <v>1673</v>
      </c>
    </row>
    <row r="696" spans="1:14" s="5" customFormat="1" ht="30" customHeight="1" x14ac:dyDescent="0.25">
      <c r="A696" s="14" t="s">
        <v>14</v>
      </c>
      <c r="B696" s="16" t="s">
        <v>91</v>
      </c>
      <c r="C696" s="25" t="s">
        <v>61</v>
      </c>
      <c r="D696" s="82" t="s">
        <v>90</v>
      </c>
      <c r="E696" s="38">
        <v>0</v>
      </c>
      <c r="F696" s="39">
        <v>0</v>
      </c>
      <c r="G696" s="40">
        <v>0</v>
      </c>
      <c r="H696" s="41">
        <v>0</v>
      </c>
      <c r="I696" s="42">
        <f t="shared" ref="I696" si="264">SUM(E696:H696)</f>
        <v>0</v>
      </c>
      <c r="J696" s="103" t="str">
        <f>IFERROR(E696/$I696*100,"")</f>
        <v/>
      </c>
      <c r="K696" s="104" t="str">
        <f>IFERROR(F696/$I696*100,"")</f>
        <v/>
      </c>
      <c r="L696" s="105" t="str">
        <f>IFERROR(G696/$I696*100,"")</f>
        <v/>
      </c>
      <c r="M696" s="106" t="str">
        <f t="shared" si="246"/>
        <v/>
      </c>
      <c r="N696" s="5" t="s">
        <v>1671</v>
      </c>
    </row>
    <row r="697" spans="1:14" ht="5.0999999999999996" customHeight="1" x14ac:dyDescent="0.25">
      <c r="A697" s="14" t="s">
        <v>14</v>
      </c>
      <c r="B697" s="16" t="s">
        <v>91</v>
      </c>
      <c r="C697"/>
      <c r="D697" s="57"/>
      <c r="E697" s="59"/>
      <c r="F697" s="59"/>
      <c r="G697" s="59"/>
      <c r="H697" s="59"/>
      <c r="I697" s="59"/>
      <c r="J697" s="103"/>
      <c r="K697" s="104"/>
      <c r="L697" s="105"/>
      <c r="M697" s="106" t="str">
        <f t="shared" si="246"/>
        <v/>
      </c>
    </row>
    <row r="698" spans="1:14" s="5" customFormat="1" ht="20.100000000000001" customHeight="1" x14ac:dyDescent="0.25">
      <c r="A698" s="14" t="s">
        <v>14</v>
      </c>
      <c r="B698" s="16" t="s">
        <v>1916</v>
      </c>
      <c r="C698" s="25" t="s">
        <v>60</v>
      </c>
      <c r="D698" s="6" t="s">
        <v>1853</v>
      </c>
      <c r="E698" s="37"/>
      <c r="F698" s="37"/>
      <c r="G698" s="37"/>
      <c r="H698" s="37"/>
      <c r="I698" s="48"/>
      <c r="J698" s="103"/>
      <c r="K698" s="104"/>
      <c r="L698" s="105"/>
      <c r="M698" s="106" t="str">
        <f t="shared" si="246"/>
        <v/>
      </c>
      <c r="N698" s="5" t="s">
        <v>1673</v>
      </c>
    </row>
    <row r="699" spans="1:14" s="5" customFormat="1" ht="30" customHeight="1" x14ac:dyDescent="0.25">
      <c r="A699" s="14" t="s">
        <v>14</v>
      </c>
      <c r="B699" s="16" t="s">
        <v>1916</v>
      </c>
      <c r="C699" s="25" t="s">
        <v>61</v>
      </c>
      <c r="D699" s="175" t="s">
        <v>1917</v>
      </c>
      <c r="E699" s="38">
        <v>0</v>
      </c>
      <c r="F699" s="39">
        <v>0</v>
      </c>
      <c r="G699" s="40">
        <v>0</v>
      </c>
      <c r="H699" s="41">
        <v>0</v>
      </c>
      <c r="I699" s="42">
        <f t="shared" ref="I699" si="265">SUM(E699:H699)</f>
        <v>0</v>
      </c>
      <c r="J699" s="103" t="str">
        <f>IFERROR(E699/$I699*100,"")</f>
        <v/>
      </c>
      <c r="K699" s="104" t="str">
        <f>IFERROR(F699/$I699*100,"")</f>
        <v/>
      </c>
      <c r="L699" s="105" t="str">
        <f>IFERROR(G699/$I699*100,"")</f>
        <v/>
      </c>
      <c r="M699" s="106" t="str">
        <f t="shared" si="246"/>
        <v/>
      </c>
      <c r="N699" s="5" t="s">
        <v>1671</v>
      </c>
    </row>
    <row r="700" spans="1:14" ht="5.0999999999999996" customHeight="1" x14ac:dyDescent="0.25">
      <c r="A700" s="14" t="s">
        <v>14</v>
      </c>
      <c r="B700" s="16" t="s">
        <v>1916</v>
      </c>
      <c r="C700"/>
      <c r="D700" s="57"/>
      <c r="E700" s="59"/>
      <c r="F700" s="59"/>
      <c r="G700" s="59"/>
      <c r="H700" s="59"/>
      <c r="I700" s="59"/>
      <c r="J700" s="103"/>
      <c r="K700" s="104"/>
      <c r="L700" s="105"/>
      <c r="M700" s="106" t="str">
        <f t="shared" si="246"/>
        <v/>
      </c>
    </row>
    <row r="701" spans="1:14" s="5" customFormat="1" ht="20.100000000000001" customHeight="1" x14ac:dyDescent="0.25">
      <c r="A701" s="14" t="s">
        <v>14</v>
      </c>
      <c r="B701" s="16" t="s">
        <v>1637</v>
      </c>
      <c r="C701" s="25" t="s">
        <v>60</v>
      </c>
      <c r="D701" s="6" t="s">
        <v>1636</v>
      </c>
      <c r="E701" s="37"/>
      <c r="F701" s="37"/>
      <c r="G701" s="37"/>
      <c r="H701" s="37"/>
      <c r="I701" s="48"/>
      <c r="J701" s="103"/>
      <c r="K701" s="104"/>
      <c r="L701" s="105"/>
      <c r="M701" s="106" t="str">
        <f t="shared" si="246"/>
        <v/>
      </c>
      <c r="N701" s="5" t="s">
        <v>1673</v>
      </c>
    </row>
    <row r="702" spans="1:14" s="3" customFormat="1" ht="30" customHeight="1" x14ac:dyDescent="0.25">
      <c r="A702" s="14" t="s">
        <v>14</v>
      </c>
      <c r="B702" s="16" t="s">
        <v>1637</v>
      </c>
      <c r="C702" s="25" t="s">
        <v>61</v>
      </c>
      <c r="D702" s="87" t="s">
        <v>1638</v>
      </c>
      <c r="E702" s="38">
        <v>0</v>
      </c>
      <c r="F702" s="39">
        <v>0</v>
      </c>
      <c r="G702" s="40">
        <v>0</v>
      </c>
      <c r="H702" s="41">
        <v>0</v>
      </c>
      <c r="I702" s="42">
        <f t="shared" ref="I702:I707" si="266">SUM(E702:H702)</f>
        <v>0</v>
      </c>
      <c r="J702" s="103" t="str">
        <f t="shared" ref="J702:L706" si="267">IFERROR(E702/$I702*100,"")</f>
        <v/>
      </c>
      <c r="K702" s="104" t="str">
        <f t="shared" si="267"/>
        <v/>
      </c>
      <c r="L702" s="105" t="str">
        <f t="shared" si="267"/>
        <v/>
      </c>
      <c r="M702" s="106" t="str">
        <f t="shared" si="246"/>
        <v/>
      </c>
    </row>
    <row r="703" spans="1:14" s="3" customFormat="1" ht="30" customHeight="1" x14ac:dyDescent="0.25">
      <c r="A703" s="14" t="s">
        <v>14</v>
      </c>
      <c r="B703" s="16" t="s">
        <v>1637</v>
      </c>
      <c r="C703" s="25" t="s">
        <v>61</v>
      </c>
      <c r="D703" s="87" t="s">
        <v>1669</v>
      </c>
      <c r="E703" s="38">
        <v>0</v>
      </c>
      <c r="F703" s="39">
        <v>0</v>
      </c>
      <c r="G703" s="40">
        <v>0</v>
      </c>
      <c r="H703" s="41">
        <v>0</v>
      </c>
      <c r="I703" s="42">
        <f t="shared" si="266"/>
        <v>0</v>
      </c>
      <c r="J703" s="103" t="str">
        <f t="shared" si="267"/>
        <v/>
      </c>
      <c r="K703" s="104" t="str">
        <f t="shared" si="267"/>
        <v/>
      </c>
      <c r="L703" s="105" t="str">
        <f t="shared" si="267"/>
        <v/>
      </c>
      <c r="M703" s="106" t="str">
        <f t="shared" si="246"/>
        <v/>
      </c>
    </row>
    <row r="704" spans="1:14" s="3" customFormat="1" ht="30" customHeight="1" x14ac:dyDescent="0.25">
      <c r="A704" s="14" t="s">
        <v>14</v>
      </c>
      <c r="B704" s="16" t="s">
        <v>1637</v>
      </c>
      <c r="C704" s="25" t="s">
        <v>61</v>
      </c>
      <c r="D704" s="87" t="s">
        <v>1640</v>
      </c>
      <c r="E704" s="38">
        <v>0</v>
      </c>
      <c r="F704" s="39">
        <v>0</v>
      </c>
      <c r="G704" s="40">
        <v>0</v>
      </c>
      <c r="H704" s="41">
        <v>0</v>
      </c>
      <c r="I704" s="42">
        <f t="shared" si="266"/>
        <v>0</v>
      </c>
      <c r="J704" s="103" t="str">
        <f t="shared" si="267"/>
        <v/>
      </c>
      <c r="K704" s="104" t="str">
        <f t="shared" si="267"/>
        <v/>
      </c>
      <c r="L704" s="105" t="str">
        <f t="shared" si="267"/>
        <v/>
      </c>
      <c r="M704" s="106" t="str">
        <f t="shared" si="246"/>
        <v/>
      </c>
    </row>
    <row r="705" spans="1:14" s="3" customFormat="1" ht="30" customHeight="1" x14ac:dyDescent="0.25">
      <c r="A705" s="14" t="s">
        <v>14</v>
      </c>
      <c r="B705" s="16" t="s">
        <v>1637</v>
      </c>
      <c r="C705" s="25" t="s">
        <v>61</v>
      </c>
      <c r="D705" s="87" t="s">
        <v>1639</v>
      </c>
      <c r="E705" s="38">
        <v>0</v>
      </c>
      <c r="F705" s="39">
        <v>0</v>
      </c>
      <c r="G705" s="40">
        <v>0</v>
      </c>
      <c r="H705" s="41">
        <v>0</v>
      </c>
      <c r="I705" s="42">
        <f t="shared" si="266"/>
        <v>0</v>
      </c>
      <c r="J705" s="103" t="str">
        <f t="shared" si="267"/>
        <v/>
      </c>
      <c r="K705" s="104" t="str">
        <f t="shared" si="267"/>
        <v/>
      </c>
      <c r="L705" s="105" t="str">
        <f t="shared" si="267"/>
        <v/>
      </c>
      <c r="M705" s="106" t="str">
        <f t="shared" si="246"/>
        <v/>
      </c>
    </row>
    <row r="706" spans="1:14" s="3" customFormat="1" ht="30" customHeight="1" x14ac:dyDescent="0.25">
      <c r="A706" s="14" t="s">
        <v>14</v>
      </c>
      <c r="B706" s="16" t="s">
        <v>1637</v>
      </c>
      <c r="C706" s="25" t="s">
        <v>61</v>
      </c>
      <c r="D706" s="87" t="s">
        <v>1641</v>
      </c>
      <c r="E706" s="38">
        <v>0</v>
      </c>
      <c r="F706" s="39">
        <v>0</v>
      </c>
      <c r="G706" s="40">
        <v>0</v>
      </c>
      <c r="H706" s="41">
        <v>0</v>
      </c>
      <c r="I706" s="42">
        <f t="shared" si="266"/>
        <v>0</v>
      </c>
      <c r="J706" s="103" t="str">
        <f t="shared" si="267"/>
        <v/>
      </c>
      <c r="K706" s="104" t="str">
        <f t="shared" si="267"/>
        <v/>
      </c>
      <c r="L706" s="105" t="str">
        <f t="shared" si="267"/>
        <v/>
      </c>
      <c r="M706" s="106" t="str">
        <f t="shared" si="246"/>
        <v/>
      </c>
    </row>
    <row r="707" spans="1:14" s="3" customFormat="1" ht="30" customHeight="1" x14ac:dyDescent="0.25">
      <c r="A707" s="14" t="s">
        <v>14</v>
      </c>
      <c r="B707" s="16" t="s">
        <v>1637</v>
      </c>
      <c r="C707" s="25"/>
      <c r="D707" s="87" t="s">
        <v>29</v>
      </c>
      <c r="E707" s="38">
        <f>SUM(E702:E706)</f>
        <v>0</v>
      </c>
      <c r="F707" s="39">
        <f>SUM(F702:F706)</f>
        <v>0</v>
      </c>
      <c r="G707" s="40">
        <f>SUM(G702:G706)</f>
        <v>0</v>
      </c>
      <c r="H707" s="41">
        <f>SUM(H702:H706)</f>
        <v>0</v>
      </c>
      <c r="I707" s="42">
        <f t="shared" si="266"/>
        <v>0</v>
      </c>
      <c r="J707" s="103" t="str">
        <f>IFERROR(E707/SUM($E707:$H707)*100,"")</f>
        <v/>
      </c>
      <c r="K707" s="104" t="str">
        <f>IFERROR(F707/SUM($E707:$H707)*100,"")</f>
        <v/>
      </c>
      <c r="L707" s="105" t="str">
        <f>IFERROR(G707/SUM($E707:$H707)*100,"")</f>
        <v/>
      </c>
      <c r="M707" s="106" t="str">
        <f t="shared" si="246"/>
        <v/>
      </c>
      <c r="N707" s="5" t="s">
        <v>1671</v>
      </c>
    </row>
    <row r="708" spans="1:14" ht="5.0999999999999996" customHeight="1" x14ac:dyDescent="0.25">
      <c r="A708" s="14" t="s">
        <v>14</v>
      </c>
      <c r="B708" s="16" t="s">
        <v>1637</v>
      </c>
      <c r="C708"/>
      <c r="J708" s="103"/>
      <c r="K708" s="104"/>
      <c r="L708" s="105"/>
      <c r="M708" s="106" t="str">
        <f t="shared" si="246"/>
        <v/>
      </c>
    </row>
    <row r="709" spans="1:14" s="5" customFormat="1" ht="20.100000000000001" customHeight="1" x14ac:dyDescent="0.25">
      <c r="A709" s="14" t="s">
        <v>14</v>
      </c>
      <c r="B709" s="16" t="s">
        <v>42</v>
      </c>
      <c r="C709" s="25" t="s">
        <v>60</v>
      </c>
      <c r="D709" s="6" t="s">
        <v>1744</v>
      </c>
      <c r="E709" s="37"/>
      <c r="F709" s="37"/>
      <c r="G709" s="37"/>
      <c r="H709" s="37"/>
      <c r="I709" s="48"/>
      <c r="J709" s="103"/>
      <c r="K709" s="104"/>
      <c r="L709" s="105"/>
      <c r="M709" s="106" t="str">
        <f t="shared" si="246"/>
        <v/>
      </c>
      <c r="N709" s="5" t="s">
        <v>1673</v>
      </c>
    </row>
    <row r="710" spans="1:14" s="3" customFormat="1" ht="30" customHeight="1" x14ac:dyDescent="0.25">
      <c r="A710" s="14" t="s">
        <v>14</v>
      </c>
      <c r="B710" s="16" t="s">
        <v>42</v>
      </c>
      <c r="C710" s="25" t="s">
        <v>61</v>
      </c>
      <c r="D710" s="12" t="s">
        <v>43</v>
      </c>
      <c r="E710" s="38">
        <v>0</v>
      </c>
      <c r="F710" s="39">
        <v>0</v>
      </c>
      <c r="G710" s="40">
        <v>0</v>
      </c>
      <c r="H710" s="41">
        <v>0</v>
      </c>
      <c r="I710" s="42">
        <f t="shared" ref="I710:I719" si="268">SUM(E710:H710)</f>
        <v>0</v>
      </c>
      <c r="J710" s="103" t="str">
        <f t="shared" ref="J710:J719" si="269">IFERROR(E710/$I710*100,"")</f>
        <v/>
      </c>
      <c r="K710" s="104" t="str">
        <f t="shared" ref="K710:K719" si="270">IFERROR(F710/$I710*100,"")</f>
        <v/>
      </c>
      <c r="L710" s="105" t="str">
        <f t="shared" ref="L710:L719" si="271">IFERROR(G710/$I710*100,"")</f>
        <v/>
      </c>
      <c r="M710" s="106" t="str">
        <f t="shared" si="246"/>
        <v/>
      </c>
    </row>
    <row r="711" spans="1:14" s="3" customFormat="1" ht="30" customHeight="1" x14ac:dyDescent="0.25">
      <c r="A711" s="14" t="s">
        <v>14</v>
      </c>
      <c r="B711" s="16" t="s">
        <v>42</v>
      </c>
      <c r="C711" s="25" t="s">
        <v>61</v>
      </c>
      <c r="D711" s="12" t="s">
        <v>44</v>
      </c>
      <c r="E711" s="38">
        <v>0</v>
      </c>
      <c r="F711" s="39">
        <v>0</v>
      </c>
      <c r="G711" s="40">
        <v>0</v>
      </c>
      <c r="H711" s="41">
        <v>0</v>
      </c>
      <c r="I711" s="42">
        <f t="shared" si="268"/>
        <v>0</v>
      </c>
      <c r="J711" s="103" t="str">
        <f t="shared" si="269"/>
        <v/>
      </c>
      <c r="K711" s="104" t="str">
        <f t="shared" si="270"/>
        <v/>
      </c>
      <c r="L711" s="105" t="str">
        <f t="shared" si="271"/>
        <v/>
      </c>
      <c r="M711" s="106" t="str">
        <f t="shared" si="246"/>
        <v/>
      </c>
    </row>
    <row r="712" spans="1:14" s="3" customFormat="1" ht="30" customHeight="1" x14ac:dyDescent="0.25">
      <c r="A712" s="14" t="s">
        <v>14</v>
      </c>
      <c r="B712" s="16" t="s">
        <v>42</v>
      </c>
      <c r="C712" s="25" t="s">
        <v>61</v>
      </c>
      <c r="D712" s="12" t="s">
        <v>45</v>
      </c>
      <c r="E712" s="38">
        <v>0</v>
      </c>
      <c r="F712" s="39">
        <v>0</v>
      </c>
      <c r="G712" s="40">
        <v>0</v>
      </c>
      <c r="H712" s="41">
        <v>0</v>
      </c>
      <c r="I712" s="42">
        <f t="shared" si="268"/>
        <v>0</v>
      </c>
      <c r="J712" s="103" t="str">
        <f t="shared" si="269"/>
        <v/>
      </c>
      <c r="K712" s="104" t="str">
        <f t="shared" si="270"/>
        <v/>
      </c>
      <c r="L712" s="105" t="str">
        <f t="shared" si="271"/>
        <v/>
      </c>
      <c r="M712" s="106" t="str">
        <f t="shared" si="246"/>
        <v/>
      </c>
    </row>
    <row r="713" spans="1:14" s="3" customFormat="1" ht="30" customHeight="1" x14ac:dyDescent="0.25">
      <c r="A713" s="14" t="s">
        <v>14</v>
      </c>
      <c r="B713" s="16" t="s">
        <v>42</v>
      </c>
      <c r="C713" s="25" t="s">
        <v>61</v>
      </c>
      <c r="D713" s="12" t="s">
        <v>46</v>
      </c>
      <c r="E713" s="38">
        <v>0</v>
      </c>
      <c r="F713" s="39">
        <v>0</v>
      </c>
      <c r="G713" s="40">
        <v>0</v>
      </c>
      <c r="H713" s="41">
        <v>0</v>
      </c>
      <c r="I713" s="42">
        <f t="shared" si="268"/>
        <v>0</v>
      </c>
      <c r="J713" s="103" t="str">
        <f t="shared" si="269"/>
        <v/>
      </c>
      <c r="K713" s="104" t="str">
        <f t="shared" si="270"/>
        <v/>
      </c>
      <c r="L713" s="105" t="str">
        <f t="shared" si="271"/>
        <v/>
      </c>
      <c r="M713" s="106" t="str">
        <f t="shared" si="246"/>
        <v/>
      </c>
    </row>
    <row r="714" spans="1:14" s="3" customFormat="1" ht="30" customHeight="1" x14ac:dyDescent="0.25">
      <c r="A714" s="14" t="s">
        <v>14</v>
      </c>
      <c r="B714" s="16" t="s">
        <v>42</v>
      </c>
      <c r="C714" s="25" t="s">
        <v>61</v>
      </c>
      <c r="D714" s="12" t="s">
        <v>51</v>
      </c>
      <c r="E714" s="38">
        <v>0</v>
      </c>
      <c r="F714" s="39">
        <v>0</v>
      </c>
      <c r="G714" s="40">
        <v>0</v>
      </c>
      <c r="H714" s="41">
        <v>0</v>
      </c>
      <c r="I714" s="42">
        <f t="shared" si="268"/>
        <v>0</v>
      </c>
      <c r="J714" s="103" t="str">
        <f t="shared" si="269"/>
        <v/>
      </c>
      <c r="K714" s="104" t="str">
        <f t="shared" si="270"/>
        <v/>
      </c>
      <c r="L714" s="105" t="str">
        <f t="shared" si="271"/>
        <v/>
      </c>
      <c r="M714" s="106" t="str">
        <f t="shared" si="246"/>
        <v/>
      </c>
    </row>
    <row r="715" spans="1:14" s="3" customFormat="1" ht="30" customHeight="1" x14ac:dyDescent="0.25">
      <c r="A715" s="14" t="s">
        <v>14</v>
      </c>
      <c r="B715" s="16" t="s">
        <v>42</v>
      </c>
      <c r="C715" s="25" t="s">
        <v>61</v>
      </c>
      <c r="D715" s="12" t="s">
        <v>52</v>
      </c>
      <c r="E715" s="38">
        <v>0</v>
      </c>
      <c r="F715" s="39">
        <v>0</v>
      </c>
      <c r="G715" s="40">
        <v>0</v>
      </c>
      <c r="H715" s="41">
        <v>0</v>
      </c>
      <c r="I715" s="42">
        <f t="shared" si="268"/>
        <v>0</v>
      </c>
      <c r="J715" s="103" t="str">
        <f t="shared" si="269"/>
        <v/>
      </c>
      <c r="K715" s="104" t="str">
        <f t="shared" si="270"/>
        <v/>
      </c>
      <c r="L715" s="105" t="str">
        <f t="shared" si="271"/>
        <v/>
      </c>
      <c r="M715" s="106" t="str">
        <f t="shared" si="246"/>
        <v/>
      </c>
    </row>
    <row r="716" spans="1:14" s="3" customFormat="1" ht="30" customHeight="1" x14ac:dyDescent="0.25">
      <c r="A716" s="14" t="s">
        <v>14</v>
      </c>
      <c r="B716" s="16" t="s">
        <v>42</v>
      </c>
      <c r="C716" s="25" t="s">
        <v>61</v>
      </c>
      <c r="D716" s="12" t="s">
        <v>47</v>
      </c>
      <c r="E716" s="38">
        <v>0</v>
      </c>
      <c r="F716" s="39">
        <v>0</v>
      </c>
      <c r="G716" s="40">
        <v>0</v>
      </c>
      <c r="H716" s="41">
        <v>0</v>
      </c>
      <c r="I716" s="42">
        <f t="shared" si="268"/>
        <v>0</v>
      </c>
      <c r="J716" s="103" t="str">
        <f t="shared" si="269"/>
        <v/>
      </c>
      <c r="K716" s="104" t="str">
        <f t="shared" si="270"/>
        <v/>
      </c>
      <c r="L716" s="105" t="str">
        <f t="shared" si="271"/>
        <v/>
      </c>
      <c r="M716" s="106" t="str">
        <f t="shared" si="246"/>
        <v/>
      </c>
    </row>
    <row r="717" spans="1:14" s="3" customFormat="1" ht="30" customHeight="1" x14ac:dyDescent="0.25">
      <c r="A717" s="14" t="s">
        <v>14</v>
      </c>
      <c r="B717" s="16" t="s">
        <v>42</v>
      </c>
      <c r="C717" s="25" t="s">
        <v>61</v>
      </c>
      <c r="D717" s="12" t="s">
        <v>48</v>
      </c>
      <c r="E717" s="38">
        <v>0</v>
      </c>
      <c r="F717" s="39">
        <v>0</v>
      </c>
      <c r="G717" s="40">
        <v>0</v>
      </c>
      <c r="H717" s="41">
        <v>0</v>
      </c>
      <c r="I717" s="42">
        <f t="shared" si="268"/>
        <v>0</v>
      </c>
      <c r="J717" s="103" t="str">
        <f t="shared" si="269"/>
        <v/>
      </c>
      <c r="K717" s="104" t="str">
        <f t="shared" si="270"/>
        <v/>
      </c>
      <c r="L717" s="105" t="str">
        <f t="shared" si="271"/>
        <v/>
      </c>
      <c r="M717" s="106" t="str">
        <f t="shared" ref="M717:M780" si="272">IFERROR(H717/$I717*100,"")</f>
        <v/>
      </c>
    </row>
    <row r="718" spans="1:14" s="3" customFormat="1" ht="30" customHeight="1" x14ac:dyDescent="0.25">
      <c r="A718" s="14" t="s">
        <v>14</v>
      </c>
      <c r="B718" s="16" t="s">
        <v>42</v>
      </c>
      <c r="C718" s="25" t="s">
        <v>61</v>
      </c>
      <c r="D718" s="12" t="s">
        <v>49</v>
      </c>
      <c r="E718" s="38">
        <v>0</v>
      </c>
      <c r="F718" s="39">
        <v>0</v>
      </c>
      <c r="G718" s="40">
        <v>0</v>
      </c>
      <c r="H718" s="41">
        <v>0</v>
      </c>
      <c r="I718" s="42">
        <f t="shared" si="268"/>
        <v>0</v>
      </c>
      <c r="J718" s="103" t="str">
        <f t="shared" si="269"/>
        <v/>
      </c>
      <c r="K718" s="104" t="str">
        <f t="shared" si="270"/>
        <v/>
      </c>
      <c r="L718" s="105" t="str">
        <f t="shared" si="271"/>
        <v/>
      </c>
      <c r="M718" s="106" t="str">
        <f t="shared" si="272"/>
        <v/>
      </c>
    </row>
    <row r="719" spans="1:14" s="3" customFormat="1" ht="30" customHeight="1" x14ac:dyDescent="0.25">
      <c r="A719" s="14" t="s">
        <v>14</v>
      </c>
      <c r="B719" s="16" t="s">
        <v>42</v>
      </c>
      <c r="C719" s="25" t="s">
        <v>61</v>
      </c>
      <c r="D719" s="12" t="s">
        <v>50</v>
      </c>
      <c r="E719" s="38">
        <v>0</v>
      </c>
      <c r="F719" s="39">
        <v>0</v>
      </c>
      <c r="G719" s="40">
        <v>0</v>
      </c>
      <c r="H719" s="41">
        <v>0</v>
      </c>
      <c r="I719" s="42">
        <f t="shared" si="268"/>
        <v>0</v>
      </c>
      <c r="J719" s="103" t="str">
        <f t="shared" si="269"/>
        <v/>
      </c>
      <c r="K719" s="104" t="str">
        <f t="shared" si="270"/>
        <v/>
      </c>
      <c r="L719" s="105" t="str">
        <f t="shared" si="271"/>
        <v/>
      </c>
      <c r="M719" s="106" t="str">
        <f t="shared" si="272"/>
        <v/>
      </c>
    </row>
    <row r="720" spans="1:14" s="8" customFormat="1" ht="30" customHeight="1" x14ac:dyDescent="0.25">
      <c r="A720" s="14" t="s">
        <v>14</v>
      </c>
      <c r="B720" s="16" t="s">
        <v>42</v>
      </c>
      <c r="C720" s="25"/>
      <c r="D720" s="9" t="s">
        <v>29</v>
      </c>
      <c r="E720" s="38">
        <f>SUM(E710:E719)</f>
        <v>0</v>
      </c>
      <c r="F720" s="39">
        <f t="shared" ref="F720" si="273">SUM(F710:F719)</f>
        <v>0</v>
      </c>
      <c r="G720" s="40">
        <f t="shared" ref="G720" si="274">SUM(G710:G719)</f>
        <v>0</v>
      </c>
      <c r="H720" s="41">
        <f t="shared" ref="H720" si="275">SUM(H710:H719)</f>
        <v>0</v>
      </c>
      <c r="I720" s="43">
        <f t="shared" ref="I720" si="276">SUM(I710:I719)</f>
        <v>0</v>
      </c>
      <c r="J720" s="103" t="str">
        <f>IFERROR(E720/SUM($E720:$H720)*100,"")</f>
        <v/>
      </c>
      <c r="K720" s="104" t="str">
        <f>IFERROR(F720/SUM($E720:$H720)*100,"")</f>
        <v/>
      </c>
      <c r="L720" s="105" t="str">
        <f>IFERROR(G720/SUM($E720:$H720)*100,"")</f>
        <v/>
      </c>
      <c r="M720" s="106" t="str">
        <f t="shared" si="272"/>
        <v/>
      </c>
      <c r="N720" s="5" t="s">
        <v>1671</v>
      </c>
    </row>
    <row r="721" spans="1:14" ht="5.0999999999999996" customHeight="1" x14ac:dyDescent="0.25">
      <c r="A721" s="14" t="s">
        <v>14</v>
      </c>
      <c r="B721" s="16" t="s">
        <v>42</v>
      </c>
      <c r="C721"/>
      <c r="D721" s="57"/>
      <c r="E721" s="59"/>
      <c r="F721" s="59"/>
      <c r="G721" s="59"/>
      <c r="H721" s="59"/>
      <c r="I721" s="59"/>
      <c r="J721" s="103"/>
      <c r="K721" s="104"/>
      <c r="L721" s="105"/>
      <c r="M721" s="106" t="str">
        <f t="shared" si="272"/>
        <v/>
      </c>
    </row>
    <row r="722" spans="1:14" s="7" customFormat="1" ht="20.100000000000001" customHeight="1" x14ac:dyDescent="0.25">
      <c r="A722" s="14" t="s">
        <v>14</v>
      </c>
      <c r="B722" s="16" t="s">
        <v>62</v>
      </c>
      <c r="C722" s="25" t="s">
        <v>60</v>
      </c>
      <c r="D722" s="62" t="s">
        <v>63</v>
      </c>
      <c r="E722" s="63"/>
      <c r="F722" s="63"/>
      <c r="G722" s="63"/>
      <c r="H722" s="63"/>
      <c r="I722" s="64"/>
      <c r="J722" s="103"/>
      <c r="K722" s="104"/>
      <c r="L722" s="105"/>
      <c r="M722" s="106" t="str">
        <f t="shared" si="272"/>
        <v/>
      </c>
      <c r="N722" s="5" t="s">
        <v>1673</v>
      </c>
    </row>
    <row r="723" spans="1:14" s="8" customFormat="1" ht="30" customHeight="1" x14ac:dyDescent="0.25">
      <c r="A723" s="14" t="s">
        <v>14</v>
      </c>
      <c r="B723" s="16" t="s">
        <v>62</v>
      </c>
      <c r="C723" s="25"/>
      <c r="D723" s="12" t="s">
        <v>29</v>
      </c>
      <c r="E723" s="38" t="e">
        <f>SUM(E673,E662,E681,E720,E676,E684,E693,E696,E707,#REF!)</f>
        <v>#REF!</v>
      </c>
      <c r="F723" s="39" t="e">
        <f>SUM(F673,F662,F681,F720,F676,F684,F693,F696,F707,#REF!)</f>
        <v>#REF!</v>
      </c>
      <c r="G723" s="40" t="e">
        <f>SUM(G673,G662,G681,G720,G676,G684,G693,G696,G707,#REF!)</f>
        <v>#REF!</v>
      </c>
      <c r="H723" s="41" t="e">
        <f>SUM(H673,H662,H681,H720,H676,H684,H693,H696,H707,#REF!)</f>
        <v>#REF!</v>
      </c>
      <c r="I723" s="42" t="e">
        <f>SUM(I673,I662,I681,I720,I676,I684,I693,I696,I707,#REF!)</f>
        <v>#REF!</v>
      </c>
      <c r="J723" s="103" t="str">
        <f>IFERROR(E723/SUM($E723:$H723)*100,"")</f>
        <v/>
      </c>
      <c r="K723" s="104" t="str">
        <f>IFERROR(F723/SUM($E723:$H723)*100,"")</f>
        <v/>
      </c>
      <c r="L723" s="105" t="str">
        <f>IFERROR(G723/SUM($E723:$H723)*100,"")</f>
        <v/>
      </c>
      <c r="M723" s="106" t="str">
        <f t="shared" si="272"/>
        <v/>
      </c>
      <c r="N723" s="5" t="s">
        <v>1671</v>
      </c>
    </row>
    <row r="724" spans="1:14" s="5" customFormat="1" ht="20.100000000000001" customHeight="1" x14ac:dyDescent="0.25">
      <c r="A724" s="14" t="s">
        <v>14</v>
      </c>
      <c r="B724" s="14"/>
      <c r="C724" s="25" t="s">
        <v>60</v>
      </c>
      <c r="D724" s="58"/>
      <c r="E724" s="60"/>
      <c r="F724" s="60"/>
      <c r="G724" s="60"/>
      <c r="H724" s="60"/>
      <c r="I724" s="60"/>
      <c r="J724" s="103"/>
      <c r="K724" s="104"/>
      <c r="L724" s="105"/>
      <c r="M724" s="106" t="str">
        <f t="shared" si="272"/>
        <v/>
      </c>
    </row>
    <row r="725" spans="1:14" s="5" customFormat="1" ht="20.100000000000001" customHeight="1" x14ac:dyDescent="0.25">
      <c r="A725" s="14" t="s">
        <v>18</v>
      </c>
      <c r="B725" s="14"/>
      <c r="C725" s="25" t="s">
        <v>60</v>
      </c>
      <c r="D725" s="20" t="str">
        <f>IFERROR(A725&amp;"   ("&amp;COUNTIFS(#REF!,"="&amp;A725)&amp;")",A725)</f>
        <v>DOM</v>
      </c>
      <c r="E725" s="45"/>
      <c r="F725" s="45"/>
      <c r="G725" s="45"/>
      <c r="H725" s="45"/>
      <c r="I725" s="46"/>
      <c r="J725" s="103"/>
      <c r="K725" s="104"/>
      <c r="L725" s="105"/>
      <c r="M725" s="106" t="str">
        <f t="shared" si="272"/>
        <v/>
      </c>
      <c r="N725" s="5" t="s">
        <v>1672</v>
      </c>
    </row>
    <row r="726" spans="1:14" s="5" customFormat="1" ht="20.100000000000001" customHeight="1" x14ac:dyDescent="0.25">
      <c r="A726" s="14" t="s">
        <v>18</v>
      </c>
      <c r="B726" s="16" t="s">
        <v>20</v>
      </c>
      <c r="C726" s="25" t="s">
        <v>60</v>
      </c>
      <c r="D726" s="6" t="s">
        <v>20</v>
      </c>
      <c r="E726" s="37"/>
      <c r="F726" s="37"/>
      <c r="G726" s="37"/>
      <c r="H726" s="37"/>
      <c r="I726" s="48"/>
      <c r="J726" s="103"/>
      <c r="K726" s="104"/>
      <c r="L726" s="105"/>
      <c r="M726" s="106" t="str">
        <f t="shared" si="272"/>
        <v/>
      </c>
      <c r="N726" s="5" t="s">
        <v>1673</v>
      </c>
    </row>
    <row r="727" spans="1:14" s="5" customFormat="1" ht="30" customHeight="1" x14ac:dyDescent="0.25">
      <c r="A727" s="14" t="s">
        <v>18</v>
      </c>
      <c r="B727" s="16" t="s">
        <v>20</v>
      </c>
      <c r="C727" s="25" t="s">
        <v>61</v>
      </c>
      <c r="D727" s="12" t="s">
        <v>25</v>
      </c>
      <c r="E727" s="38">
        <v>0</v>
      </c>
      <c r="F727" s="39">
        <v>0</v>
      </c>
      <c r="G727" s="40">
        <v>0</v>
      </c>
      <c r="H727" s="41">
        <v>0</v>
      </c>
      <c r="I727" s="42">
        <f>SUM(E727:H727)</f>
        <v>0</v>
      </c>
      <c r="J727" s="103" t="str">
        <f>IFERROR(E727/$I727*100,"")</f>
        <v/>
      </c>
      <c r="K727" s="104" t="str">
        <f>IFERROR(F727/$I727*100,"")</f>
        <v/>
      </c>
      <c r="L727" s="105" t="str">
        <f>IFERROR(G727/$I727*100,"")</f>
        <v/>
      </c>
      <c r="M727" s="106" t="str">
        <f t="shared" si="272"/>
        <v/>
      </c>
      <c r="N727" s="5" t="s">
        <v>1671</v>
      </c>
    </row>
    <row r="728" spans="1:14" ht="5.0999999999999996" customHeight="1" x14ac:dyDescent="0.25">
      <c r="A728" s="14" t="s">
        <v>18</v>
      </c>
      <c r="B728" s="16" t="s">
        <v>20</v>
      </c>
      <c r="C728"/>
      <c r="J728" s="103"/>
      <c r="K728" s="104"/>
      <c r="L728" s="105"/>
      <c r="M728" s="106" t="str">
        <f t="shared" si="272"/>
        <v/>
      </c>
    </row>
    <row r="729" spans="1:14" s="5" customFormat="1" ht="20.100000000000001" customHeight="1" x14ac:dyDescent="0.25">
      <c r="A729" s="14" t="s">
        <v>18</v>
      </c>
      <c r="B729" s="16" t="s">
        <v>26</v>
      </c>
      <c r="C729" s="25" t="s">
        <v>60</v>
      </c>
      <c r="D729" s="6" t="s">
        <v>98</v>
      </c>
      <c r="E729" s="37"/>
      <c r="F729" s="37"/>
      <c r="G729" s="37"/>
      <c r="H729" s="37"/>
      <c r="I729" s="47"/>
      <c r="J729" s="103"/>
      <c r="K729" s="104"/>
      <c r="L729" s="105"/>
      <c r="M729" s="106" t="str">
        <f t="shared" si="272"/>
        <v/>
      </c>
      <c r="N729" s="5" t="s">
        <v>1673</v>
      </c>
    </row>
    <row r="730" spans="1:14" s="5" customFormat="1" ht="30" customHeight="1" x14ac:dyDescent="0.25">
      <c r="A730" s="14" t="s">
        <v>18</v>
      </c>
      <c r="B730" s="16" t="s">
        <v>26</v>
      </c>
      <c r="C730" s="25" t="s">
        <v>61</v>
      </c>
      <c r="D730" s="31" t="s">
        <v>21</v>
      </c>
      <c r="E730" s="38">
        <v>0</v>
      </c>
      <c r="F730" s="39">
        <v>0</v>
      </c>
      <c r="G730" s="40">
        <v>0</v>
      </c>
      <c r="H730" s="41">
        <v>0</v>
      </c>
      <c r="I730" s="42">
        <f t="shared" ref="I730:I737" si="277">SUM(E730:H730)</f>
        <v>0</v>
      </c>
      <c r="J730" s="103" t="str">
        <f t="shared" ref="J730:L737" si="278">IFERROR(E730/$I730*100,"")</f>
        <v/>
      </c>
      <c r="K730" s="104" t="str">
        <f t="shared" si="278"/>
        <v/>
      </c>
      <c r="L730" s="105" t="str">
        <f t="shared" si="278"/>
        <v/>
      </c>
      <c r="M730" s="106" t="str">
        <f t="shared" si="272"/>
        <v/>
      </c>
    </row>
    <row r="731" spans="1:14" s="5" customFormat="1" ht="30" customHeight="1" x14ac:dyDescent="0.25">
      <c r="A731" s="14" t="s">
        <v>18</v>
      </c>
      <c r="B731" s="16" t="s">
        <v>26</v>
      </c>
      <c r="C731" s="25" t="s">
        <v>61</v>
      </c>
      <c r="D731" s="31" t="s">
        <v>22</v>
      </c>
      <c r="E731" s="38">
        <v>0</v>
      </c>
      <c r="F731" s="39">
        <v>0</v>
      </c>
      <c r="G731" s="40">
        <v>0</v>
      </c>
      <c r="H731" s="41">
        <v>0</v>
      </c>
      <c r="I731" s="42">
        <f t="shared" si="277"/>
        <v>0</v>
      </c>
      <c r="J731" s="103" t="str">
        <f t="shared" si="278"/>
        <v/>
      </c>
      <c r="K731" s="104" t="str">
        <f t="shared" si="278"/>
        <v/>
      </c>
      <c r="L731" s="105" t="str">
        <f t="shared" si="278"/>
        <v/>
      </c>
      <c r="M731" s="106" t="str">
        <f t="shared" si="272"/>
        <v/>
      </c>
    </row>
    <row r="732" spans="1:14" s="5" customFormat="1" ht="30" customHeight="1" x14ac:dyDescent="0.25">
      <c r="A732" s="14" t="s">
        <v>18</v>
      </c>
      <c r="B732" s="16" t="s">
        <v>26</v>
      </c>
      <c r="C732" s="25" t="s">
        <v>61</v>
      </c>
      <c r="D732" s="31" t="s">
        <v>27</v>
      </c>
      <c r="E732" s="38">
        <v>0</v>
      </c>
      <c r="F732" s="39">
        <v>0</v>
      </c>
      <c r="G732" s="40">
        <v>0</v>
      </c>
      <c r="H732" s="41">
        <v>0</v>
      </c>
      <c r="I732" s="42">
        <f t="shared" si="277"/>
        <v>0</v>
      </c>
      <c r="J732" s="103" t="str">
        <f t="shared" si="278"/>
        <v/>
      </c>
      <c r="K732" s="104" t="str">
        <f t="shared" si="278"/>
        <v/>
      </c>
      <c r="L732" s="105" t="str">
        <f t="shared" si="278"/>
        <v/>
      </c>
      <c r="M732" s="106" t="str">
        <f t="shared" si="272"/>
        <v/>
      </c>
    </row>
    <row r="733" spans="1:14" s="5" customFormat="1" ht="30" customHeight="1" x14ac:dyDescent="0.25">
      <c r="A733" s="14" t="s">
        <v>18</v>
      </c>
      <c r="B733" s="16" t="s">
        <v>26</v>
      </c>
      <c r="C733" s="25" t="s">
        <v>61</v>
      </c>
      <c r="D733" s="31" t="s">
        <v>23</v>
      </c>
      <c r="E733" s="38">
        <v>0</v>
      </c>
      <c r="F733" s="39">
        <v>0</v>
      </c>
      <c r="G733" s="40">
        <v>0</v>
      </c>
      <c r="H733" s="41">
        <v>0</v>
      </c>
      <c r="I733" s="42">
        <f t="shared" si="277"/>
        <v>0</v>
      </c>
      <c r="J733" s="103" t="str">
        <f t="shared" si="278"/>
        <v/>
      </c>
      <c r="K733" s="104" t="str">
        <f t="shared" si="278"/>
        <v/>
      </c>
      <c r="L733" s="105" t="str">
        <f t="shared" si="278"/>
        <v/>
      </c>
      <c r="M733" s="106" t="str">
        <f t="shared" si="272"/>
        <v/>
      </c>
    </row>
    <row r="734" spans="1:14" s="5" customFormat="1" ht="30" customHeight="1" x14ac:dyDescent="0.25">
      <c r="A734" s="14" t="s">
        <v>18</v>
      </c>
      <c r="B734" s="16" t="s">
        <v>26</v>
      </c>
      <c r="C734" s="25" t="s">
        <v>61</v>
      </c>
      <c r="D734" s="31" t="s">
        <v>24</v>
      </c>
      <c r="E734" s="38">
        <v>0</v>
      </c>
      <c r="F734" s="39">
        <v>0</v>
      </c>
      <c r="G734" s="40">
        <v>0</v>
      </c>
      <c r="H734" s="41">
        <v>0</v>
      </c>
      <c r="I734" s="42">
        <f t="shared" si="277"/>
        <v>0</v>
      </c>
      <c r="J734" s="103" t="str">
        <f t="shared" si="278"/>
        <v/>
      </c>
      <c r="K734" s="104" t="str">
        <f t="shared" si="278"/>
        <v/>
      </c>
      <c r="L734" s="105" t="str">
        <f t="shared" si="278"/>
        <v/>
      </c>
      <c r="M734" s="106" t="str">
        <f t="shared" si="272"/>
        <v/>
      </c>
    </row>
    <row r="735" spans="1:14" s="3" customFormat="1" ht="30" customHeight="1" x14ac:dyDescent="0.25">
      <c r="A735" s="14" t="s">
        <v>18</v>
      </c>
      <c r="B735" s="16" t="s">
        <v>26</v>
      </c>
      <c r="C735" s="25" t="s">
        <v>61</v>
      </c>
      <c r="D735" s="31" t="s">
        <v>41</v>
      </c>
      <c r="E735" s="38">
        <v>0</v>
      </c>
      <c r="F735" s="39">
        <v>0</v>
      </c>
      <c r="G735" s="40">
        <v>0</v>
      </c>
      <c r="H735" s="41">
        <v>0</v>
      </c>
      <c r="I735" s="42">
        <f t="shared" si="277"/>
        <v>0</v>
      </c>
      <c r="J735" s="103" t="str">
        <f t="shared" si="278"/>
        <v/>
      </c>
      <c r="K735" s="104" t="str">
        <f t="shared" si="278"/>
        <v/>
      </c>
      <c r="L735" s="105" t="str">
        <f t="shared" si="278"/>
        <v/>
      </c>
      <c r="M735" s="106" t="str">
        <f t="shared" si="272"/>
        <v/>
      </c>
    </row>
    <row r="736" spans="1:14" s="5" customFormat="1" ht="30" customHeight="1" x14ac:dyDescent="0.25">
      <c r="A736" s="14" t="s">
        <v>18</v>
      </c>
      <c r="B736" s="16" t="s">
        <v>26</v>
      </c>
      <c r="C736" s="25" t="s">
        <v>61</v>
      </c>
      <c r="D736" s="31" t="s">
        <v>28</v>
      </c>
      <c r="E736" s="38">
        <v>0</v>
      </c>
      <c r="F736" s="39">
        <v>0</v>
      </c>
      <c r="G736" s="40">
        <v>0</v>
      </c>
      <c r="H736" s="41">
        <v>0</v>
      </c>
      <c r="I736" s="42">
        <f t="shared" si="277"/>
        <v>0</v>
      </c>
      <c r="J736" s="103" t="str">
        <f t="shared" si="278"/>
        <v/>
      </c>
      <c r="K736" s="104" t="str">
        <f t="shared" si="278"/>
        <v/>
      </c>
      <c r="L736" s="105" t="str">
        <f t="shared" si="278"/>
        <v/>
      </c>
      <c r="M736" s="106" t="str">
        <f t="shared" si="272"/>
        <v/>
      </c>
    </row>
    <row r="737" spans="1:14" s="5" customFormat="1" ht="30" customHeight="1" x14ac:dyDescent="0.25">
      <c r="A737" s="14" t="s">
        <v>18</v>
      </c>
      <c r="B737" s="16" t="s">
        <v>26</v>
      </c>
      <c r="C737" s="25" t="s">
        <v>61</v>
      </c>
      <c r="D737" s="31" t="s">
        <v>40</v>
      </c>
      <c r="E737" s="38">
        <v>0</v>
      </c>
      <c r="F737" s="39">
        <v>0</v>
      </c>
      <c r="G737" s="40">
        <v>0</v>
      </c>
      <c r="H737" s="41">
        <v>0</v>
      </c>
      <c r="I737" s="42">
        <f t="shared" si="277"/>
        <v>0</v>
      </c>
      <c r="J737" s="103" t="str">
        <f t="shared" si="278"/>
        <v/>
      </c>
      <c r="K737" s="104" t="str">
        <f t="shared" si="278"/>
        <v/>
      </c>
      <c r="L737" s="105" t="str">
        <f t="shared" si="278"/>
        <v/>
      </c>
      <c r="M737" s="106" t="str">
        <f t="shared" si="272"/>
        <v/>
      </c>
    </row>
    <row r="738" spans="1:14" s="5" customFormat="1" ht="30" customHeight="1" x14ac:dyDescent="0.25">
      <c r="A738" s="14" t="s">
        <v>18</v>
      </c>
      <c r="B738" s="16" t="s">
        <v>26</v>
      </c>
      <c r="C738" s="25"/>
      <c r="D738" s="9" t="s">
        <v>29</v>
      </c>
      <c r="E738" s="38">
        <f>SUM(E730:E737)</f>
        <v>0</v>
      </c>
      <c r="F738" s="39">
        <f t="shared" ref="F738" si="279">SUM(F730:F737)</f>
        <v>0</v>
      </c>
      <c r="G738" s="40">
        <f t="shared" ref="G738" si="280">SUM(G730:G737)</f>
        <v>0</v>
      </c>
      <c r="H738" s="41">
        <f t="shared" ref="H738" si="281">SUM(H730:H737)</f>
        <v>0</v>
      </c>
      <c r="I738" s="43">
        <f t="shared" ref="I738" si="282">SUM(I730:I737)</f>
        <v>0</v>
      </c>
      <c r="J738" s="103" t="str">
        <f>IFERROR(E738/SUM($E738:$H738)*100,"")</f>
        <v/>
      </c>
      <c r="K738" s="104" t="str">
        <f>IFERROR(F738/SUM($E738:$H738)*100,"")</f>
        <v/>
      </c>
      <c r="L738" s="105" t="str">
        <f>IFERROR(G738/SUM($E738:$H738)*100,"")</f>
        <v/>
      </c>
      <c r="M738" s="106" t="str">
        <f t="shared" si="272"/>
        <v/>
      </c>
      <c r="N738" s="5" t="s">
        <v>1671</v>
      </c>
    </row>
    <row r="739" spans="1:14" ht="5.0999999999999996" customHeight="1" x14ac:dyDescent="0.25">
      <c r="A739" s="14" t="s">
        <v>18</v>
      </c>
      <c r="B739" s="16" t="s">
        <v>26</v>
      </c>
      <c r="C739"/>
      <c r="D739" s="57"/>
      <c r="E739" s="59"/>
      <c r="F739" s="59"/>
      <c r="G739" s="59"/>
      <c r="H739" s="59"/>
      <c r="I739" s="59"/>
      <c r="J739" s="103"/>
      <c r="K739" s="104"/>
      <c r="L739" s="105"/>
      <c r="M739" s="106" t="str">
        <f t="shared" si="272"/>
        <v/>
      </c>
    </row>
    <row r="740" spans="1:14" s="5" customFormat="1" ht="20.100000000000001" customHeight="1" x14ac:dyDescent="0.25">
      <c r="A740" s="14" t="s">
        <v>18</v>
      </c>
      <c r="B740" s="16" t="s">
        <v>64</v>
      </c>
      <c r="C740" s="25" t="s">
        <v>60</v>
      </c>
      <c r="D740" s="6" t="s">
        <v>65</v>
      </c>
      <c r="E740" s="37"/>
      <c r="F740" s="37"/>
      <c r="G740" s="37"/>
      <c r="H740" s="37"/>
      <c r="I740" s="48"/>
      <c r="J740" s="103"/>
      <c r="K740" s="104"/>
      <c r="L740" s="105"/>
      <c r="M740" s="106" t="str">
        <f t="shared" si="272"/>
        <v/>
      </c>
      <c r="N740" s="5" t="s">
        <v>1673</v>
      </c>
    </row>
    <row r="741" spans="1:14" s="5" customFormat="1" ht="30" customHeight="1" x14ac:dyDescent="0.25">
      <c r="A741" s="14" t="s">
        <v>18</v>
      </c>
      <c r="B741" s="16" t="s">
        <v>64</v>
      </c>
      <c r="C741" s="25" t="s">
        <v>61</v>
      </c>
      <c r="D741" s="12" t="s">
        <v>66</v>
      </c>
      <c r="E741" s="38">
        <v>0</v>
      </c>
      <c r="F741" s="39">
        <v>0</v>
      </c>
      <c r="G741" s="40">
        <v>0</v>
      </c>
      <c r="H741" s="41">
        <v>0</v>
      </c>
      <c r="I741" s="42">
        <f>SUM(E741:H741)</f>
        <v>0</v>
      </c>
      <c r="J741" s="103" t="str">
        <f>IFERROR(E741/$I741*100,"")</f>
        <v/>
      </c>
      <c r="K741" s="104" t="str">
        <f>IFERROR(F741/$I741*100,"")</f>
        <v/>
      </c>
      <c r="L741" s="105" t="str">
        <f>IFERROR(G741/$I741*100,"")</f>
        <v/>
      </c>
      <c r="M741" s="106" t="str">
        <f t="shared" si="272"/>
        <v/>
      </c>
      <c r="N741" s="5" t="s">
        <v>1671</v>
      </c>
    </row>
    <row r="742" spans="1:14" ht="5.0999999999999996" customHeight="1" x14ac:dyDescent="0.25">
      <c r="A742" s="14" t="s">
        <v>18</v>
      </c>
      <c r="B742" s="16" t="s">
        <v>64</v>
      </c>
      <c r="C742"/>
      <c r="J742" s="103"/>
      <c r="K742" s="104"/>
      <c r="L742" s="105"/>
      <c r="M742" s="106" t="str">
        <f t="shared" si="272"/>
        <v/>
      </c>
    </row>
    <row r="743" spans="1:14" s="5" customFormat="1" ht="20.100000000000001" customHeight="1" x14ac:dyDescent="0.25">
      <c r="A743" s="14" t="s">
        <v>18</v>
      </c>
      <c r="B743" s="16" t="s">
        <v>55</v>
      </c>
      <c r="C743" s="25" t="s">
        <v>60</v>
      </c>
      <c r="D743" s="6" t="s">
        <v>55</v>
      </c>
      <c r="E743" s="37"/>
      <c r="F743" s="37"/>
      <c r="G743" s="37"/>
      <c r="H743" s="37"/>
      <c r="I743" s="48"/>
      <c r="J743" s="103"/>
      <c r="K743" s="104"/>
      <c r="L743" s="105"/>
      <c r="M743" s="106" t="str">
        <f t="shared" si="272"/>
        <v/>
      </c>
      <c r="N743" s="5" t="s">
        <v>1673</v>
      </c>
    </row>
    <row r="744" spans="1:14" s="3" customFormat="1" ht="30" customHeight="1" x14ac:dyDescent="0.25">
      <c r="A744" s="14" t="s">
        <v>18</v>
      </c>
      <c r="B744" s="16" t="s">
        <v>55</v>
      </c>
      <c r="C744" s="25" t="s">
        <v>61</v>
      </c>
      <c r="D744" s="12" t="s">
        <v>56</v>
      </c>
      <c r="E744" s="38">
        <v>0</v>
      </c>
      <c r="F744" s="39">
        <v>0</v>
      </c>
      <c r="G744" s="40">
        <v>0</v>
      </c>
      <c r="H744" s="41">
        <v>0</v>
      </c>
      <c r="I744" s="42">
        <f>SUM(E744:H744)</f>
        <v>0</v>
      </c>
      <c r="J744" s="103" t="str">
        <f t="shared" ref="J744:L746" si="283">IFERROR(E744/$I744*100,"")</f>
        <v/>
      </c>
      <c r="K744" s="104" t="str">
        <f t="shared" si="283"/>
        <v/>
      </c>
      <c r="L744" s="105" t="str">
        <f t="shared" si="283"/>
        <v/>
      </c>
      <c r="M744" s="106" t="str">
        <f t="shared" si="272"/>
        <v/>
      </c>
      <c r="N744" s="5"/>
    </row>
    <row r="745" spans="1:14" s="3" customFormat="1" ht="30" customHeight="1" x14ac:dyDescent="0.25">
      <c r="A745" s="14" t="s">
        <v>18</v>
      </c>
      <c r="B745" s="16" t="s">
        <v>55</v>
      </c>
      <c r="C745" s="25" t="s">
        <v>61</v>
      </c>
      <c r="D745" s="12" t="s">
        <v>57</v>
      </c>
      <c r="E745" s="38">
        <v>0</v>
      </c>
      <c r="F745" s="39">
        <v>0</v>
      </c>
      <c r="G745" s="40">
        <v>0</v>
      </c>
      <c r="H745" s="41">
        <v>0</v>
      </c>
      <c r="I745" s="42">
        <f>SUM(E745:H745)</f>
        <v>0</v>
      </c>
      <c r="J745" s="103" t="str">
        <f t="shared" si="283"/>
        <v/>
      </c>
      <c r="K745" s="104" t="str">
        <f t="shared" si="283"/>
        <v/>
      </c>
      <c r="L745" s="105" t="str">
        <f t="shared" si="283"/>
        <v/>
      </c>
      <c r="M745" s="106" t="str">
        <f t="shared" si="272"/>
        <v/>
      </c>
    </row>
    <row r="746" spans="1:14" s="3" customFormat="1" ht="30" customHeight="1" x14ac:dyDescent="0.25">
      <c r="A746" s="14" t="s">
        <v>18</v>
      </c>
      <c r="B746" s="16" t="s">
        <v>55</v>
      </c>
      <c r="C746" s="25"/>
      <c r="D746" s="91" t="s">
        <v>29</v>
      </c>
      <c r="E746" s="38">
        <f>SUM(E744:E745)</f>
        <v>0</v>
      </c>
      <c r="F746" s="39">
        <f t="shared" ref="F746" si="284">SUM(F744:F745)</f>
        <v>0</v>
      </c>
      <c r="G746" s="40">
        <f t="shared" ref="G746" si="285">SUM(G744:G745)</f>
        <v>0</v>
      </c>
      <c r="H746" s="41">
        <f t="shared" ref="H746" si="286">SUM(H744:H745)</f>
        <v>0</v>
      </c>
      <c r="I746" s="42">
        <f t="shared" ref="I746" si="287">SUM(I744:I745)</f>
        <v>0</v>
      </c>
      <c r="J746" s="103" t="str">
        <f t="shared" si="283"/>
        <v/>
      </c>
      <c r="K746" s="104" t="str">
        <f t="shared" si="283"/>
        <v/>
      </c>
      <c r="L746" s="105" t="str">
        <f t="shared" si="283"/>
        <v/>
      </c>
      <c r="M746" s="106" t="str">
        <f t="shared" si="272"/>
        <v/>
      </c>
      <c r="N746" s="5" t="s">
        <v>1671</v>
      </c>
    </row>
    <row r="747" spans="1:14" ht="5.0999999999999996" customHeight="1" x14ac:dyDescent="0.25">
      <c r="A747" s="14" t="s">
        <v>18</v>
      </c>
      <c r="B747" s="16" t="s">
        <v>55</v>
      </c>
      <c r="C747"/>
      <c r="D747" s="57"/>
      <c r="E747" s="59"/>
      <c r="F747" s="59"/>
      <c r="G747" s="59"/>
      <c r="H747" s="59"/>
      <c r="I747" s="59"/>
      <c r="J747" s="103"/>
      <c r="K747" s="104"/>
      <c r="L747" s="105"/>
      <c r="M747" s="106" t="str">
        <f t="shared" si="272"/>
        <v/>
      </c>
    </row>
    <row r="748" spans="1:14" s="5" customFormat="1" ht="20.100000000000001" customHeight="1" x14ac:dyDescent="0.25">
      <c r="A748" s="14" t="s">
        <v>18</v>
      </c>
      <c r="B748" s="16" t="s">
        <v>74</v>
      </c>
      <c r="C748" s="25" t="s">
        <v>60</v>
      </c>
      <c r="D748" s="6" t="s">
        <v>75</v>
      </c>
      <c r="E748" s="37"/>
      <c r="F748" s="37"/>
      <c r="G748" s="37"/>
      <c r="H748" s="37"/>
      <c r="I748" s="48"/>
      <c r="J748" s="103"/>
      <c r="K748" s="104"/>
      <c r="L748" s="105"/>
      <c r="M748" s="106" t="str">
        <f t="shared" si="272"/>
        <v/>
      </c>
      <c r="N748" s="5" t="s">
        <v>1673</v>
      </c>
    </row>
    <row r="749" spans="1:14" s="3" customFormat="1" ht="30" customHeight="1" x14ac:dyDescent="0.25">
      <c r="A749" s="14" t="s">
        <v>18</v>
      </c>
      <c r="B749" s="16" t="s">
        <v>74</v>
      </c>
      <c r="C749" s="25" t="s">
        <v>61</v>
      </c>
      <c r="D749" s="12" t="s">
        <v>77</v>
      </c>
      <c r="E749" s="38">
        <v>0</v>
      </c>
      <c r="F749" s="39">
        <v>0</v>
      </c>
      <c r="G749" s="40">
        <v>0</v>
      </c>
      <c r="H749" s="41">
        <v>0</v>
      </c>
      <c r="I749" s="42">
        <f>SUM(E749:H749)</f>
        <v>0</v>
      </c>
      <c r="J749" s="103" t="str">
        <f>IFERROR(E749/$I749*100,"")</f>
        <v/>
      </c>
      <c r="K749" s="104" t="str">
        <f>IFERROR(F749/$I749*100,"")</f>
        <v/>
      </c>
      <c r="L749" s="105" t="str">
        <f>IFERROR(G749/$I749*100,"")</f>
        <v/>
      </c>
      <c r="M749" s="106" t="str">
        <f t="shared" si="272"/>
        <v/>
      </c>
      <c r="N749" s="3" t="s">
        <v>1671</v>
      </c>
    </row>
    <row r="750" spans="1:14" ht="5.0999999999999996" customHeight="1" x14ac:dyDescent="0.25">
      <c r="A750" s="14" t="s">
        <v>18</v>
      </c>
      <c r="B750" s="16" t="s">
        <v>74</v>
      </c>
      <c r="C750"/>
      <c r="D750" s="57"/>
      <c r="E750" s="59"/>
      <c r="F750" s="59"/>
      <c r="G750" s="59"/>
      <c r="H750" s="59"/>
      <c r="I750" s="59"/>
      <c r="J750" s="103"/>
      <c r="K750" s="104"/>
      <c r="L750" s="105"/>
      <c r="M750" s="106" t="str">
        <f t="shared" si="272"/>
        <v/>
      </c>
    </row>
    <row r="751" spans="1:14" s="5" customFormat="1" ht="20.100000000000001" customHeight="1" x14ac:dyDescent="0.25">
      <c r="A751" s="14" t="s">
        <v>18</v>
      </c>
      <c r="B751" s="16" t="s">
        <v>78</v>
      </c>
      <c r="C751" s="25" t="s">
        <v>60</v>
      </c>
      <c r="D751" s="6" t="s">
        <v>80</v>
      </c>
      <c r="E751" s="37"/>
      <c r="F751" s="37"/>
      <c r="G751" s="37"/>
      <c r="H751" s="37"/>
      <c r="I751" s="48"/>
      <c r="J751" s="103"/>
      <c r="K751" s="104"/>
      <c r="L751" s="105"/>
      <c r="M751" s="106" t="str">
        <f t="shared" si="272"/>
        <v/>
      </c>
      <c r="N751" s="5" t="s">
        <v>1673</v>
      </c>
    </row>
    <row r="752" spans="1:14" s="5" customFormat="1" ht="30" customHeight="1" x14ac:dyDescent="0.25">
      <c r="A752" s="14" t="s">
        <v>18</v>
      </c>
      <c r="B752" s="16" t="s">
        <v>78</v>
      </c>
      <c r="C752" s="25" t="s">
        <v>61</v>
      </c>
      <c r="D752" s="81" t="s">
        <v>81</v>
      </c>
      <c r="E752" s="38">
        <v>0</v>
      </c>
      <c r="F752" s="39">
        <v>0</v>
      </c>
      <c r="G752" s="40">
        <v>0</v>
      </c>
      <c r="H752" s="41">
        <v>0</v>
      </c>
      <c r="I752" s="42">
        <f t="shared" ref="I752:I758" si="288">SUM(E752:H752)</f>
        <v>0</v>
      </c>
      <c r="J752" s="103" t="str">
        <f t="shared" ref="J752:L758" si="289">IFERROR(E752/$I752*100,"")</f>
        <v/>
      </c>
      <c r="K752" s="104" t="str">
        <f t="shared" si="289"/>
        <v/>
      </c>
      <c r="L752" s="105" t="str">
        <f t="shared" si="289"/>
        <v/>
      </c>
      <c r="M752" s="106" t="str">
        <f t="shared" si="272"/>
        <v/>
      </c>
    </row>
    <row r="753" spans="1:14" s="5" customFormat="1" ht="30" customHeight="1" x14ac:dyDescent="0.25">
      <c r="A753" s="14" t="s">
        <v>18</v>
      </c>
      <c r="B753" s="16" t="s">
        <v>78</v>
      </c>
      <c r="C753" s="25" t="s">
        <v>61</v>
      </c>
      <c r="D753" s="81" t="s">
        <v>82</v>
      </c>
      <c r="E753" s="38">
        <v>0</v>
      </c>
      <c r="F753" s="39">
        <v>0</v>
      </c>
      <c r="G753" s="40">
        <v>0</v>
      </c>
      <c r="H753" s="41">
        <v>0</v>
      </c>
      <c r="I753" s="42">
        <f t="shared" si="288"/>
        <v>0</v>
      </c>
      <c r="J753" s="103" t="str">
        <f t="shared" si="289"/>
        <v/>
      </c>
      <c r="K753" s="104" t="str">
        <f t="shared" si="289"/>
        <v/>
      </c>
      <c r="L753" s="105" t="str">
        <f t="shared" si="289"/>
        <v/>
      </c>
      <c r="M753" s="106" t="str">
        <f t="shared" si="272"/>
        <v/>
      </c>
    </row>
    <row r="754" spans="1:14" s="5" customFormat="1" ht="30" customHeight="1" x14ac:dyDescent="0.25">
      <c r="A754" s="14" t="s">
        <v>18</v>
      </c>
      <c r="B754" s="16" t="s">
        <v>78</v>
      </c>
      <c r="C754" s="25" t="s">
        <v>61</v>
      </c>
      <c r="D754" s="81" t="s">
        <v>83</v>
      </c>
      <c r="E754" s="38">
        <v>0</v>
      </c>
      <c r="F754" s="39">
        <v>0</v>
      </c>
      <c r="G754" s="40">
        <v>0</v>
      </c>
      <c r="H754" s="41">
        <v>0</v>
      </c>
      <c r="I754" s="42">
        <f t="shared" si="288"/>
        <v>0</v>
      </c>
      <c r="J754" s="103" t="str">
        <f t="shared" si="289"/>
        <v/>
      </c>
      <c r="K754" s="104" t="str">
        <f t="shared" si="289"/>
        <v/>
      </c>
      <c r="L754" s="105" t="str">
        <f t="shared" si="289"/>
        <v/>
      </c>
      <c r="M754" s="106" t="str">
        <f t="shared" si="272"/>
        <v/>
      </c>
    </row>
    <row r="755" spans="1:14" s="5" customFormat="1" ht="30" customHeight="1" x14ac:dyDescent="0.25">
      <c r="A755" s="14" t="s">
        <v>18</v>
      </c>
      <c r="B755" s="16" t="s">
        <v>78</v>
      </c>
      <c r="C755" s="25" t="s">
        <v>61</v>
      </c>
      <c r="D755" s="81" t="s">
        <v>88</v>
      </c>
      <c r="E755" s="38">
        <v>0</v>
      </c>
      <c r="F755" s="39">
        <v>0</v>
      </c>
      <c r="G755" s="40">
        <v>0</v>
      </c>
      <c r="H755" s="41">
        <v>0</v>
      </c>
      <c r="I755" s="42">
        <f t="shared" si="288"/>
        <v>0</v>
      </c>
      <c r="J755" s="103" t="str">
        <f t="shared" si="289"/>
        <v/>
      </c>
      <c r="K755" s="104" t="str">
        <f t="shared" si="289"/>
        <v/>
      </c>
      <c r="L755" s="105" t="str">
        <f t="shared" si="289"/>
        <v/>
      </c>
      <c r="M755" s="106" t="str">
        <f t="shared" si="272"/>
        <v/>
      </c>
    </row>
    <row r="756" spans="1:14" s="5" customFormat="1" ht="30" customHeight="1" x14ac:dyDescent="0.25">
      <c r="A756" s="14" t="s">
        <v>18</v>
      </c>
      <c r="B756" s="16" t="s">
        <v>78</v>
      </c>
      <c r="C756" s="25" t="s">
        <v>61</v>
      </c>
      <c r="D756" s="81" t="s">
        <v>87</v>
      </c>
      <c r="E756" s="38">
        <v>0</v>
      </c>
      <c r="F756" s="39">
        <v>0</v>
      </c>
      <c r="G756" s="40">
        <v>0</v>
      </c>
      <c r="H756" s="41">
        <v>0</v>
      </c>
      <c r="I756" s="42">
        <f t="shared" si="288"/>
        <v>0</v>
      </c>
      <c r="J756" s="103" t="str">
        <f t="shared" si="289"/>
        <v/>
      </c>
      <c r="K756" s="104" t="str">
        <f t="shared" si="289"/>
        <v/>
      </c>
      <c r="L756" s="105" t="str">
        <f t="shared" si="289"/>
        <v/>
      </c>
      <c r="M756" s="106" t="str">
        <f t="shared" si="272"/>
        <v/>
      </c>
    </row>
    <row r="757" spans="1:14" s="5" customFormat="1" ht="30" customHeight="1" x14ac:dyDescent="0.25">
      <c r="A757" s="14" t="s">
        <v>18</v>
      </c>
      <c r="B757" s="16" t="s">
        <v>78</v>
      </c>
      <c r="C757" s="25" t="s">
        <v>61</v>
      </c>
      <c r="D757" s="81" t="s">
        <v>84</v>
      </c>
      <c r="E757" s="38">
        <v>0</v>
      </c>
      <c r="F757" s="39">
        <v>0</v>
      </c>
      <c r="G757" s="40">
        <v>0</v>
      </c>
      <c r="H757" s="41">
        <v>0</v>
      </c>
      <c r="I757" s="42">
        <f t="shared" si="288"/>
        <v>0</v>
      </c>
      <c r="J757" s="103" t="str">
        <f t="shared" si="289"/>
        <v/>
      </c>
      <c r="K757" s="104" t="str">
        <f t="shared" si="289"/>
        <v/>
      </c>
      <c r="L757" s="105" t="str">
        <f t="shared" si="289"/>
        <v/>
      </c>
      <c r="M757" s="106" t="str">
        <f t="shared" si="272"/>
        <v/>
      </c>
    </row>
    <row r="758" spans="1:14" s="5" customFormat="1" ht="30" customHeight="1" x14ac:dyDescent="0.25">
      <c r="A758" s="14" t="s">
        <v>18</v>
      </c>
      <c r="B758" s="16" t="s">
        <v>78</v>
      </c>
      <c r="C758" s="25" t="s">
        <v>86</v>
      </c>
      <c r="D758" s="81" t="s">
        <v>79</v>
      </c>
      <c r="E758" s="38">
        <v>0</v>
      </c>
      <c r="F758" s="39">
        <v>0</v>
      </c>
      <c r="G758" s="40">
        <v>0</v>
      </c>
      <c r="H758" s="41">
        <v>0</v>
      </c>
      <c r="I758" s="42">
        <f t="shared" si="288"/>
        <v>0</v>
      </c>
      <c r="J758" s="103" t="str">
        <f t="shared" si="289"/>
        <v/>
      </c>
      <c r="K758" s="104" t="str">
        <f t="shared" si="289"/>
        <v/>
      </c>
      <c r="L758" s="105" t="str">
        <f t="shared" si="289"/>
        <v/>
      </c>
      <c r="M758" s="106" t="str">
        <f t="shared" si="272"/>
        <v/>
      </c>
      <c r="N758" s="5" t="s">
        <v>1671</v>
      </c>
    </row>
    <row r="759" spans="1:14" ht="5.0999999999999996" customHeight="1" x14ac:dyDescent="0.25">
      <c r="A759" s="14" t="s">
        <v>18</v>
      </c>
      <c r="B759" s="16" t="s">
        <v>78</v>
      </c>
      <c r="C759"/>
      <c r="D759" s="57"/>
      <c r="E759" s="59"/>
      <c r="F759" s="59"/>
      <c r="G759" s="59"/>
      <c r="H759" s="59"/>
      <c r="I759" s="59"/>
      <c r="J759" s="103"/>
      <c r="K759" s="104"/>
      <c r="L759" s="105"/>
      <c r="M759" s="106" t="str">
        <f t="shared" si="272"/>
        <v/>
      </c>
    </row>
    <row r="760" spans="1:14" s="5" customFormat="1" ht="20.100000000000001" customHeight="1" x14ac:dyDescent="0.25">
      <c r="A760" s="14" t="s">
        <v>18</v>
      </c>
      <c r="B760" s="16" t="s">
        <v>91</v>
      </c>
      <c r="C760" s="25" t="s">
        <v>60</v>
      </c>
      <c r="D760" s="6" t="s">
        <v>89</v>
      </c>
      <c r="E760" s="37"/>
      <c r="F760" s="37"/>
      <c r="G760" s="37"/>
      <c r="H760" s="37"/>
      <c r="I760" s="48"/>
      <c r="J760" s="103"/>
      <c r="K760" s="104"/>
      <c r="L760" s="105"/>
      <c r="M760" s="106" t="str">
        <f t="shared" si="272"/>
        <v/>
      </c>
      <c r="N760" s="5" t="s">
        <v>1673</v>
      </c>
    </row>
    <row r="761" spans="1:14" s="5" customFormat="1" ht="30" customHeight="1" x14ac:dyDescent="0.25">
      <c r="A761" s="14" t="s">
        <v>18</v>
      </c>
      <c r="B761" s="16" t="s">
        <v>91</v>
      </c>
      <c r="C761" s="25" t="s">
        <v>61</v>
      </c>
      <c r="D761" s="82" t="s">
        <v>90</v>
      </c>
      <c r="E761" s="38">
        <v>0</v>
      </c>
      <c r="F761" s="39">
        <v>0</v>
      </c>
      <c r="G761" s="40">
        <v>0</v>
      </c>
      <c r="H761" s="41">
        <v>0</v>
      </c>
      <c r="I761" s="42">
        <f t="shared" ref="I761" si="290">SUM(E761:H761)</f>
        <v>0</v>
      </c>
      <c r="J761" s="103" t="str">
        <f>IFERROR(E761/$I761*100,"")</f>
        <v/>
      </c>
      <c r="K761" s="104" t="str">
        <f>IFERROR(F761/$I761*100,"")</f>
        <v/>
      </c>
      <c r="L761" s="105" t="str">
        <f>IFERROR(G761/$I761*100,"")</f>
        <v/>
      </c>
      <c r="M761" s="106" t="str">
        <f t="shared" si="272"/>
        <v/>
      </c>
      <c r="N761" s="5" t="s">
        <v>1671</v>
      </c>
    </row>
    <row r="762" spans="1:14" ht="5.0999999999999996" customHeight="1" x14ac:dyDescent="0.25">
      <c r="A762" s="14" t="s">
        <v>18</v>
      </c>
      <c r="B762" s="16" t="s">
        <v>91</v>
      </c>
      <c r="C762"/>
      <c r="D762" s="57"/>
      <c r="E762" s="59"/>
      <c r="F762" s="59"/>
      <c r="G762" s="59"/>
      <c r="H762" s="59"/>
      <c r="I762" s="59"/>
      <c r="J762" s="103"/>
      <c r="K762" s="104"/>
      <c r="L762" s="105"/>
      <c r="M762" s="106" t="str">
        <f t="shared" si="272"/>
        <v/>
      </c>
    </row>
    <row r="763" spans="1:14" s="5" customFormat="1" ht="20.100000000000001" customHeight="1" x14ac:dyDescent="0.25">
      <c r="A763" s="14" t="s">
        <v>18</v>
      </c>
      <c r="B763" s="16" t="s">
        <v>1916</v>
      </c>
      <c r="C763" s="25" t="s">
        <v>60</v>
      </c>
      <c r="D763" s="6" t="s">
        <v>1853</v>
      </c>
      <c r="E763" s="37"/>
      <c r="F763" s="37"/>
      <c r="G763" s="37"/>
      <c r="H763" s="37"/>
      <c r="I763" s="48"/>
      <c r="J763" s="103"/>
      <c r="K763" s="104"/>
      <c r="L763" s="105"/>
      <c r="M763" s="106" t="str">
        <f t="shared" si="272"/>
        <v/>
      </c>
      <c r="N763" s="5" t="s">
        <v>1673</v>
      </c>
    </row>
    <row r="764" spans="1:14" s="5" customFormat="1" ht="30" customHeight="1" x14ac:dyDescent="0.25">
      <c r="A764" s="14" t="s">
        <v>18</v>
      </c>
      <c r="B764" s="16" t="s">
        <v>1916</v>
      </c>
      <c r="C764" s="25" t="s">
        <v>61</v>
      </c>
      <c r="D764" s="175" t="s">
        <v>1917</v>
      </c>
      <c r="E764" s="38">
        <v>0</v>
      </c>
      <c r="F764" s="39">
        <v>0</v>
      </c>
      <c r="G764" s="40">
        <v>0</v>
      </c>
      <c r="H764" s="41">
        <v>0</v>
      </c>
      <c r="I764" s="42">
        <f t="shared" ref="I764" si="291">SUM(E764:H764)</f>
        <v>0</v>
      </c>
      <c r="J764" s="103" t="str">
        <f>IFERROR(E764/$I764*100,"")</f>
        <v/>
      </c>
      <c r="K764" s="104" t="str">
        <f>IFERROR(F764/$I764*100,"")</f>
        <v/>
      </c>
      <c r="L764" s="105" t="str">
        <f>IFERROR(G764/$I764*100,"")</f>
        <v/>
      </c>
      <c r="M764" s="106" t="str">
        <f t="shared" si="272"/>
        <v/>
      </c>
      <c r="N764" s="5" t="s">
        <v>1671</v>
      </c>
    </row>
    <row r="765" spans="1:14" ht="5.0999999999999996" customHeight="1" x14ac:dyDescent="0.25">
      <c r="A765" s="14" t="s">
        <v>18</v>
      </c>
      <c r="B765" s="16" t="s">
        <v>1916</v>
      </c>
      <c r="C765"/>
      <c r="D765" s="57"/>
      <c r="E765" s="59"/>
      <c r="F765" s="59"/>
      <c r="G765" s="59"/>
      <c r="H765" s="59"/>
      <c r="I765" s="59"/>
      <c r="J765" s="103"/>
      <c r="K765" s="104"/>
      <c r="L765" s="105"/>
      <c r="M765" s="106" t="str">
        <f t="shared" si="272"/>
        <v/>
      </c>
    </row>
    <row r="766" spans="1:14" s="5" customFormat="1" ht="20.100000000000001" customHeight="1" x14ac:dyDescent="0.25">
      <c r="A766" s="14" t="s">
        <v>18</v>
      </c>
      <c r="B766" s="16" t="s">
        <v>1637</v>
      </c>
      <c r="C766" s="25" t="s">
        <v>60</v>
      </c>
      <c r="D766" s="6" t="s">
        <v>1636</v>
      </c>
      <c r="E766" s="37"/>
      <c r="F766" s="37"/>
      <c r="G766" s="37"/>
      <c r="H766" s="37"/>
      <c r="I766" s="48"/>
      <c r="J766" s="103"/>
      <c r="K766" s="104"/>
      <c r="L766" s="105"/>
      <c r="M766" s="106" t="str">
        <f t="shared" si="272"/>
        <v/>
      </c>
      <c r="N766" s="5" t="s">
        <v>1673</v>
      </c>
    </row>
    <row r="767" spans="1:14" s="3" customFormat="1" ht="30" customHeight="1" x14ac:dyDescent="0.25">
      <c r="A767" s="14" t="s">
        <v>18</v>
      </c>
      <c r="B767" s="16" t="s">
        <v>1637</v>
      </c>
      <c r="C767" s="25" t="s">
        <v>61</v>
      </c>
      <c r="D767" s="87" t="s">
        <v>1638</v>
      </c>
      <c r="E767" s="38">
        <v>0</v>
      </c>
      <c r="F767" s="39">
        <v>0</v>
      </c>
      <c r="G767" s="40">
        <v>0</v>
      </c>
      <c r="H767" s="41">
        <v>0</v>
      </c>
      <c r="I767" s="42">
        <f t="shared" ref="I767:I772" si="292">SUM(E767:H767)</f>
        <v>0</v>
      </c>
      <c r="J767" s="103" t="str">
        <f t="shared" ref="J767:L771" si="293">IFERROR(E767/$I767*100,"")</f>
        <v/>
      </c>
      <c r="K767" s="104" t="str">
        <f t="shared" si="293"/>
        <v/>
      </c>
      <c r="L767" s="105" t="str">
        <f t="shared" si="293"/>
        <v/>
      </c>
      <c r="M767" s="106" t="str">
        <f t="shared" si="272"/>
        <v/>
      </c>
    </row>
    <row r="768" spans="1:14" s="3" customFormat="1" ht="30" customHeight="1" x14ac:dyDescent="0.25">
      <c r="A768" s="14" t="s">
        <v>18</v>
      </c>
      <c r="B768" s="16" t="s">
        <v>1637</v>
      </c>
      <c r="C768" s="25" t="s">
        <v>61</v>
      </c>
      <c r="D768" s="87" t="s">
        <v>1669</v>
      </c>
      <c r="E768" s="38">
        <v>0</v>
      </c>
      <c r="F768" s="39">
        <v>0</v>
      </c>
      <c r="G768" s="40">
        <v>0</v>
      </c>
      <c r="H768" s="41">
        <v>0</v>
      </c>
      <c r="I768" s="42">
        <f t="shared" si="292"/>
        <v>0</v>
      </c>
      <c r="J768" s="103" t="str">
        <f t="shared" si="293"/>
        <v/>
      </c>
      <c r="K768" s="104" t="str">
        <f t="shared" si="293"/>
        <v/>
      </c>
      <c r="L768" s="105" t="str">
        <f t="shared" si="293"/>
        <v/>
      </c>
      <c r="M768" s="106" t="str">
        <f t="shared" si="272"/>
        <v/>
      </c>
    </row>
    <row r="769" spans="1:14" s="3" customFormat="1" ht="30" customHeight="1" x14ac:dyDescent="0.25">
      <c r="A769" s="14" t="s">
        <v>18</v>
      </c>
      <c r="B769" s="16" t="s">
        <v>1637</v>
      </c>
      <c r="C769" s="25" t="s">
        <v>61</v>
      </c>
      <c r="D769" s="87" t="s">
        <v>1640</v>
      </c>
      <c r="E769" s="38">
        <v>0</v>
      </c>
      <c r="F769" s="39">
        <v>0</v>
      </c>
      <c r="G769" s="40">
        <v>0</v>
      </c>
      <c r="H769" s="41">
        <v>0</v>
      </c>
      <c r="I769" s="42">
        <f t="shared" si="292"/>
        <v>0</v>
      </c>
      <c r="J769" s="103" t="str">
        <f t="shared" si="293"/>
        <v/>
      </c>
      <c r="K769" s="104" t="str">
        <f t="shared" si="293"/>
        <v/>
      </c>
      <c r="L769" s="105" t="str">
        <f t="shared" si="293"/>
        <v/>
      </c>
      <c r="M769" s="106" t="str">
        <f t="shared" si="272"/>
        <v/>
      </c>
    </row>
    <row r="770" spans="1:14" s="3" customFormat="1" ht="30" customHeight="1" x14ac:dyDescent="0.25">
      <c r="A770" s="14" t="s">
        <v>18</v>
      </c>
      <c r="B770" s="16" t="s">
        <v>1637</v>
      </c>
      <c r="C770" s="25" t="s">
        <v>61</v>
      </c>
      <c r="D770" s="87" t="s">
        <v>1639</v>
      </c>
      <c r="E770" s="38">
        <v>0</v>
      </c>
      <c r="F770" s="39">
        <v>0</v>
      </c>
      <c r="G770" s="40">
        <v>0</v>
      </c>
      <c r="H770" s="41">
        <v>0</v>
      </c>
      <c r="I770" s="42">
        <f t="shared" si="292"/>
        <v>0</v>
      </c>
      <c r="J770" s="103" t="str">
        <f t="shared" si="293"/>
        <v/>
      </c>
      <c r="K770" s="104" t="str">
        <f t="shared" si="293"/>
        <v/>
      </c>
      <c r="L770" s="105" t="str">
        <f t="shared" si="293"/>
        <v/>
      </c>
      <c r="M770" s="106" t="str">
        <f t="shared" si="272"/>
        <v/>
      </c>
    </row>
    <row r="771" spans="1:14" s="3" customFormat="1" ht="30" customHeight="1" x14ac:dyDescent="0.25">
      <c r="A771" s="14" t="s">
        <v>18</v>
      </c>
      <c r="B771" s="16" t="s">
        <v>1637</v>
      </c>
      <c r="C771" s="25" t="s">
        <v>61</v>
      </c>
      <c r="D771" s="87" t="s">
        <v>1641</v>
      </c>
      <c r="E771" s="38">
        <v>0</v>
      </c>
      <c r="F771" s="39">
        <v>0</v>
      </c>
      <c r="G771" s="40">
        <v>0</v>
      </c>
      <c r="H771" s="41">
        <v>0</v>
      </c>
      <c r="I771" s="42">
        <f t="shared" si="292"/>
        <v>0</v>
      </c>
      <c r="J771" s="103" t="str">
        <f t="shared" si="293"/>
        <v/>
      </c>
      <c r="K771" s="104" t="str">
        <f t="shared" si="293"/>
        <v/>
      </c>
      <c r="L771" s="105" t="str">
        <f t="shared" si="293"/>
        <v/>
      </c>
      <c r="M771" s="106" t="str">
        <f t="shared" si="272"/>
        <v/>
      </c>
    </row>
    <row r="772" spans="1:14" s="3" customFormat="1" ht="30" customHeight="1" x14ac:dyDescent="0.25">
      <c r="A772" s="14" t="s">
        <v>18</v>
      </c>
      <c r="B772" s="16" t="s">
        <v>1637</v>
      </c>
      <c r="C772" s="25"/>
      <c r="D772" s="87" t="s">
        <v>29</v>
      </c>
      <c r="E772" s="38">
        <f>SUM(E767:E771)</f>
        <v>0</v>
      </c>
      <c r="F772" s="39">
        <f>SUM(F767:F771)</f>
        <v>0</v>
      </c>
      <c r="G772" s="40">
        <f>SUM(G767:G771)</f>
        <v>0</v>
      </c>
      <c r="H772" s="41">
        <f>SUM(H767:H771)</f>
        <v>0</v>
      </c>
      <c r="I772" s="42">
        <f t="shared" si="292"/>
        <v>0</v>
      </c>
      <c r="J772" s="103" t="str">
        <f>IFERROR(E772/SUM($E772:$H772)*100,"")</f>
        <v/>
      </c>
      <c r="K772" s="104" t="str">
        <f>IFERROR(F772/SUM($E772:$H772)*100,"")</f>
        <v/>
      </c>
      <c r="L772" s="105" t="str">
        <f>IFERROR(G772/SUM($E772:$H772)*100,"")</f>
        <v/>
      </c>
      <c r="M772" s="106" t="str">
        <f t="shared" si="272"/>
        <v/>
      </c>
      <c r="N772" s="5" t="s">
        <v>1671</v>
      </c>
    </row>
    <row r="773" spans="1:14" ht="5.0999999999999996" customHeight="1" x14ac:dyDescent="0.25">
      <c r="A773" s="14" t="s">
        <v>18</v>
      </c>
      <c r="B773" s="16" t="s">
        <v>1637</v>
      </c>
      <c r="C773"/>
      <c r="J773" s="103"/>
      <c r="K773" s="104"/>
      <c r="L773" s="105"/>
      <c r="M773" s="106" t="str">
        <f t="shared" si="272"/>
        <v/>
      </c>
    </row>
    <row r="774" spans="1:14" s="5" customFormat="1" ht="20.100000000000001" customHeight="1" x14ac:dyDescent="0.25">
      <c r="A774" s="14" t="s">
        <v>18</v>
      </c>
      <c r="B774" s="16" t="s">
        <v>42</v>
      </c>
      <c r="C774" s="25" t="s">
        <v>60</v>
      </c>
      <c r="D774" s="6" t="s">
        <v>1744</v>
      </c>
      <c r="E774" s="37"/>
      <c r="F774" s="37"/>
      <c r="G774" s="37"/>
      <c r="H774" s="37"/>
      <c r="I774" s="48"/>
      <c r="J774" s="103"/>
      <c r="K774" s="104"/>
      <c r="L774" s="105"/>
      <c r="M774" s="106" t="str">
        <f t="shared" si="272"/>
        <v/>
      </c>
      <c r="N774" s="5" t="s">
        <v>1673</v>
      </c>
    </row>
    <row r="775" spans="1:14" s="3" customFormat="1" ht="30" customHeight="1" x14ac:dyDescent="0.25">
      <c r="A775" s="14" t="s">
        <v>18</v>
      </c>
      <c r="B775" s="16" t="s">
        <v>42</v>
      </c>
      <c r="C775" s="25" t="s">
        <v>61</v>
      </c>
      <c r="D775" s="12" t="s">
        <v>43</v>
      </c>
      <c r="E775" s="38">
        <v>0</v>
      </c>
      <c r="F775" s="39">
        <v>0</v>
      </c>
      <c r="G775" s="40">
        <v>0</v>
      </c>
      <c r="H775" s="41">
        <v>0</v>
      </c>
      <c r="I775" s="42">
        <f t="shared" ref="I775:I784" si="294">SUM(E775:H775)</f>
        <v>0</v>
      </c>
      <c r="J775" s="103" t="str">
        <f t="shared" ref="J775:J784" si="295">IFERROR(E775/$I775*100,"")</f>
        <v/>
      </c>
      <c r="K775" s="104" t="str">
        <f t="shared" ref="K775:K784" si="296">IFERROR(F775/$I775*100,"")</f>
        <v/>
      </c>
      <c r="L775" s="105" t="str">
        <f t="shared" ref="L775:L784" si="297">IFERROR(G775/$I775*100,"")</f>
        <v/>
      </c>
      <c r="M775" s="106" t="str">
        <f t="shared" si="272"/>
        <v/>
      </c>
    </row>
    <row r="776" spans="1:14" s="3" customFormat="1" ht="30" customHeight="1" x14ac:dyDescent="0.25">
      <c r="A776" s="14" t="s">
        <v>18</v>
      </c>
      <c r="B776" s="16" t="s">
        <v>42</v>
      </c>
      <c r="C776" s="25" t="s">
        <v>61</v>
      </c>
      <c r="D776" s="12" t="s">
        <v>44</v>
      </c>
      <c r="E776" s="38">
        <v>0</v>
      </c>
      <c r="F776" s="39">
        <v>0</v>
      </c>
      <c r="G776" s="40">
        <v>0</v>
      </c>
      <c r="H776" s="41">
        <v>0</v>
      </c>
      <c r="I776" s="42">
        <f t="shared" si="294"/>
        <v>0</v>
      </c>
      <c r="J776" s="103" t="str">
        <f t="shared" si="295"/>
        <v/>
      </c>
      <c r="K776" s="104" t="str">
        <f t="shared" si="296"/>
        <v/>
      </c>
      <c r="L776" s="105" t="str">
        <f t="shared" si="297"/>
        <v/>
      </c>
      <c r="M776" s="106" t="str">
        <f t="shared" si="272"/>
        <v/>
      </c>
    </row>
    <row r="777" spans="1:14" s="3" customFormat="1" ht="30" customHeight="1" x14ac:dyDescent="0.25">
      <c r="A777" s="14" t="s">
        <v>18</v>
      </c>
      <c r="B777" s="16" t="s">
        <v>42</v>
      </c>
      <c r="C777" s="25" t="s">
        <v>61</v>
      </c>
      <c r="D777" s="12" t="s">
        <v>45</v>
      </c>
      <c r="E777" s="38">
        <v>0</v>
      </c>
      <c r="F777" s="39">
        <v>0</v>
      </c>
      <c r="G777" s="40">
        <v>0</v>
      </c>
      <c r="H777" s="41">
        <v>0</v>
      </c>
      <c r="I777" s="42">
        <f t="shared" si="294"/>
        <v>0</v>
      </c>
      <c r="J777" s="103" t="str">
        <f t="shared" si="295"/>
        <v/>
      </c>
      <c r="K777" s="104" t="str">
        <f t="shared" si="296"/>
        <v/>
      </c>
      <c r="L777" s="105" t="str">
        <f t="shared" si="297"/>
        <v/>
      </c>
      <c r="M777" s="106" t="str">
        <f t="shared" si="272"/>
        <v/>
      </c>
    </row>
    <row r="778" spans="1:14" s="3" customFormat="1" ht="30" customHeight="1" x14ac:dyDescent="0.25">
      <c r="A778" s="14" t="s">
        <v>18</v>
      </c>
      <c r="B778" s="16" t="s">
        <v>42</v>
      </c>
      <c r="C778" s="25" t="s">
        <v>61</v>
      </c>
      <c r="D778" s="12" t="s">
        <v>46</v>
      </c>
      <c r="E778" s="38">
        <v>0</v>
      </c>
      <c r="F778" s="39">
        <v>0</v>
      </c>
      <c r="G778" s="40">
        <v>0</v>
      </c>
      <c r="H778" s="41">
        <v>0</v>
      </c>
      <c r="I778" s="42">
        <f t="shared" si="294"/>
        <v>0</v>
      </c>
      <c r="J778" s="103" t="str">
        <f t="shared" si="295"/>
        <v/>
      </c>
      <c r="K778" s="104" t="str">
        <f t="shared" si="296"/>
        <v/>
      </c>
      <c r="L778" s="105" t="str">
        <f t="shared" si="297"/>
        <v/>
      </c>
      <c r="M778" s="106" t="str">
        <f t="shared" si="272"/>
        <v/>
      </c>
    </row>
    <row r="779" spans="1:14" s="3" customFormat="1" ht="30" customHeight="1" x14ac:dyDescent="0.25">
      <c r="A779" s="14" t="s">
        <v>18</v>
      </c>
      <c r="B779" s="16" t="s">
        <v>42</v>
      </c>
      <c r="C779" s="25" t="s">
        <v>61</v>
      </c>
      <c r="D779" s="12" t="s">
        <v>51</v>
      </c>
      <c r="E779" s="38">
        <v>0</v>
      </c>
      <c r="F779" s="39">
        <v>0</v>
      </c>
      <c r="G779" s="40">
        <v>0</v>
      </c>
      <c r="H779" s="41">
        <v>0</v>
      </c>
      <c r="I779" s="42">
        <f t="shared" si="294"/>
        <v>0</v>
      </c>
      <c r="J779" s="103" t="str">
        <f t="shared" si="295"/>
        <v/>
      </c>
      <c r="K779" s="104" t="str">
        <f t="shared" si="296"/>
        <v/>
      </c>
      <c r="L779" s="105" t="str">
        <f t="shared" si="297"/>
        <v/>
      </c>
      <c r="M779" s="106" t="str">
        <f t="shared" si="272"/>
        <v/>
      </c>
    </row>
    <row r="780" spans="1:14" s="3" customFormat="1" ht="30" customHeight="1" x14ac:dyDescent="0.25">
      <c r="A780" s="14" t="s">
        <v>18</v>
      </c>
      <c r="B780" s="16" t="s">
        <v>42</v>
      </c>
      <c r="C780" s="25" t="s">
        <v>61</v>
      </c>
      <c r="D780" s="12" t="s">
        <v>52</v>
      </c>
      <c r="E780" s="38">
        <v>0</v>
      </c>
      <c r="F780" s="39">
        <v>0</v>
      </c>
      <c r="G780" s="40">
        <v>0</v>
      </c>
      <c r="H780" s="41">
        <v>0</v>
      </c>
      <c r="I780" s="42">
        <f t="shared" si="294"/>
        <v>0</v>
      </c>
      <c r="J780" s="103" t="str">
        <f t="shared" si="295"/>
        <v/>
      </c>
      <c r="K780" s="104" t="str">
        <f t="shared" si="296"/>
        <v/>
      </c>
      <c r="L780" s="105" t="str">
        <f t="shared" si="297"/>
        <v/>
      </c>
      <c r="M780" s="106" t="str">
        <f t="shared" si="272"/>
        <v/>
      </c>
    </row>
    <row r="781" spans="1:14" s="3" customFormat="1" ht="30" customHeight="1" x14ac:dyDescent="0.25">
      <c r="A781" s="14" t="s">
        <v>18</v>
      </c>
      <c r="B781" s="16" t="s">
        <v>42</v>
      </c>
      <c r="C781" s="25" t="s">
        <v>61</v>
      </c>
      <c r="D781" s="12" t="s">
        <v>47</v>
      </c>
      <c r="E781" s="38">
        <v>0</v>
      </c>
      <c r="F781" s="39">
        <v>0</v>
      </c>
      <c r="G781" s="40">
        <v>0</v>
      </c>
      <c r="H781" s="41">
        <v>0</v>
      </c>
      <c r="I781" s="42">
        <f t="shared" si="294"/>
        <v>0</v>
      </c>
      <c r="J781" s="103" t="str">
        <f t="shared" si="295"/>
        <v/>
      </c>
      <c r="K781" s="104" t="str">
        <f t="shared" si="296"/>
        <v/>
      </c>
      <c r="L781" s="105" t="str">
        <f t="shared" si="297"/>
        <v/>
      </c>
      <c r="M781" s="106" t="str">
        <f t="shared" ref="M781:M844" si="298">IFERROR(H781/$I781*100,"")</f>
        <v/>
      </c>
    </row>
    <row r="782" spans="1:14" s="3" customFormat="1" ht="30" customHeight="1" x14ac:dyDescent="0.25">
      <c r="A782" s="14" t="s">
        <v>18</v>
      </c>
      <c r="B782" s="16" t="s">
        <v>42</v>
      </c>
      <c r="C782" s="25" t="s">
        <v>61</v>
      </c>
      <c r="D782" s="12" t="s">
        <v>48</v>
      </c>
      <c r="E782" s="38">
        <v>0</v>
      </c>
      <c r="F782" s="39">
        <v>0</v>
      </c>
      <c r="G782" s="40">
        <v>0</v>
      </c>
      <c r="H782" s="41">
        <v>0</v>
      </c>
      <c r="I782" s="42">
        <f t="shared" si="294"/>
        <v>0</v>
      </c>
      <c r="J782" s="103" t="str">
        <f t="shared" si="295"/>
        <v/>
      </c>
      <c r="K782" s="104" t="str">
        <f t="shared" si="296"/>
        <v/>
      </c>
      <c r="L782" s="105" t="str">
        <f t="shared" si="297"/>
        <v/>
      </c>
      <c r="M782" s="106" t="str">
        <f t="shared" si="298"/>
        <v/>
      </c>
    </row>
    <row r="783" spans="1:14" s="3" customFormat="1" ht="30" customHeight="1" x14ac:dyDescent="0.25">
      <c r="A783" s="14" t="s">
        <v>18</v>
      </c>
      <c r="B783" s="16" t="s">
        <v>42</v>
      </c>
      <c r="C783" s="25" t="s">
        <v>61</v>
      </c>
      <c r="D783" s="12" t="s">
        <v>49</v>
      </c>
      <c r="E783" s="38">
        <v>0</v>
      </c>
      <c r="F783" s="39">
        <v>0</v>
      </c>
      <c r="G783" s="40">
        <v>0</v>
      </c>
      <c r="H783" s="41">
        <v>0</v>
      </c>
      <c r="I783" s="42">
        <f t="shared" si="294"/>
        <v>0</v>
      </c>
      <c r="J783" s="103" t="str">
        <f t="shared" si="295"/>
        <v/>
      </c>
      <c r="K783" s="104" t="str">
        <f t="shared" si="296"/>
        <v/>
      </c>
      <c r="L783" s="105" t="str">
        <f t="shared" si="297"/>
        <v/>
      </c>
      <c r="M783" s="106" t="str">
        <f t="shared" si="298"/>
        <v/>
      </c>
    </row>
    <row r="784" spans="1:14" s="3" customFormat="1" ht="30" customHeight="1" x14ac:dyDescent="0.25">
      <c r="A784" s="14" t="s">
        <v>18</v>
      </c>
      <c r="B784" s="16" t="s">
        <v>42</v>
      </c>
      <c r="C784" s="25" t="s">
        <v>61</v>
      </c>
      <c r="D784" s="12" t="s">
        <v>50</v>
      </c>
      <c r="E784" s="38">
        <v>0</v>
      </c>
      <c r="F784" s="39">
        <v>0</v>
      </c>
      <c r="G784" s="40">
        <v>0</v>
      </c>
      <c r="H784" s="41">
        <v>0</v>
      </c>
      <c r="I784" s="42">
        <f t="shared" si="294"/>
        <v>0</v>
      </c>
      <c r="J784" s="103" t="str">
        <f t="shared" si="295"/>
        <v/>
      </c>
      <c r="K784" s="104" t="str">
        <f t="shared" si="296"/>
        <v/>
      </c>
      <c r="L784" s="105" t="str">
        <f t="shared" si="297"/>
        <v/>
      </c>
      <c r="M784" s="106" t="str">
        <f t="shared" si="298"/>
        <v/>
      </c>
    </row>
    <row r="785" spans="1:14" s="8" customFormat="1" ht="30" customHeight="1" x14ac:dyDescent="0.25">
      <c r="A785" s="14" t="s">
        <v>18</v>
      </c>
      <c r="B785" s="16" t="s">
        <v>42</v>
      </c>
      <c r="C785" s="25"/>
      <c r="D785" s="9" t="s">
        <v>29</v>
      </c>
      <c r="E785" s="38">
        <f>SUM(E775:E784)</f>
        <v>0</v>
      </c>
      <c r="F785" s="39">
        <f t="shared" ref="F785" si="299">SUM(F775:F784)</f>
        <v>0</v>
      </c>
      <c r="G785" s="40">
        <f t="shared" ref="G785" si="300">SUM(G775:G784)</f>
        <v>0</v>
      </c>
      <c r="H785" s="41">
        <f t="shared" ref="H785" si="301">SUM(H775:H784)</f>
        <v>0</v>
      </c>
      <c r="I785" s="43">
        <f t="shared" ref="I785" si="302">SUM(I775:I784)</f>
        <v>0</v>
      </c>
      <c r="J785" s="103" t="str">
        <f>IFERROR(E785/SUM($E785:$H785)*100,"")</f>
        <v/>
      </c>
      <c r="K785" s="104" t="str">
        <f>IFERROR(F785/SUM($E785:$H785)*100,"")</f>
        <v/>
      </c>
      <c r="L785" s="105" t="str">
        <f>IFERROR(G785/SUM($E785:$H785)*100,"")</f>
        <v/>
      </c>
      <c r="M785" s="106" t="str">
        <f t="shared" si="298"/>
        <v/>
      </c>
      <c r="N785" s="5" t="s">
        <v>1671</v>
      </c>
    </row>
    <row r="786" spans="1:14" ht="5.0999999999999996" customHeight="1" x14ac:dyDescent="0.25">
      <c r="A786" s="14" t="s">
        <v>18</v>
      </c>
      <c r="B786" s="16" t="s">
        <v>42</v>
      </c>
      <c r="C786"/>
      <c r="D786" s="57"/>
      <c r="E786" s="59"/>
      <c r="F786" s="59"/>
      <c r="G786" s="59"/>
      <c r="H786" s="59"/>
      <c r="I786" s="59"/>
      <c r="J786" s="103"/>
      <c r="K786" s="104"/>
      <c r="L786" s="105"/>
      <c r="M786" s="106" t="str">
        <f t="shared" si="298"/>
        <v/>
      </c>
    </row>
    <row r="787" spans="1:14" s="7" customFormat="1" ht="20.100000000000001" customHeight="1" x14ac:dyDescent="0.25">
      <c r="A787" s="14" t="s">
        <v>18</v>
      </c>
      <c r="B787" s="16" t="s">
        <v>62</v>
      </c>
      <c r="C787" s="25" t="s">
        <v>60</v>
      </c>
      <c r="D787" s="62" t="s">
        <v>63</v>
      </c>
      <c r="E787" s="63"/>
      <c r="F787" s="63"/>
      <c r="G787" s="63"/>
      <c r="H787" s="63"/>
      <c r="I787" s="64"/>
      <c r="J787" s="103"/>
      <c r="K787" s="104"/>
      <c r="L787" s="105"/>
      <c r="M787" s="106" t="str">
        <f t="shared" si="298"/>
        <v/>
      </c>
      <c r="N787" s="5" t="s">
        <v>1673</v>
      </c>
    </row>
    <row r="788" spans="1:14" s="8" customFormat="1" ht="30" customHeight="1" x14ac:dyDescent="0.25">
      <c r="A788" s="14" t="s">
        <v>18</v>
      </c>
      <c r="B788" s="16" t="s">
        <v>62</v>
      </c>
      <c r="C788" s="25"/>
      <c r="D788" s="12" t="s">
        <v>29</v>
      </c>
      <c r="E788" s="38" t="e">
        <f>SUM(E738,E727,E746,E785,E741,E749,E758,E761,E772,#REF!)</f>
        <v>#REF!</v>
      </c>
      <c r="F788" s="39" t="e">
        <f>SUM(F738,F727,F746,F785,F741,F749,F758,F761,F772,#REF!)</f>
        <v>#REF!</v>
      </c>
      <c r="G788" s="40" t="e">
        <f>SUM(G738,G727,G746,G785,G741,G749,G758,G761,G772,#REF!)</f>
        <v>#REF!</v>
      </c>
      <c r="H788" s="41" t="e">
        <f>SUM(H738,H727,H746,H785,H741,H749,H758,H761,H772,#REF!)</f>
        <v>#REF!</v>
      </c>
      <c r="I788" s="42" t="e">
        <f>SUM(I738,I727,I746,I785,I741,I749,I758,I761,I772,#REF!)</f>
        <v>#REF!</v>
      </c>
      <c r="J788" s="103" t="str">
        <f>IFERROR(E788/SUM($E788:$H788)*100,"")</f>
        <v/>
      </c>
      <c r="K788" s="104" t="str">
        <f>IFERROR(F788/SUM($E788:$H788)*100,"")</f>
        <v/>
      </c>
      <c r="L788" s="105" t="str">
        <f>IFERROR(G788/SUM($E788:$H788)*100,"")</f>
        <v/>
      </c>
      <c r="M788" s="106" t="str">
        <f t="shared" si="298"/>
        <v/>
      </c>
      <c r="N788" s="5" t="s">
        <v>1671</v>
      </c>
    </row>
    <row r="789" spans="1:14" s="5" customFormat="1" ht="20.100000000000001" customHeight="1" x14ac:dyDescent="0.25">
      <c r="A789" s="14" t="s">
        <v>18</v>
      </c>
      <c r="B789" s="14"/>
      <c r="C789" s="25" t="s">
        <v>60</v>
      </c>
      <c r="D789" s="58"/>
      <c r="E789" s="60"/>
      <c r="F789" s="60"/>
      <c r="G789" s="60"/>
      <c r="H789" s="60"/>
      <c r="I789" s="60"/>
      <c r="J789" s="103"/>
      <c r="K789" s="104"/>
      <c r="L789" s="105"/>
      <c r="M789" s="106" t="str">
        <f t="shared" si="298"/>
        <v/>
      </c>
    </row>
    <row r="790" spans="1:14" s="5" customFormat="1" ht="20.100000000000001" customHeight="1" x14ac:dyDescent="0.25">
      <c r="A790" s="14" t="s">
        <v>9</v>
      </c>
      <c r="B790" s="14"/>
      <c r="C790" s="25" t="s">
        <v>60</v>
      </c>
      <c r="D790" s="20" t="str">
        <f>IFERROR(A790&amp;"   ("&amp;COUNTIFS(#REF!,"="&amp;A790)&amp;")",A790)</f>
        <v>DOT</v>
      </c>
      <c r="E790" s="45"/>
      <c r="F790" s="45"/>
      <c r="G790" s="45"/>
      <c r="H790" s="45"/>
      <c r="I790" s="46"/>
      <c r="J790" s="103"/>
      <c r="K790" s="104"/>
      <c r="L790" s="105"/>
      <c r="M790" s="106" t="str">
        <f t="shared" si="298"/>
        <v/>
      </c>
      <c r="N790" s="5" t="s">
        <v>1672</v>
      </c>
    </row>
    <row r="791" spans="1:14" s="5" customFormat="1" ht="20.100000000000001" customHeight="1" x14ac:dyDescent="0.25">
      <c r="A791" s="14" t="s">
        <v>9</v>
      </c>
      <c r="B791" s="16" t="s">
        <v>20</v>
      </c>
      <c r="C791" s="25" t="s">
        <v>60</v>
      </c>
      <c r="D791" s="6" t="s">
        <v>20</v>
      </c>
      <c r="E791" s="37"/>
      <c r="F791" s="37"/>
      <c r="G791" s="37"/>
      <c r="H791" s="37"/>
      <c r="I791" s="48"/>
      <c r="J791" s="103"/>
      <c r="K791" s="104"/>
      <c r="L791" s="105"/>
      <c r="M791" s="106" t="str">
        <f t="shared" si="298"/>
        <v/>
      </c>
      <c r="N791" s="5" t="s">
        <v>1673</v>
      </c>
    </row>
    <row r="792" spans="1:14" s="5" customFormat="1" ht="30" customHeight="1" x14ac:dyDescent="0.25">
      <c r="A792" s="14" t="s">
        <v>9</v>
      </c>
      <c r="B792" s="16" t="s">
        <v>20</v>
      </c>
      <c r="C792" s="25" t="s">
        <v>61</v>
      </c>
      <c r="D792" s="12" t="s">
        <v>25</v>
      </c>
      <c r="E792" s="38">
        <v>0</v>
      </c>
      <c r="F792" s="39">
        <v>0</v>
      </c>
      <c r="G792" s="40">
        <v>0</v>
      </c>
      <c r="H792" s="41">
        <v>0</v>
      </c>
      <c r="I792" s="42">
        <f>SUM(E792:H792)</f>
        <v>0</v>
      </c>
      <c r="J792" s="103" t="str">
        <f>IFERROR(E792/$I792*100,"")</f>
        <v/>
      </c>
      <c r="K792" s="104" t="str">
        <f>IFERROR(F792/$I792*100,"")</f>
        <v/>
      </c>
      <c r="L792" s="105" t="str">
        <f>IFERROR(G792/$I792*100,"")</f>
        <v/>
      </c>
      <c r="M792" s="106" t="str">
        <f t="shared" si="298"/>
        <v/>
      </c>
      <c r="N792" s="5" t="s">
        <v>1671</v>
      </c>
    </row>
    <row r="793" spans="1:14" ht="5.0999999999999996" customHeight="1" x14ac:dyDescent="0.25">
      <c r="A793" s="14" t="s">
        <v>9</v>
      </c>
      <c r="B793" s="16" t="s">
        <v>20</v>
      </c>
      <c r="C793"/>
      <c r="D793" s="57"/>
      <c r="E793" s="59"/>
      <c r="F793" s="59"/>
      <c r="G793" s="59"/>
      <c r="H793" s="59"/>
      <c r="I793" s="59"/>
      <c r="J793" s="103"/>
      <c r="K793" s="104"/>
      <c r="L793" s="105"/>
      <c r="M793" s="106" t="str">
        <f t="shared" si="298"/>
        <v/>
      </c>
    </row>
    <row r="794" spans="1:14" s="5" customFormat="1" ht="20.100000000000001" customHeight="1" x14ac:dyDescent="0.25">
      <c r="A794" s="14" t="s">
        <v>9</v>
      </c>
      <c r="B794" s="16" t="s">
        <v>26</v>
      </c>
      <c r="C794" s="25" t="s">
        <v>60</v>
      </c>
      <c r="D794" s="6" t="s">
        <v>98</v>
      </c>
      <c r="E794" s="37"/>
      <c r="F794" s="37"/>
      <c r="G794" s="37"/>
      <c r="H794" s="37"/>
      <c r="I794" s="47"/>
      <c r="J794" s="103"/>
      <c r="K794" s="104"/>
      <c r="L794" s="105"/>
      <c r="M794" s="106" t="str">
        <f t="shared" si="298"/>
        <v/>
      </c>
      <c r="N794" s="5" t="s">
        <v>1673</v>
      </c>
    </row>
    <row r="795" spans="1:14" s="5" customFormat="1" ht="30" customHeight="1" x14ac:dyDescent="0.25">
      <c r="A795" s="14" t="s">
        <v>9</v>
      </c>
      <c r="B795" s="16" t="s">
        <v>26</v>
      </c>
      <c r="C795" s="25" t="s">
        <v>61</v>
      </c>
      <c r="D795" s="31" t="s">
        <v>21</v>
      </c>
      <c r="E795" s="38">
        <v>0</v>
      </c>
      <c r="F795" s="39">
        <v>0</v>
      </c>
      <c r="G795" s="40">
        <v>0</v>
      </c>
      <c r="H795" s="41">
        <v>0</v>
      </c>
      <c r="I795" s="42">
        <f t="shared" ref="I795:I802" si="303">SUM(E795:H795)</f>
        <v>0</v>
      </c>
      <c r="J795" s="103" t="str">
        <f t="shared" ref="J795:L802" si="304">IFERROR(E795/$I795*100,"")</f>
        <v/>
      </c>
      <c r="K795" s="104" t="str">
        <f t="shared" si="304"/>
        <v/>
      </c>
      <c r="L795" s="105" t="str">
        <f t="shared" si="304"/>
        <v/>
      </c>
      <c r="M795" s="106" t="str">
        <f t="shared" si="298"/>
        <v/>
      </c>
    </row>
    <row r="796" spans="1:14" s="5" customFormat="1" ht="30" customHeight="1" x14ac:dyDescent="0.25">
      <c r="A796" s="14" t="s">
        <v>9</v>
      </c>
      <c r="B796" s="16" t="s">
        <v>26</v>
      </c>
      <c r="C796" s="25" t="s">
        <v>61</v>
      </c>
      <c r="D796" s="31" t="s">
        <v>22</v>
      </c>
      <c r="E796" s="38">
        <v>0</v>
      </c>
      <c r="F796" s="39">
        <v>0</v>
      </c>
      <c r="G796" s="40">
        <v>0</v>
      </c>
      <c r="H796" s="41">
        <v>0</v>
      </c>
      <c r="I796" s="42">
        <f t="shared" si="303"/>
        <v>0</v>
      </c>
      <c r="J796" s="103" t="str">
        <f t="shared" si="304"/>
        <v/>
      </c>
      <c r="K796" s="104" t="str">
        <f t="shared" si="304"/>
        <v/>
      </c>
      <c r="L796" s="105" t="str">
        <f t="shared" si="304"/>
        <v/>
      </c>
      <c r="M796" s="106" t="str">
        <f t="shared" si="298"/>
        <v/>
      </c>
    </row>
    <row r="797" spans="1:14" s="5" customFormat="1" ht="30" customHeight="1" x14ac:dyDescent="0.25">
      <c r="A797" s="14" t="s">
        <v>9</v>
      </c>
      <c r="B797" s="16" t="s">
        <v>26</v>
      </c>
      <c r="C797" s="25" t="s">
        <v>61</v>
      </c>
      <c r="D797" s="31" t="s">
        <v>27</v>
      </c>
      <c r="E797" s="38">
        <v>0</v>
      </c>
      <c r="F797" s="39">
        <v>0</v>
      </c>
      <c r="G797" s="40">
        <v>0</v>
      </c>
      <c r="H797" s="41">
        <v>0</v>
      </c>
      <c r="I797" s="42">
        <f t="shared" si="303"/>
        <v>0</v>
      </c>
      <c r="J797" s="103" t="str">
        <f t="shared" si="304"/>
        <v/>
      </c>
      <c r="K797" s="104" t="str">
        <f t="shared" si="304"/>
        <v/>
      </c>
      <c r="L797" s="105" t="str">
        <f t="shared" si="304"/>
        <v/>
      </c>
      <c r="M797" s="106" t="str">
        <f t="shared" si="298"/>
        <v/>
      </c>
    </row>
    <row r="798" spans="1:14" s="5" customFormat="1" ht="30" customHeight="1" x14ac:dyDescent="0.25">
      <c r="A798" s="14" t="s">
        <v>9</v>
      </c>
      <c r="B798" s="16" t="s">
        <v>26</v>
      </c>
      <c r="C798" s="25" t="s">
        <v>61</v>
      </c>
      <c r="D798" s="31" t="s">
        <v>23</v>
      </c>
      <c r="E798" s="38">
        <v>0</v>
      </c>
      <c r="F798" s="39">
        <v>0</v>
      </c>
      <c r="G798" s="40">
        <v>0</v>
      </c>
      <c r="H798" s="41">
        <v>0</v>
      </c>
      <c r="I798" s="42">
        <f t="shared" si="303"/>
        <v>0</v>
      </c>
      <c r="J798" s="103" t="str">
        <f t="shared" si="304"/>
        <v/>
      </c>
      <c r="K798" s="104" t="str">
        <f t="shared" si="304"/>
        <v/>
      </c>
      <c r="L798" s="105" t="str">
        <f t="shared" si="304"/>
        <v/>
      </c>
      <c r="M798" s="106" t="str">
        <f t="shared" si="298"/>
        <v/>
      </c>
    </row>
    <row r="799" spans="1:14" s="5" customFormat="1" ht="30" customHeight="1" x14ac:dyDescent="0.25">
      <c r="A799" s="14" t="s">
        <v>9</v>
      </c>
      <c r="B799" s="16" t="s">
        <v>26</v>
      </c>
      <c r="C799" s="25" t="s">
        <v>61</v>
      </c>
      <c r="D799" s="31" t="s">
        <v>24</v>
      </c>
      <c r="E799" s="38">
        <v>0</v>
      </c>
      <c r="F799" s="39">
        <v>0</v>
      </c>
      <c r="G799" s="40">
        <v>0</v>
      </c>
      <c r="H799" s="41">
        <v>0</v>
      </c>
      <c r="I799" s="42">
        <f t="shared" si="303"/>
        <v>0</v>
      </c>
      <c r="J799" s="103" t="str">
        <f t="shared" si="304"/>
        <v/>
      </c>
      <c r="K799" s="104" t="str">
        <f t="shared" si="304"/>
        <v/>
      </c>
      <c r="L799" s="105" t="str">
        <f t="shared" si="304"/>
        <v/>
      </c>
      <c r="M799" s="106" t="str">
        <f t="shared" si="298"/>
        <v/>
      </c>
    </row>
    <row r="800" spans="1:14" s="3" customFormat="1" ht="30" customHeight="1" x14ac:dyDescent="0.25">
      <c r="A800" s="14" t="s">
        <v>9</v>
      </c>
      <c r="B800" s="16" t="s">
        <v>26</v>
      </c>
      <c r="C800" s="25" t="s">
        <v>61</v>
      </c>
      <c r="D800" s="31" t="s">
        <v>41</v>
      </c>
      <c r="E800" s="38">
        <v>0</v>
      </c>
      <c r="F800" s="39">
        <v>0</v>
      </c>
      <c r="G800" s="40">
        <v>0</v>
      </c>
      <c r="H800" s="41">
        <v>0</v>
      </c>
      <c r="I800" s="42">
        <f t="shared" si="303"/>
        <v>0</v>
      </c>
      <c r="J800" s="103" t="str">
        <f t="shared" si="304"/>
        <v/>
      </c>
      <c r="K800" s="104" t="str">
        <f t="shared" si="304"/>
        <v/>
      </c>
      <c r="L800" s="105" t="str">
        <f t="shared" si="304"/>
        <v/>
      </c>
      <c r="M800" s="106" t="str">
        <f t="shared" si="298"/>
        <v/>
      </c>
    </row>
    <row r="801" spans="1:14" s="5" customFormat="1" ht="30" customHeight="1" x14ac:dyDescent="0.25">
      <c r="A801" s="14" t="s">
        <v>9</v>
      </c>
      <c r="B801" s="16" t="s">
        <v>26</v>
      </c>
      <c r="C801" s="25" t="s">
        <v>61</v>
      </c>
      <c r="D801" s="31" t="s">
        <v>28</v>
      </c>
      <c r="E801" s="38">
        <v>0</v>
      </c>
      <c r="F801" s="39">
        <v>0</v>
      </c>
      <c r="G801" s="40">
        <v>0</v>
      </c>
      <c r="H801" s="41">
        <v>0</v>
      </c>
      <c r="I801" s="42">
        <f t="shared" si="303"/>
        <v>0</v>
      </c>
      <c r="J801" s="103" t="str">
        <f t="shared" si="304"/>
        <v/>
      </c>
      <c r="K801" s="104" t="str">
        <f t="shared" si="304"/>
        <v/>
      </c>
      <c r="L801" s="105" t="str">
        <f t="shared" si="304"/>
        <v/>
      </c>
      <c r="M801" s="106" t="str">
        <f t="shared" si="298"/>
        <v/>
      </c>
    </row>
    <row r="802" spans="1:14" s="5" customFormat="1" ht="30" customHeight="1" x14ac:dyDescent="0.25">
      <c r="A802" s="14" t="s">
        <v>9</v>
      </c>
      <c r="B802" s="16" t="s">
        <v>26</v>
      </c>
      <c r="C802" s="25" t="s">
        <v>61</v>
      </c>
      <c r="D802" s="31" t="s">
        <v>40</v>
      </c>
      <c r="E802" s="38">
        <v>0</v>
      </c>
      <c r="F802" s="39">
        <v>0</v>
      </c>
      <c r="G802" s="40">
        <v>0</v>
      </c>
      <c r="H802" s="41">
        <v>0</v>
      </c>
      <c r="I802" s="42">
        <f t="shared" si="303"/>
        <v>0</v>
      </c>
      <c r="J802" s="103" t="str">
        <f t="shared" si="304"/>
        <v/>
      </c>
      <c r="K802" s="104" t="str">
        <f t="shared" si="304"/>
        <v/>
      </c>
      <c r="L802" s="105" t="str">
        <f t="shared" si="304"/>
        <v/>
      </c>
      <c r="M802" s="106" t="str">
        <f t="shared" si="298"/>
        <v/>
      </c>
    </row>
    <row r="803" spans="1:14" s="5" customFormat="1" ht="30" customHeight="1" x14ac:dyDescent="0.25">
      <c r="A803" s="14" t="s">
        <v>9</v>
      </c>
      <c r="B803" s="16" t="s">
        <v>26</v>
      </c>
      <c r="C803" s="25"/>
      <c r="D803" s="9" t="s">
        <v>29</v>
      </c>
      <c r="E803" s="38">
        <f>SUM(E795:E802)</f>
        <v>0</v>
      </c>
      <c r="F803" s="39">
        <f t="shared" ref="F803" si="305">SUM(F795:F802)</f>
        <v>0</v>
      </c>
      <c r="G803" s="40">
        <f t="shared" ref="G803" si="306">SUM(G795:G802)</f>
        <v>0</v>
      </c>
      <c r="H803" s="41">
        <f t="shared" ref="H803" si="307">SUM(H795:H802)</f>
        <v>0</v>
      </c>
      <c r="I803" s="43">
        <f t="shared" ref="I803" si="308">SUM(I795:I802)</f>
        <v>0</v>
      </c>
      <c r="J803" s="103" t="str">
        <f>IFERROR(E803/SUM($E803:$H803)*100,"")</f>
        <v/>
      </c>
      <c r="K803" s="104" t="str">
        <f>IFERROR(F803/SUM($E803:$H803)*100,"")</f>
        <v/>
      </c>
      <c r="L803" s="105" t="str">
        <f>IFERROR(G803/SUM($E803:$H803)*100,"")</f>
        <v/>
      </c>
      <c r="M803" s="106" t="str">
        <f t="shared" si="298"/>
        <v/>
      </c>
      <c r="N803" s="5" t="s">
        <v>1671</v>
      </c>
    </row>
    <row r="804" spans="1:14" ht="5.0999999999999996" customHeight="1" x14ac:dyDescent="0.25">
      <c r="A804" s="14" t="s">
        <v>9</v>
      </c>
      <c r="B804" s="16" t="s">
        <v>26</v>
      </c>
      <c r="C804"/>
      <c r="J804" s="103"/>
      <c r="K804" s="104"/>
      <c r="L804" s="105"/>
      <c r="M804" s="106" t="str">
        <f t="shared" si="298"/>
        <v/>
      </c>
    </row>
    <row r="805" spans="1:14" s="5" customFormat="1" ht="20.100000000000001" customHeight="1" x14ac:dyDescent="0.25">
      <c r="A805" s="14" t="s">
        <v>9</v>
      </c>
      <c r="B805" s="16" t="s">
        <v>64</v>
      </c>
      <c r="C805" s="25" t="s">
        <v>60</v>
      </c>
      <c r="D805" s="6" t="s">
        <v>65</v>
      </c>
      <c r="E805" s="37"/>
      <c r="F805" s="37"/>
      <c r="G805" s="37"/>
      <c r="H805" s="37"/>
      <c r="I805" s="48"/>
      <c r="J805" s="103"/>
      <c r="K805" s="104"/>
      <c r="L805" s="105"/>
      <c r="M805" s="106" t="str">
        <f t="shared" si="298"/>
        <v/>
      </c>
      <c r="N805" s="5" t="s">
        <v>1673</v>
      </c>
    </row>
    <row r="806" spans="1:14" s="5" customFormat="1" ht="30" customHeight="1" x14ac:dyDescent="0.25">
      <c r="A806" s="14" t="s">
        <v>9</v>
      </c>
      <c r="B806" s="16" t="s">
        <v>64</v>
      </c>
      <c r="C806" s="25" t="s">
        <v>61</v>
      </c>
      <c r="D806" s="12" t="s">
        <v>66</v>
      </c>
      <c r="E806" s="38">
        <v>0</v>
      </c>
      <c r="F806" s="39">
        <v>0</v>
      </c>
      <c r="G806" s="40">
        <v>0</v>
      </c>
      <c r="H806" s="41">
        <v>0</v>
      </c>
      <c r="I806" s="42">
        <f>SUM(E806:H806)</f>
        <v>0</v>
      </c>
      <c r="J806" s="103" t="str">
        <f>IFERROR(E806/$I806*100,"")</f>
        <v/>
      </c>
      <c r="K806" s="104" t="str">
        <f>IFERROR(F806/$I806*100,"")</f>
        <v/>
      </c>
      <c r="L806" s="105" t="str">
        <f>IFERROR(G806/$I806*100,"")</f>
        <v/>
      </c>
      <c r="M806" s="106" t="str">
        <f t="shared" si="298"/>
        <v/>
      </c>
      <c r="N806" s="5" t="s">
        <v>1671</v>
      </c>
    </row>
    <row r="807" spans="1:14" ht="5.0999999999999996" customHeight="1" x14ac:dyDescent="0.25">
      <c r="A807" s="14" t="s">
        <v>9</v>
      </c>
      <c r="B807" s="16" t="s">
        <v>64</v>
      </c>
      <c r="C807"/>
      <c r="D807" s="57"/>
      <c r="E807" s="59"/>
      <c r="F807" s="59"/>
      <c r="G807" s="59"/>
      <c r="H807" s="59"/>
      <c r="I807" s="59"/>
      <c r="J807" s="103"/>
      <c r="K807" s="104"/>
      <c r="L807" s="105"/>
      <c r="M807" s="106" t="str">
        <f t="shared" si="298"/>
        <v/>
      </c>
    </row>
    <row r="808" spans="1:14" s="5" customFormat="1" ht="20.100000000000001" customHeight="1" x14ac:dyDescent="0.25">
      <c r="A808" s="14" t="s">
        <v>9</v>
      </c>
      <c r="B808" s="16" t="s">
        <v>55</v>
      </c>
      <c r="C808" s="25" t="s">
        <v>60</v>
      </c>
      <c r="D808" s="6" t="s">
        <v>55</v>
      </c>
      <c r="E808" s="37"/>
      <c r="F808" s="37"/>
      <c r="G808" s="37"/>
      <c r="H808" s="37"/>
      <c r="I808" s="48"/>
      <c r="J808" s="103"/>
      <c r="K808" s="104"/>
      <c r="L808" s="105"/>
      <c r="M808" s="106" t="str">
        <f t="shared" si="298"/>
        <v/>
      </c>
      <c r="N808" s="5" t="s">
        <v>1673</v>
      </c>
    </row>
    <row r="809" spans="1:14" s="3" customFormat="1" ht="30" customHeight="1" x14ac:dyDescent="0.25">
      <c r="A809" s="14" t="s">
        <v>9</v>
      </c>
      <c r="B809" s="16" t="s">
        <v>55</v>
      </c>
      <c r="C809" s="25" t="s">
        <v>61</v>
      </c>
      <c r="D809" s="12" t="s">
        <v>56</v>
      </c>
      <c r="E809" s="38">
        <v>0</v>
      </c>
      <c r="F809" s="39">
        <v>0</v>
      </c>
      <c r="G809" s="40">
        <v>0</v>
      </c>
      <c r="H809" s="41">
        <v>0</v>
      </c>
      <c r="I809" s="42">
        <f>SUM(E809:H809)</f>
        <v>0</v>
      </c>
      <c r="J809" s="103" t="str">
        <f t="shared" ref="J809:L811" si="309">IFERROR(E809/$I809*100,"")</f>
        <v/>
      </c>
      <c r="K809" s="104" t="str">
        <f t="shared" si="309"/>
        <v/>
      </c>
      <c r="L809" s="105" t="str">
        <f t="shared" si="309"/>
        <v/>
      </c>
      <c r="M809" s="106" t="str">
        <f t="shared" si="298"/>
        <v/>
      </c>
      <c r="N809" s="5"/>
    </row>
    <row r="810" spans="1:14" s="3" customFormat="1" ht="30" customHeight="1" x14ac:dyDescent="0.25">
      <c r="A810" s="14" t="s">
        <v>9</v>
      </c>
      <c r="B810" s="16" t="s">
        <v>55</v>
      </c>
      <c r="C810" s="25" t="s">
        <v>61</v>
      </c>
      <c r="D810" s="12" t="s">
        <v>57</v>
      </c>
      <c r="E810" s="38">
        <v>0</v>
      </c>
      <c r="F810" s="39">
        <v>0</v>
      </c>
      <c r="G810" s="40">
        <v>0</v>
      </c>
      <c r="H810" s="41">
        <v>0</v>
      </c>
      <c r="I810" s="42">
        <f>SUM(E810:H810)</f>
        <v>0</v>
      </c>
      <c r="J810" s="103" t="str">
        <f t="shared" si="309"/>
        <v/>
      </c>
      <c r="K810" s="104" t="str">
        <f t="shared" si="309"/>
        <v/>
      </c>
      <c r="L810" s="105" t="str">
        <f t="shared" si="309"/>
        <v/>
      </c>
      <c r="M810" s="106" t="str">
        <f t="shared" si="298"/>
        <v/>
      </c>
    </row>
    <row r="811" spans="1:14" s="3" customFormat="1" ht="30" customHeight="1" x14ac:dyDescent="0.25">
      <c r="A811" s="14" t="s">
        <v>9</v>
      </c>
      <c r="B811" s="16" t="s">
        <v>55</v>
      </c>
      <c r="C811" s="25"/>
      <c r="D811" s="91" t="s">
        <v>29</v>
      </c>
      <c r="E811" s="38">
        <f>SUM(E809:E810)</f>
        <v>0</v>
      </c>
      <c r="F811" s="39">
        <f t="shared" ref="F811" si="310">SUM(F809:F810)</f>
        <v>0</v>
      </c>
      <c r="G811" s="40">
        <f t="shared" ref="G811" si="311">SUM(G809:G810)</f>
        <v>0</v>
      </c>
      <c r="H811" s="41">
        <f t="shared" ref="H811" si="312">SUM(H809:H810)</f>
        <v>0</v>
      </c>
      <c r="I811" s="42">
        <f t="shared" ref="I811" si="313">SUM(I809:I810)</f>
        <v>0</v>
      </c>
      <c r="J811" s="103" t="str">
        <f t="shared" si="309"/>
        <v/>
      </c>
      <c r="K811" s="104" t="str">
        <f t="shared" si="309"/>
        <v/>
      </c>
      <c r="L811" s="105" t="str">
        <f t="shared" si="309"/>
        <v/>
      </c>
      <c r="M811" s="106" t="str">
        <f t="shared" si="298"/>
        <v/>
      </c>
      <c r="N811" s="5" t="s">
        <v>1671</v>
      </c>
    </row>
    <row r="812" spans="1:14" ht="5.0999999999999996" customHeight="1" x14ac:dyDescent="0.25">
      <c r="A812" s="14" t="s">
        <v>9</v>
      </c>
      <c r="B812" s="16" t="s">
        <v>55</v>
      </c>
      <c r="C812"/>
      <c r="D812" s="57"/>
      <c r="E812" s="59"/>
      <c r="F812" s="59"/>
      <c r="G812" s="59"/>
      <c r="H812" s="59"/>
      <c r="I812" s="59"/>
      <c r="J812" s="103"/>
      <c r="K812" s="104"/>
      <c r="L812" s="105"/>
      <c r="M812" s="106" t="str">
        <f t="shared" si="298"/>
        <v/>
      </c>
    </row>
    <row r="813" spans="1:14" s="5" customFormat="1" ht="20.100000000000001" customHeight="1" x14ac:dyDescent="0.25">
      <c r="A813" s="14" t="s">
        <v>9</v>
      </c>
      <c r="B813" s="16" t="s">
        <v>74</v>
      </c>
      <c r="C813" s="25" t="s">
        <v>60</v>
      </c>
      <c r="D813" s="6" t="s">
        <v>75</v>
      </c>
      <c r="E813" s="37"/>
      <c r="F813" s="37"/>
      <c r="G813" s="37"/>
      <c r="H813" s="37"/>
      <c r="I813" s="48"/>
      <c r="J813" s="103"/>
      <c r="K813" s="104"/>
      <c r="L813" s="105"/>
      <c r="M813" s="106" t="str">
        <f t="shared" si="298"/>
        <v/>
      </c>
      <c r="N813" s="5" t="s">
        <v>1673</v>
      </c>
    </row>
    <row r="814" spans="1:14" s="3" customFormat="1" ht="30" customHeight="1" x14ac:dyDescent="0.25">
      <c r="A814" s="14" t="s">
        <v>9</v>
      </c>
      <c r="B814" s="16" t="s">
        <v>74</v>
      </c>
      <c r="C814" s="25" t="s">
        <v>61</v>
      </c>
      <c r="D814" s="12" t="s">
        <v>77</v>
      </c>
      <c r="E814" s="38">
        <v>0</v>
      </c>
      <c r="F814" s="39">
        <v>0</v>
      </c>
      <c r="G814" s="40">
        <v>0</v>
      </c>
      <c r="H814" s="41">
        <v>0</v>
      </c>
      <c r="I814" s="42">
        <f>SUM(E814:H814)</f>
        <v>0</v>
      </c>
      <c r="J814" s="103" t="str">
        <f>IFERROR(E814/$I814*100,"")</f>
        <v/>
      </c>
      <c r="K814" s="104" t="str">
        <f>IFERROR(F814/$I814*100,"")</f>
        <v/>
      </c>
      <c r="L814" s="105" t="str">
        <f>IFERROR(G814/$I814*100,"")</f>
        <v/>
      </c>
      <c r="M814" s="106" t="str">
        <f t="shared" si="298"/>
        <v/>
      </c>
      <c r="N814" s="3" t="s">
        <v>1671</v>
      </c>
    </row>
    <row r="815" spans="1:14" ht="5.0999999999999996" customHeight="1" x14ac:dyDescent="0.25">
      <c r="A815" s="14" t="s">
        <v>9</v>
      </c>
      <c r="B815" s="16" t="s">
        <v>74</v>
      </c>
      <c r="C815"/>
      <c r="D815" s="57"/>
      <c r="E815" s="59"/>
      <c r="F815" s="59"/>
      <c r="G815" s="59"/>
      <c r="H815" s="59"/>
      <c r="I815" s="59"/>
      <c r="J815" s="103"/>
      <c r="K815" s="104"/>
      <c r="L815" s="105"/>
      <c r="M815" s="106" t="str">
        <f t="shared" si="298"/>
        <v/>
      </c>
    </row>
    <row r="816" spans="1:14" s="5" customFormat="1" ht="20.100000000000001" customHeight="1" x14ac:dyDescent="0.25">
      <c r="A816" s="14" t="s">
        <v>9</v>
      </c>
      <c r="B816" s="16" t="s">
        <v>78</v>
      </c>
      <c r="C816" s="25" t="s">
        <v>60</v>
      </c>
      <c r="D816" s="6" t="s">
        <v>80</v>
      </c>
      <c r="E816" s="37"/>
      <c r="F816" s="37"/>
      <c r="G816" s="37"/>
      <c r="H816" s="37"/>
      <c r="I816" s="48"/>
      <c r="J816" s="103"/>
      <c r="K816" s="104"/>
      <c r="L816" s="105"/>
      <c r="M816" s="106" t="str">
        <f t="shared" si="298"/>
        <v/>
      </c>
      <c r="N816" s="5" t="s">
        <v>1673</v>
      </c>
    </row>
    <row r="817" spans="1:14" s="5" customFormat="1" ht="30" customHeight="1" x14ac:dyDescent="0.25">
      <c r="A817" s="14" t="s">
        <v>9</v>
      </c>
      <c r="B817" s="16" t="s">
        <v>78</v>
      </c>
      <c r="C817" s="25" t="s">
        <v>61</v>
      </c>
      <c r="D817" s="81" t="s">
        <v>81</v>
      </c>
      <c r="E817" s="38">
        <v>0</v>
      </c>
      <c r="F817" s="39">
        <v>0</v>
      </c>
      <c r="G817" s="40">
        <v>0</v>
      </c>
      <c r="H817" s="41">
        <v>0</v>
      </c>
      <c r="I817" s="42">
        <f t="shared" ref="I817:I823" si="314">SUM(E817:H817)</f>
        <v>0</v>
      </c>
      <c r="J817" s="103" t="str">
        <f t="shared" ref="J817:L823" si="315">IFERROR(E817/$I817*100,"")</f>
        <v/>
      </c>
      <c r="K817" s="104" t="str">
        <f t="shared" si="315"/>
        <v/>
      </c>
      <c r="L817" s="105" t="str">
        <f t="shared" si="315"/>
        <v/>
      </c>
      <c r="M817" s="106" t="str">
        <f t="shared" si="298"/>
        <v/>
      </c>
    </row>
    <row r="818" spans="1:14" s="5" customFormat="1" ht="30" customHeight="1" x14ac:dyDescent="0.25">
      <c r="A818" s="14" t="s">
        <v>9</v>
      </c>
      <c r="B818" s="16" t="s">
        <v>78</v>
      </c>
      <c r="C818" s="25" t="s">
        <v>61</v>
      </c>
      <c r="D818" s="81" t="s">
        <v>82</v>
      </c>
      <c r="E818" s="38">
        <v>0</v>
      </c>
      <c r="F818" s="39">
        <v>0</v>
      </c>
      <c r="G818" s="40">
        <v>0</v>
      </c>
      <c r="H818" s="41">
        <v>0</v>
      </c>
      <c r="I818" s="42">
        <f t="shared" si="314"/>
        <v>0</v>
      </c>
      <c r="J818" s="103" t="str">
        <f t="shared" si="315"/>
        <v/>
      </c>
      <c r="K818" s="104" t="str">
        <f t="shared" si="315"/>
        <v/>
      </c>
      <c r="L818" s="105" t="str">
        <f t="shared" si="315"/>
        <v/>
      </c>
      <c r="M818" s="106" t="str">
        <f t="shared" si="298"/>
        <v/>
      </c>
    </row>
    <row r="819" spans="1:14" s="5" customFormat="1" ht="30" customHeight="1" x14ac:dyDescent="0.25">
      <c r="A819" s="14" t="s">
        <v>9</v>
      </c>
      <c r="B819" s="16" t="s">
        <v>78</v>
      </c>
      <c r="C819" s="25" t="s">
        <v>61</v>
      </c>
      <c r="D819" s="81" t="s">
        <v>83</v>
      </c>
      <c r="E819" s="38">
        <v>0</v>
      </c>
      <c r="F819" s="39">
        <v>0</v>
      </c>
      <c r="G819" s="40">
        <v>0</v>
      </c>
      <c r="H819" s="41">
        <v>0</v>
      </c>
      <c r="I819" s="42">
        <f t="shared" si="314"/>
        <v>0</v>
      </c>
      <c r="J819" s="103" t="str">
        <f t="shared" si="315"/>
        <v/>
      </c>
      <c r="K819" s="104" t="str">
        <f t="shared" si="315"/>
        <v/>
      </c>
      <c r="L819" s="105" t="str">
        <f t="shared" si="315"/>
        <v/>
      </c>
      <c r="M819" s="106" t="str">
        <f t="shared" si="298"/>
        <v/>
      </c>
    </row>
    <row r="820" spans="1:14" s="5" customFormat="1" ht="30" customHeight="1" x14ac:dyDescent="0.25">
      <c r="A820" s="14" t="s">
        <v>9</v>
      </c>
      <c r="B820" s="16" t="s">
        <v>78</v>
      </c>
      <c r="C820" s="25" t="s">
        <v>61</v>
      </c>
      <c r="D820" s="81" t="s">
        <v>88</v>
      </c>
      <c r="E820" s="38">
        <v>0</v>
      </c>
      <c r="F820" s="39">
        <v>0</v>
      </c>
      <c r="G820" s="40">
        <v>0</v>
      </c>
      <c r="H820" s="41">
        <v>0</v>
      </c>
      <c r="I820" s="42">
        <f t="shared" si="314"/>
        <v>0</v>
      </c>
      <c r="J820" s="103" t="str">
        <f t="shared" si="315"/>
        <v/>
      </c>
      <c r="K820" s="104" t="str">
        <f t="shared" si="315"/>
        <v/>
      </c>
      <c r="L820" s="105" t="str">
        <f t="shared" si="315"/>
        <v/>
      </c>
      <c r="M820" s="106" t="str">
        <f t="shared" si="298"/>
        <v/>
      </c>
    </row>
    <row r="821" spans="1:14" s="5" customFormat="1" ht="30" customHeight="1" x14ac:dyDescent="0.25">
      <c r="A821" s="14" t="s">
        <v>9</v>
      </c>
      <c r="B821" s="16" t="s">
        <v>78</v>
      </c>
      <c r="C821" s="25" t="s">
        <v>61</v>
      </c>
      <c r="D821" s="81" t="s">
        <v>87</v>
      </c>
      <c r="E821" s="38">
        <v>0</v>
      </c>
      <c r="F821" s="39">
        <v>0</v>
      </c>
      <c r="G821" s="40">
        <v>0</v>
      </c>
      <c r="H821" s="41">
        <v>0</v>
      </c>
      <c r="I821" s="42">
        <f t="shared" si="314"/>
        <v>0</v>
      </c>
      <c r="J821" s="103" t="str">
        <f t="shared" si="315"/>
        <v/>
      </c>
      <c r="K821" s="104" t="str">
        <f t="shared" si="315"/>
        <v/>
      </c>
      <c r="L821" s="105" t="str">
        <f t="shared" si="315"/>
        <v/>
      </c>
      <c r="M821" s="106" t="str">
        <f t="shared" si="298"/>
        <v/>
      </c>
    </row>
    <row r="822" spans="1:14" s="5" customFormat="1" ht="30" customHeight="1" x14ac:dyDescent="0.25">
      <c r="A822" s="14" t="s">
        <v>9</v>
      </c>
      <c r="B822" s="16" t="s">
        <v>78</v>
      </c>
      <c r="C822" s="25" t="s">
        <v>61</v>
      </c>
      <c r="D822" s="81" t="s">
        <v>84</v>
      </c>
      <c r="E822" s="38">
        <v>0</v>
      </c>
      <c r="F822" s="39">
        <v>0</v>
      </c>
      <c r="G822" s="40">
        <v>0</v>
      </c>
      <c r="H822" s="41">
        <v>0</v>
      </c>
      <c r="I822" s="42">
        <f t="shared" si="314"/>
        <v>0</v>
      </c>
      <c r="J822" s="103" t="str">
        <f t="shared" si="315"/>
        <v/>
      </c>
      <c r="K822" s="104" t="str">
        <f t="shared" si="315"/>
        <v/>
      </c>
      <c r="L822" s="105" t="str">
        <f t="shared" si="315"/>
        <v/>
      </c>
      <c r="M822" s="106" t="str">
        <f t="shared" si="298"/>
        <v/>
      </c>
    </row>
    <row r="823" spans="1:14" s="5" customFormat="1" ht="30" customHeight="1" x14ac:dyDescent="0.25">
      <c r="A823" s="14" t="s">
        <v>9</v>
      </c>
      <c r="B823" s="16" t="s">
        <v>78</v>
      </c>
      <c r="C823" s="25" t="s">
        <v>86</v>
      </c>
      <c r="D823" s="81" t="s">
        <v>79</v>
      </c>
      <c r="E823" s="38">
        <v>0</v>
      </c>
      <c r="F823" s="39">
        <v>0</v>
      </c>
      <c r="G823" s="40">
        <v>0</v>
      </c>
      <c r="H823" s="41">
        <v>0</v>
      </c>
      <c r="I823" s="42">
        <f t="shared" si="314"/>
        <v>0</v>
      </c>
      <c r="J823" s="103" t="str">
        <f t="shared" si="315"/>
        <v/>
      </c>
      <c r="K823" s="104" t="str">
        <f t="shared" si="315"/>
        <v/>
      </c>
      <c r="L823" s="105" t="str">
        <f t="shared" si="315"/>
        <v/>
      </c>
      <c r="M823" s="106" t="str">
        <f t="shared" si="298"/>
        <v/>
      </c>
      <c r="N823" s="5" t="s">
        <v>1671</v>
      </c>
    </row>
    <row r="824" spans="1:14" ht="5.0999999999999996" customHeight="1" x14ac:dyDescent="0.25">
      <c r="A824" s="14" t="s">
        <v>9</v>
      </c>
      <c r="B824" s="16" t="s">
        <v>78</v>
      </c>
      <c r="C824"/>
      <c r="D824" s="57"/>
      <c r="E824" s="59"/>
      <c r="F824" s="59"/>
      <c r="G824" s="59"/>
      <c r="H824" s="59"/>
      <c r="I824" s="59"/>
      <c r="J824" s="103"/>
      <c r="K824" s="104"/>
      <c r="L824" s="105"/>
      <c r="M824" s="106" t="str">
        <f t="shared" si="298"/>
        <v/>
      </c>
    </row>
    <row r="825" spans="1:14" s="5" customFormat="1" ht="20.100000000000001" customHeight="1" x14ac:dyDescent="0.25">
      <c r="A825" s="14" t="s">
        <v>9</v>
      </c>
      <c r="B825" s="16" t="s">
        <v>91</v>
      </c>
      <c r="C825" s="25" t="s">
        <v>60</v>
      </c>
      <c r="D825" s="6" t="s">
        <v>89</v>
      </c>
      <c r="E825" s="37"/>
      <c r="F825" s="37"/>
      <c r="G825" s="37"/>
      <c r="H825" s="37"/>
      <c r="I825" s="48"/>
      <c r="J825" s="103"/>
      <c r="K825" s="104"/>
      <c r="L825" s="105"/>
      <c r="M825" s="106" t="str">
        <f t="shared" si="298"/>
        <v/>
      </c>
      <c r="N825" s="5" t="s">
        <v>1673</v>
      </c>
    </row>
    <row r="826" spans="1:14" s="5" customFormat="1" ht="30" customHeight="1" x14ac:dyDescent="0.25">
      <c r="A826" s="14" t="s">
        <v>9</v>
      </c>
      <c r="B826" s="16" t="s">
        <v>91</v>
      </c>
      <c r="C826" s="25" t="s">
        <v>61</v>
      </c>
      <c r="D826" s="82" t="s">
        <v>90</v>
      </c>
      <c r="E826" s="38">
        <v>0</v>
      </c>
      <c r="F826" s="39">
        <v>0</v>
      </c>
      <c r="G826" s="40">
        <v>0</v>
      </c>
      <c r="H826" s="41">
        <v>0</v>
      </c>
      <c r="I826" s="42">
        <f t="shared" ref="I826" si="316">SUM(E826:H826)</f>
        <v>0</v>
      </c>
      <c r="J826" s="103" t="str">
        <f>IFERROR(E826/$I826*100,"")</f>
        <v/>
      </c>
      <c r="K826" s="104" t="str">
        <f>IFERROR(F826/$I826*100,"")</f>
        <v/>
      </c>
      <c r="L826" s="105" t="str">
        <f>IFERROR(G826/$I826*100,"")</f>
        <v/>
      </c>
      <c r="M826" s="106" t="str">
        <f t="shared" si="298"/>
        <v/>
      </c>
      <c r="N826" s="5" t="s">
        <v>1671</v>
      </c>
    </row>
    <row r="827" spans="1:14" ht="5.0999999999999996" customHeight="1" x14ac:dyDescent="0.25">
      <c r="A827" s="14" t="s">
        <v>9</v>
      </c>
      <c r="B827" s="16" t="s">
        <v>91</v>
      </c>
      <c r="C827"/>
      <c r="D827" s="57"/>
      <c r="E827" s="59"/>
      <c r="F827" s="59"/>
      <c r="G827" s="59"/>
      <c r="H827" s="59"/>
      <c r="I827" s="59"/>
      <c r="J827" s="103"/>
      <c r="K827" s="104"/>
      <c r="L827" s="105"/>
      <c r="M827" s="106" t="str">
        <f t="shared" si="298"/>
        <v/>
      </c>
    </row>
    <row r="828" spans="1:14" s="5" customFormat="1" ht="20.100000000000001" customHeight="1" x14ac:dyDescent="0.25">
      <c r="A828" s="14" t="s">
        <v>9</v>
      </c>
      <c r="B828" s="16" t="s">
        <v>1916</v>
      </c>
      <c r="C828" s="25" t="s">
        <v>60</v>
      </c>
      <c r="D828" s="6" t="s">
        <v>1853</v>
      </c>
      <c r="E828" s="37"/>
      <c r="F828" s="37"/>
      <c r="G828" s="37"/>
      <c r="H828" s="37"/>
      <c r="I828" s="48"/>
      <c r="J828" s="103"/>
      <c r="K828" s="104"/>
      <c r="L828" s="105"/>
      <c r="M828" s="106" t="str">
        <f t="shared" si="298"/>
        <v/>
      </c>
      <c r="N828" s="5" t="s">
        <v>1673</v>
      </c>
    </row>
    <row r="829" spans="1:14" s="5" customFormat="1" ht="30" customHeight="1" x14ac:dyDescent="0.25">
      <c r="A829" s="14" t="s">
        <v>9</v>
      </c>
      <c r="B829" s="16" t="s">
        <v>1916</v>
      </c>
      <c r="C829" s="25" t="s">
        <v>61</v>
      </c>
      <c r="D829" s="175" t="s">
        <v>1917</v>
      </c>
      <c r="E829" s="38">
        <v>0</v>
      </c>
      <c r="F829" s="39">
        <v>0</v>
      </c>
      <c r="G829" s="40">
        <v>0</v>
      </c>
      <c r="H829" s="41">
        <v>0</v>
      </c>
      <c r="I829" s="42">
        <f t="shared" ref="I829" si="317">SUM(E829:H829)</f>
        <v>0</v>
      </c>
      <c r="J829" s="103" t="str">
        <f>IFERROR(E829/$I829*100,"")</f>
        <v/>
      </c>
      <c r="K829" s="104" t="str">
        <f>IFERROR(F829/$I829*100,"")</f>
        <v/>
      </c>
      <c r="L829" s="105" t="str">
        <f>IFERROR(G829/$I829*100,"")</f>
        <v/>
      </c>
      <c r="M829" s="106" t="str">
        <f t="shared" si="298"/>
        <v/>
      </c>
      <c r="N829" s="5" t="s">
        <v>1671</v>
      </c>
    </row>
    <row r="830" spans="1:14" ht="5.0999999999999996" customHeight="1" x14ac:dyDescent="0.25">
      <c r="A830" s="14" t="s">
        <v>9</v>
      </c>
      <c r="B830" s="16" t="s">
        <v>1916</v>
      </c>
      <c r="C830"/>
      <c r="D830" s="57"/>
      <c r="E830" s="59"/>
      <c r="F830" s="59"/>
      <c r="G830" s="59"/>
      <c r="H830" s="59"/>
      <c r="I830" s="59"/>
      <c r="J830" s="103"/>
      <c r="K830" s="104"/>
      <c r="L830" s="105"/>
      <c r="M830" s="106" t="str">
        <f t="shared" si="298"/>
        <v/>
      </c>
    </row>
    <row r="831" spans="1:14" s="5" customFormat="1" ht="20.100000000000001" customHeight="1" x14ac:dyDescent="0.25">
      <c r="A831" s="14" t="s">
        <v>9</v>
      </c>
      <c r="B831" s="16" t="s">
        <v>1637</v>
      </c>
      <c r="C831" s="25" t="s">
        <v>60</v>
      </c>
      <c r="D831" s="6" t="s">
        <v>1636</v>
      </c>
      <c r="E831" s="37"/>
      <c r="F831" s="37"/>
      <c r="G831" s="37"/>
      <c r="H831" s="37"/>
      <c r="I831" s="48"/>
      <c r="J831" s="103"/>
      <c r="K831" s="104"/>
      <c r="L831" s="105"/>
      <c r="M831" s="106" t="str">
        <f t="shared" si="298"/>
        <v/>
      </c>
      <c r="N831" s="5" t="s">
        <v>1673</v>
      </c>
    </row>
    <row r="832" spans="1:14" s="3" customFormat="1" ht="30" customHeight="1" x14ac:dyDescent="0.25">
      <c r="A832" s="14" t="s">
        <v>9</v>
      </c>
      <c r="B832" s="16" t="s">
        <v>1637</v>
      </c>
      <c r="C832" s="25" t="s">
        <v>61</v>
      </c>
      <c r="D832" s="87" t="s">
        <v>1638</v>
      </c>
      <c r="E832" s="38">
        <v>0</v>
      </c>
      <c r="F832" s="39">
        <v>0</v>
      </c>
      <c r="G832" s="40">
        <v>0</v>
      </c>
      <c r="H832" s="41">
        <v>0</v>
      </c>
      <c r="I832" s="42">
        <f t="shared" ref="I832:I837" si="318">SUM(E832:H832)</f>
        <v>0</v>
      </c>
      <c r="J832" s="103" t="str">
        <f t="shared" ref="J832:L836" si="319">IFERROR(E832/$I832*100,"")</f>
        <v/>
      </c>
      <c r="K832" s="104" t="str">
        <f t="shared" si="319"/>
        <v/>
      </c>
      <c r="L832" s="105" t="str">
        <f t="shared" si="319"/>
        <v/>
      </c>
      <c r="M832" s="106" t="str">
        <f t="shared" si="298"/>
        <v/>
      </c>
    </row>
    <row r="833" spans="1:14" s="3" customFormat="1" ht="30" customHeight="1" x14ac:dyDescent="0.25">
      <c r="A833" s="14" t="s">
        <v>9</v>
      </c>
      <c r="B833" s="16" t="s">
        <v>1637</v>
      </c>
      <c r="C833" s="25" t="s">
        <v>61</v>
      </c>
      <c r="D833" s="87" t="s">
        <v>1669</v>
      </c>
      <c r="E833" s="38">
        <v>0</v>
      </c>
      <c r="F833" s="39">
        <v>0</v>
      </c>
      <c r="G833" s="40">
        <v>0</v>
      </c>
      <c r="H833" s="41">
        <v>0</v>
      </c>
      <c r="I833" s="42">
        <f t="shared" si="318"/>
        <v>0</v>
      </c>
      <c r="J833" s="103" t="str">
        <f t="shared" si="319"/>
        <v/>
      </c>
      <c r="K833" s="104" t="str">
        <f t="shared" si="319"/>
        <v/>
      </c>
      <c r="L833" s="105" t="str">
        <f t="shared" si="319"/>
        <v/>
      </c>
      <c r="M833" s="106" t="str">
        <f t="shared" si="298"/>
        <v/>
      </c>
    </row>
    <row r="834" spans="1:14" s="3" customFormat="1" ht="30" customHeight="1" x14ac:dyDescent="0.25">
      <c r="A834" s="14" t="s">
        <v>9</v>
      </c>
      <c r="B834" s="16" t="s">
        <v>1637</v>
      </c>
      <c r="C834" s="25" t="s">
        <v>61</v>
      </c>
      <c r="D834" s="87" t="s">
        <v>1640</v>
      </c>
      <c r="E834" s="38">
        <v>0</v>
      </c>
      <c r="F834" s="39">
        <v>0</v>
      </c>
      <c r="G834" s="40">
        <v>0</v>
      </c>
      <c r="H834" s="41">
        <v>0</v>
      </c>
      <c r="I834" s="42">
        <f t="shared" si="318"/>
        <v>0</v>
      </c>
      <c r="J834" s="103" t="str">
        <f t="shared" si="319"/>
        <v/>
      </c>
      <c r="K834" s="104" t="str">
        <f t="shared" si="319"/>
        <v/>
      </c>
      <c r="L834" s="105" t="str">
        <f t="shared" si="319"/>
        <v/>
      </c>
      <c r="M834" s="106" t="str">
        <f t="shared" si="298"/>
        <v/>
      </c>
    </row>
    <row r="835" spans="1:14" s="3" customFormat="1" ht="30" customHeight="1" x14ac:dyDescent="0.25">
      <c r="A835" s="14" t="s">
        <v>9</v>
      </c>
      <c r="B835" s="16" t="s">
        <v>1637</v>
      </c>
      <c r="C835" s="25" t="s">
        <v>61</v>
      </c>
      <c r="D835" s="87" t="s">
        <v>1639</v>
      </c>
      <c r="E835" s="38">
        <v>0</v>
      </c>
      <c r="F835" s="39">
        <v>0</v>
      </c>
      <c r="G835" s="40">
        <v>0</v>
      </c>
      <c r="H835" s="41">
        <v>0</v>
      </c>
      <c r="I835" s="42">
        <f t="shared" si="318"/>
        <v>0</v>
      </c>
      <c r="J835" s="103" t="str">
        <f t="shared" si="319"/>
        <v/>
      </c>
      <c r="K835" s="104" t="str">
        <f t="shared" si="319"/>
        <v/>
      </c>
      <c r="L835" s="105" t="str">
        <f t="shared" si="319"/>
        <v/>
      </c>
      <c r="M835" s="106" t="str">
        <f t="shared" si="298"/>
        <v/>
      </c>
    </row>
    <row r="836" spans="1:14" s="3" customFormat="1" ht="30" customHeight="1" x14ac:dyDescent="0.25">
      <c r="A836" s="14" t="s">
        <v>9</v>
      </c>
      <c r="B836" s="16" t="s">
        <v>1637</v>
      </c>
      <c r="C836" s="25" t="s">
        <v>61</v>
      </c>
      <c r="D836" s="87" t="s">
        <v>1641</v>
      </c>
      <c r="E836" s="38">
        <v>0</v>
      </c>
      <c r="F836" s="39">
        <v>0</v>
      </c>
      <c r="G836" s="40">
        <v>0</v>
      </c>
      <c r="H836" s="41">
        <v>0</v>
      </c>
      <c r="I836" s="42">
        <f t="shared" si="318"/>
        <v>0</v>
      </c>
      <c r="J836" s="103" t="str">
        <f t="shared" si="319"/>
        <v/>
      </c>
      <c r="K836" s="104" t="str">
        <f t="shared" si="319"/>
        <v/>
      </c>
      <c r="L836" s="105" t="str">
        <f t="shared" si="319"/>
        <v/>
      </c>
      <c r="M836" s="106" t="str">
        <f t="shared" si="298"/>
        <v/>
      </c>
    </row>
    <row r="837" spans="1:14" s="3" customFormat="1" ht="30" customHeight="1" x14ac:dyDescent="0.25">
      <c r="A837" s="14" t="s">
        <v>9</v>
      </c>
      <c r="B837" s="16" t="s">
        <v>1637</v>
      </c>
      <c r="C837" s="25"/>
      <c r="D837" s="87" t="s">
        <v>29</v>
      </c>
      <c r="E837" s="38">
        <f>SUM(E832:E836)</f>
        <v>0</v>
      </c>
      <c r="F837" s="39">
        <f>SUM(F832:F836)</f>
        <v>0</v>
      </c>
      <c r="G837" s="40">
        <f>SUM(G832:G836)</f>
        <v>0</v>
      </c>
      <c r="H837" s="41">
        <f>SUM(H832:H836)</f>
        <v>0</v>
      </c>
      <c r="I837" s="42">
        <f t="shared" si="318"/>
        <v>0</v>
      </c>
      <c r="J837" s="103" t="str">
        <f>IFERROR(E837/SUM($E837:$H837)*100,"")</f>
        <v/>
      </c>
      <c r="K837" s="104" t="str">
        <f>IFERROR(F837/SUM($E837:$H837)*100,"")</f>
        <v/>
      </c>
      <c r="L837" s="105" t="str">
        <f>IFERROR(G837/SUM($E837:$H837)*100,"")</f>
        <v/>
      </c>
      <c r="M837" s="106" t="str">
        <f t="shared" si="298"/>
        <v/>
      </c>
      <c r="N837" s="5" t="s">
        <v>1671</v>
      </c>
    </row>
    <row r="838" spans="1:14" ht="5.0999999999999996" customHeight="1" x14ac:dyDescent="0.25">
      <c r="A838" s="14" t="s">
        <v>9</v>
      </c>
      <c r="B838" s="16" t="s">
        <v>1637</v>
      </c>
      <c r="C838"/>
      <c r="J838" s="103"/>
      <c r="K838" s="104"/>
      <c r="L838" s="105"/>
      <c r="M838" s="106" t="str">
        <f t="shared" si="298"/>
        <v/>
      </c>
    </row>
    <row r="839" spans="1:14" s="5" customFormat="1" ht="20.100000000000001" customHeight="1" x14ac:dyDescent="0.25">
      <c r="A839" s="14" t="s">
        <v>9</v>
      </c>
      <c r="B839" s="16" t="s">
        <v>42</v>
      </c>
      <c r="C839" s="25" t="s">
        <v>60</v>
      </c>
      <c r="D839" s="6" t="s">
        <v>1744</v>
      </c>
      <c r="E839" s="37"/>
      <c r="F839" s="37"/>
      <c r="G839" s="37"/>
      <c r="H839" s="37"/>
      <c r="I839" s="48"/>
      <c r="J839" s="103"/>
      <c r="K839" s="104"/>
      <c r="L839" s="105"/>
      <c r="M839" s="106" t="str">
        <f t="shared" si="298"/>
        <v/>
      </c>
      <c r="N839" s="5" t="s">
        <v>1673</v>
      </c>
    </row>
    <row r="840" spans="1:14" s="3" customFormat="1" ht="30" customHeight="1" x14ac:dyDescent="0.25">
      <c r="A840" s="14" t="s">
        <v>9</v>
      </c>
      <c r="B840" s="16" t="s">
        <v>42</v>
      </c>
      <c r="C840" s="25" t="s">
        <v>61</v>
      </c>
      <c r="D840" s="12" t="s">
        <v>43</v>
      </c>
      <c r="E840" s="38">
        <v>0</v>
      </c>
      <c r="F840" s="39">
        <v>0</v>
      </c>
      <c r="G840" s="40">
        <v>0</v>
      </c>
      <c r="H840" s="41">
        <v>0</v>
      </c>
      <c r="I840" s="42">
        <f t="shared" ref="I840:I849" si="320">SUM(E840:H840)</f>
        <v>0</v>
      </c>
      <c r="J840" s="103" t="str">
        <f t="shared" ref="J840:J849" si="321">IFERROR(E840/$I840*100,"")</f>
        <v/>
      </c>
      <c r="K840" s="104" t="str">
        <f t="shared" ref="K840:K849" si="322">IFERROR(F840/$I840*100,"")</f>
        <v/>
      </c>
      <c r="L840" s="105" t="str">
        <f t="shared" ref="L840:L849" si="323">IFERROR(G840/$I840*100,"")</f>
        <v/>
      </c>
      <c r="M840" s="106" t="str">
        <f t="shared" si="298"/>
        <v/>
      </c>
    </row>
    <row r="841" spans="1:14" s="3" customFormat="1" ht="30" customHeight="1" x14ac:dyDescent="0.25">
      <c r="A841" s="14" t="s">
        <v>9</v>
      </c>
      <c r="B841" s="16" t="s">
        <v>42</v>
      </c>
      <c r="C841" s="25" t="s">
        <v>61</v>
      </c>
      <c r="D841" s="12" t="s">
        <v>44</v>
      </c>
      <c r="E841" s="38">
        <v>0</v>
      </c>
      <c r="F841" s="39">
        <v>0</v>
      </c>
      <c r="G841" s="40">
        <v>0</v>
      </c>
      <c r="H841" s="41">
        <v>0</v>
      </c>
      <c r="I841" s="42">
        <f t="shared" si="320"/>
        <v>0</v>
      </c>
      <c r="J841" s="103" t="str">
        <f t="shared" si="321"/>
        <v/>
      </c>
      <c r="K841" s="104" t="str">
        <f t="shared" si="322"/>
        <v/>
      </c>
      <c r="L841" s="105" t="str">
        <f t="shared" si="323"/>
        <v/>
      </c>
      <c r="M841" s="106" t="str">
        <f t="shared" si="298"/>
        <v/>
      </c>
    </row>
    <row r="842" spans="1:14" s="3" customFormat="1" ht="30" customHeight="1" x14ac:dyDescent="0.25">
      <c r="A842" s="14" t="s">
        <v>9</v>
      </c>
      <c r="B842" s="16" t="s">
        <v>42</v>
      </c>
      <c r="C842" s="25" t="s">
        <v>61</v>
      </c>
      <c r="D842" s="12" t="s">
        <v>45</v>
      </c>
      <c r="E842" s="38">
        <v>0</v>
      </c>
      <c r="F842" s="39">
        <v>0</v>
      </c>
      <c r="G842" s="40">
        <v>0</v>
      </c>
      <c r="H842" s="41">
        <v>0</v>
      </c>
      <c r="I842" s="42">
        <f t="shared" si="320"/>
        <v>0</v>
      </c>
      <c r="J842" s="103" t="str">
        <f t="shared" si="321"/>
        <v/>
      </c>
      <c r="K842" s="104" t="str">
        <f t="shared" si="322"/>
        <v/>
      </c>
      <c r="L842" s="105" t="str">
        <f t="shared" si="323"/>
        <v/>
      </c>
      <c r="M842" s="106" t="str">
        <f t="shared" si="298"/>
        <v/>
      </c>
    </row>
    <row r="843" spans="1:14" s="3" customFormat="1" ht="30" customHeight="1" x14ac:dyDescent="0.25">
      <c r="A843" s="14" t="s">
        <v>9</v>
      </c>
      <c r="B843" s="16" t="s">
        <v>42</v>
      </c>
      <c r="C843" s="25" t="s">
        <v>61</v>
      </c>
      <c r="D843" s="12" t="s">
        <v>46</v>
      </c>
      <c r="E843" s="38">
        <v>0</v>
      </c>
      <c r="F843" s="39">
        <v>0</v>
      </c>
      <c r="G843" s="40">
        <v>0</v>
      </c>
      <c r="H843" s="41">
        <v>0</v>
      </c>
      <c r="I843" s="42">
        <f t="shared" si="320"/>
        <v>0</v>
      </c>
      <c r="J843" s="103" t="str">
        <f t="shared" si="321"/>
        <v/>
      </c>
      <c r="K843" s="104" t="str">
        <f t="shared" si="322"/>
        <v/>
      </c>
      <c r="L843" s="105" t="str">
        <f t="shared" si="323"/>
        <v/>
      </c>
      <c r="M843" s="106" t="str">
        <f t="shared" si="298"/>
        <v/>
      </c>
    </row>
    <row r="844" spans="1:14" s="3" customFormat="1" ht="30" customHeight="1" x14ac:dyDescent="0.25">
      <c r="A844" s="14" t="s">
        <v>9</v>
      </c>
      <c r="B844" s="16" t="s">
        <v>42</v>
      </c>
      <c r="C844" s="25" t="s">
        <v>61</v>
      </c>
      <c r="D844" s="12" t="s">
        <v>51</v>
      </c>
      <c r="E844" s="38">
        <v>0</v>
      </c>
      <c r="F844" s="39">
        <v>0</v>
      </c>
      <c r="G844" s="40">
        <v>0</v>
      </c>
      <c r="H844" s="41">
        <v>0</v>
      </c>
      <c r="I844" s="42">
        <f t="shared" si="320"/>
        <v>0</v>
      </c>
      <c r="J844" s="103" t="str">
        <f t="shared" si="321"/>
        <v/>
      </c>
      <c r="K844" s="104" t="str">
        <f t="shared" si="322"/>
        <v/>
      </c>
      <c r="L844" s="105" t="str">
        <f t="shared" si="323"/>
        <v/>
      </c>
      <c r="M844" s="106" t="str">
        <f t="shared" si="298"/>
        <v/>
      </c>
    </row>
    <row r="845" spans="1:14" s="3" customFormat="1" ht="30" customHeight="1" x14ac:dyDescent="0.25">
      <c r="A845" s="14" t="s">
        <v>9</v>
      </c>
      <c r="B845" s="16" t="s">
        <v>42</v>
      </c>
      <c r="C845" s="25" t="s">
        <v>61</v>
      </c>
      <c r="D845" s="12" t="s">
        <v>52</v>
      </c>
      <c r="E845" s="38">
        <v>0</v>
      </c>
      <c r="F845" s="39">
        <v>0</v>
      </c>
      <c r="G845" s="40">
        <v>0</v>
      </c>
      <c r="H845" s="41">
        <v>0</v>
      </c>
      <c r="I845" s="42">
        <f t="shared" si="320"/>
        <v>0</v>
      </c>
      <c r="J845" s="103" t="str">
        <f t="shared" si="321"/>
        <v/>
      </c>
      <c r="K845" s="104" t="str">
        <f t="shared" si="322"/>
        <v/>
      </c>
      <c r="L845" s="105" t="str">
        <f t="shared" si="323"/>
        <v/>
      </c>
      <c r="M845" s="106" t="str">
        <f t="shared" ref="M845:M908" si="324">IFERROR(H845/$I845*100,"")</f>
        <v/>
      </c>
    </row>
    <row r="846" spans="1:14" s="3" customFormat="1" ht="30" customHeight="1" x14ac:dyDescent="0.25">
      <c r="A846" s="14" t="s">
        <v>9</v>
      </c>
      <c r="B846" s="16" t="s">
        <v>42</v>
      </c>
      <c r="C846" s="25" t="s">
        <v>61</v>
      </c>
      <c r="D846" s="12" t="s">
        <v>47</v>
      </c>
      <c r="E846" s="38">
        <v>0</v>
      </c>
      <c r="F846" s="39">
        <v>0</v>
      </c>
      <c r="G846" s="40">
        <v>0</v>
      </c>
      <c r="H846" s="41">
        <v>0</v>
      </c>
      <c r="I846" s="42">
        <f t="shared" si="320"/>
        <v>0</v>
      </c>
      <c r="J846" s="103" t="str">
        <f t="shared" si="321"/>
        <v/>
      </c>
      <c r="K846" s="104" t="str">
        <f t="shared" si="322"/>
        <v/>
      </c>
      <c r="L846" s="105" t="str">
        <f t="shared" si="323"/>
        <v/>
      </c>
      <c r="M846" s="106" t="str">
        <f t="shared" si="324"/>
        <v/>
      </c>
    </row>
    <row r="847" spans="1:14" s="3" customFormat="1" ht="30" customHeight="1" x14ac:dyDescent="0.25">
      <c r="A847" s="14" t="s">
        <v>9</v>
      </c>
      <c r="B847" s="16" t="s">
        <v>42</v>
      </c>
      <c r="C847" s="25" t="s">
        <v>61</v>
      </c>
      <c r="D847" s="12" t="s">
        <v>48</v>
      </c>
      <c r="E847" s="38">
        <v>0</v>
      </c>
      <c r="F847" s="39">
        <v>0</v>
      </c>
      <c r="G847" s="40">
        <v>0</v>
      </c>
      <c r="H847" s="41">
        <v>0</v>
      </c>
      <c r="I847" s="42">
        <f t="shared" si="320"/>
        <v>0</v>
      </c>
      <c r="J847" s="103" t="str">
        <f t="shared" si="321"/>
        <v/>
      </c>
      <c r="K847" s="104" t="str">
        <f t="shared" si="322"/>
        <v/>
      </c>
      <c r="L847" s="105" t="str">
        <f t="shared" si="323"/>
        <v/>
      </c>
      <c r="M847" s="106" t="str">
        <f t="shared" si="324"/>
        <v/>
      </c>
    </row>
    <row r="848" spans="1:14" s="3" customFormat="1" ht="30" customHeight="1" x14ac:dyDescent="0.25">
      <c r="A848" s="14" t="s">
        <v>9</v>
      </c>
      <c r="B848" s="16" t="s">
        <v>42</v>
      </c>
      <c r="C848" s="25" t="s">
        <v>61</v>
      </c>
      <c r="D848" s="12" t="s">
        <v>49</v>
      </c>
      <c r="E848" s="38">
        <v>0</v>
      </c>
      <c r="F848" s="39">
        <v>0</v>
      </c>
      <c r="G848" s="40">
        <v>0</v>
      </c>
      <c r="H848" s="41">
        <v>0</v>
      </c>
      <c r="I848" s="42">
        <f t="shared" si="320"/>
        <v>0</v>
      </c>
      <c r="J848" s="103" t="str">
        <f t="shared" si="321"/>
        <v/>
      </c>
      <c r="K848" s="104" t="str">
        <f t="shared" si="322"/>
        <v/>
      </c>
      <c r="L848" s="105" t="str">
        <f t="shared" si="323"/>
        <v/>
      </c>
      <c r="M848" s="106" t="str">
        <f t="shared" si="324"/>
        <v/>
      </c>
    </row>
    <row r="849" spans="1:14" s="3" customFormat="1" ht="30" customHeight="1" x14ac:dyDescent="0.25">
      <c r="A849" s="14" t="s">
        <v>9</v>
      </c>
      <c r="B849" s="16" t="s">
        <v>42</v>
      </c>
      <c r="C849" s="25" t="s">
        <v>61</v>
      </c>
      <c r="D849" s="12" t="s">
        <v>50</v>
      </c>
      <c r="E849" s="38">
        <v>0</v>
      </c>
      <c r="F849" s="39">
        <v>0</v>
      </c>
      <c r="G849" s="40">
        <v>0</v>
      </c>
      <c r="H849" s="41">
        <v>0</v>
      </c>
      <c r="I849" s="42">
        <f t="shared" si="320"/>
        <v>0</v>
      </c>
      <c r="J849" s="103" t="str">
        <f t="shared" si="321"/>
        <v/>
      </c>
      <c r="K849" s="104" t="str">
        <f t="shared" si="322"/>
        <v/>
      </c>
      <c r="L849" s="105" t="str">
        <f t="shared" si="323"/>
        <v/>
      </c>
      <c r="M849" s="106" t="str">
        <f t="shared" si="324"/>
        <v/>
      </c>
    </row>
    <row r="850" spans="1:14" s="8" customFormat="1" ht="30" customHeight="1" x14ac:dyDescent="0.25">
      <c r="A850" s="14" t="s">
        <v>9</v>
      </c>
      <c r="B850" s="16" t="s">
        <v>42</v>
      </c>
      <c r="C850" s="25"/>
      <c r="D850" s="9" t="s">
        <v>29</v>
      </c>
      <c r="E850" s="38">
        <f>SUM(E840:E849)</f>
        <v>0</v>
      </c>
      <c r="F850" s="39">
        <f t="shared" ref="F850" si="325">SUM(F840:F849)</f>
        <v>0</v>
      </c>
      <c r="G850" s="40">
        <f t="shared" ref="G850" si="326">SUM(G840:G849)</f>
        <v>0</v>
      </c>
      <c r="H850" s="41">
        <f t="shared" ref="H850" si="327">SUM(H840:H849)</f>
        <v>0</v>
      </c>
      <c r="I850" s="43">
        <f t="shared" ref="I850" si="328">SUM(I840:I849)</f>
        <v>0</v>
      </c>
      <c r="J850" s="103" t="str">
        <f>IFERROR(E850/SUM($E850:$H850)*100,"")</f>
        <v/>
      </c>
      <c r="K850" s="104" t="str">
        <f>IFERROR(F850/SUM($E850:$H850)*100,"")</f>
        <v/>
      </c>
      <c r="L850" s="105" t="str">
        <f>IFERROR(G850/SUM($E850:$H850)*100,"")</f>
        <v/>
      </c>
      <c r="M850" s="106" t="str">
        <f t="shared" si="324"/>
        <v/>
      </c>
      <c r="N850" s="5" t="s">
        <v>1671</v>
      </c>
    </row>
    <row r="851" spans="1:14" ht="5.0999999999999996" customHeight="1" x14ac:dyDescent="0.25">
      <c r="A851" s="14" t="s">
        <v>9</v>
      </c>
      <c r="B851" s="16" t="s">
        <v>42</v>
      </c>
      <c r="C851"/>
      <c r="D851" s="57"/>
      <c r="E851" s="59"/>
      <c r="F851" s="59"/>
      <c r="G851" s="59"/>
      <c r="H851" s="59"/>
      <c r="I851" s="59"/>
      <c r="J851" s="103"/>
      <c r="K851" s="104"/>
      <c r="L851" s="105"/>
      <c r="M851" s="106" t="str">
        <f t="shared" si="324"/>
        <v/>
      </c>
    </row>
    <row r="852" spans="1:14" s="7" customFormat="1" ht="20.100000000000001" customHeight="1" x14ac:dyDescent="0.25">
      <c r="A852" s="14" t="s">
        <v>9</v>
      </c>
      <c r="B852" s="16" t="s">
        <v>62</v>
      </c>
      <c r="C852" s="25" t="s">
        <v>60</v>
      </c>
      <c r="D852" s="62" t="s">
        <v>63</v>
      </c>
      <c r="E852" s="63"/>
      <c r="F852" s="63"/>
      <c r="G852" s="63"/>
      <c r="H852" s="63"/>
      <c r="I852" s="64"/>
      <c r="J852" s="103"/>
      <c r="K852" s="104"/>
      <c r="L852" s="105"/>
      <c r="M852" s="106" t="str">
        <f t="shared" si="324"/>
        <v/>
      </c>
      <c r="N852" s="5" t="s">
        <v>1673</v>
      </c>
    </row>
    <row r="853" spans="1:14" s="8" customFormat="1" ht="30" customHeight="1" x14ac:dyDescent="0.25">
      <c r="A853" s="14" t="s">
        <v>9</v>
      </c>
      <c r="B853" s="16" t="s">
        <v>62</v>
      </c>
      <c r="C853" s="25"/>
      <c r="D853" s="12" t="s">
        <v>29</v>
      </c>
      <c r="E853" s="38" t="e">
        <f>SUM(E803,E792,E811,E850,E806,E814,E823,E826,E837,#REF!)</f>
        <v>#REF!</v>
      </c>
      <c r="F853" s="39" t="e">
        <f>SUM(F803,F792,F811,F850,F806,F814,F823,F826,F837,#REF!)</f>
        <v>#REF!</v>
      </c>
      <c r="G853" s="40" t="e">
        <f>SUM(G803,G792,G811,G850,G806,G814,G823,G826,G837,#REF!)</f>
        <v>#REF!</v>
      </c>
      <c r="H853" s="41" t="e">
        <f>SUM(H803,H792,H811,H850,H806,H814,H823,H826,H837,#REF!)</f>
        <v>#REF!</v>
      </c>
      <c r="I853" s="42" t="e">
        <f>SUM(I803,I792,I811,I850,I806,I814,I823,I826,I837,#REF!)</f>
        <v>#REF!</v>
      </c>
      <c r="J853" s="103" t="str">
        <f>IFERROR(E853/SUM($E853:$H853)*100,"")</f>
        <v/>
      </c>
      <c r="K853" s="104" t="str">
        <f>IFERROR(F853/SUM($E853:$H853)*100,"")</f>
        <v/>
      </c>
      <c r="L853" s="105" t="str">
        <f>IFERROR(G853/SUM($E853:$H853)*100,"")</f>
        <v/>
      </c>
      <c r="M853" s="106" t="str">
        <f t="shared" si="324"/>
        <v/>
      </c>
      <c r="N853" s="5" t="s">
        <v>1671</v>
      </c>
    </row>
    <row r="854" spans="1:14" s="5" customFormat="1" ht="20.100000000000001" customHeight="1" x14ac:dyDescent="0.25">
      <c r="A854" s="14" t="s">
        <v>9</v>
      </c>
      <c r="B854" s="14"/>
      <c r="C854" s="25" t="s">
        <v>60</v>
      </c>
      <c r="D854" s="58"/>
      <c r="E854" s="60"/>
      <c r="F854" s="60"/>
      <c r="G854" s="60"/>
      <c r="H854" s="60"/>
      <c r="I854" s="60"/>
      <c r="J854" s="103"/>
      <c r="K854" s="104"/>
      <c r="L854" s="105"/>
      <c r="M854" s="106" t="str">
        <f t="shared" si="324"/>
        <v/>
      </c>
    </row>
    <row r="855" spans="1:14" s="5" customFormat="1" ht="20.100000000000001" customHeight="1" x14ac:dyDescent="0.25">
      <c r="A855" s="14" t="s">
        <v>15</v>
      </c>
      <c r="B855" s="14"/>
      <c r="C855" s="25" t="s">
        <v>60</v>
      </c>
      <c r="D855" s="20" t="str">
        <f>IFERROR(A855&amp;"   ("&amp;COUNTIFS(#REF!,"="&amp;A855)&amp;")",A855)</f>
        <v>DOX</v>
      </c>
      <c r="E855" s="45"/>
      <c r="F855" s="45"/>
      <c r="G855" s="45"/>
      <c r="H855" s="45"/>
      <c r="I855" s="46"/>
      <c r="J855" s="103"/>
      <c r="K855" s="104"/>
      <c r="L855" s="105"/>
      <c r="M855" s="106" t="str">
        <f t="shared" si="324"/>
        <v/>
      </c>
      <c r="N855" s="5" t="s">
        <v>1672</v>
      </c>
    </row>
    <row r="856" spans="1:14" s="5" customFormat="1" ht="20.100000000000001" customHeight="1" x14ac:dyDescent="0.25">
      <c r="A856" s="14" t="s">
        <v>15</v>
      </c>
      <c r="B856" s="16" t="s">
        <v>20</v>
      </c>
      <c r="C856" s="25" t="s">
        <v>60</v>
      </c>
      <c r="D856" s="6" t="s">
        <v>20</v>
      </c>
      <c r="E856" s="37"/>
      <c r="F856" s="37"/>
      <c r="G856" s="37"/>
      <c r="H856" s="37"/>
      <c r="I856" s="48"/>
      <c r="J856" s="103"/>
      <c r="K856" s="104"/>
      <c r="L856" s="105"/>
      <c r="M856" s="106" t="str">
        <f t="shared" si="324"/>
        <v/>
      </c>
      <c r="N856" s="5" t="s">
        <v>1673</v>
      </c>
    </row>
    <row r="857" spans="1:14" s="5" customFormat="1" ht="30" customHeight="1" x14ac:dyDescent="0.25">
      <c r="A857" s="14" t="s">
        <v>15</v>
      </c>
      <c r="B857" s="16" t="s">
        <v>20</v>
      </c>
      <c r="C857" s="25" t="s">
        <v>61</v>
      </c>
      <c r="D857" s="12" t="s">
        <v>25</v>
      </c>
      <c r="E857" s="38">
        <v>0</v>
      </c>
      <c r="F857" s="39">
        <v>0</v>
      </c>
      <c r="G857" s="40">
        <v>0</v>
      </c>
      <c r="H857" s="41">
        <v>0</v>
      </c>
      <c r="I857" s="42">
        <f>SUM(E857:H857)</f>
        <v>0</v>
      </c>
      <c r="J857" s="103" t="str">
        <f>IFERROR(E857/$I857*100,"")</f>
        <v/>
      </c>
      <c r="K857" s="104" t="str">
        <f>IFERROR(F857/$I857*100,"")</f>
        <v/>
      </c>
      <c r="L857" s="105" t="str">
        <f>IFERROR(G857/$I857*100,"")</f>
        <v/>
      </c>
      <c r="M857" s="106" t="str">
        <f t="shared" si="324"/>
        <v/>
      </c>
      <c r="N857" s="5" t="s">
        <v>1671</v>
      </c>
    </row>
    <row r="858" spans="1:14" ht="5.0999999999999996" customHeight="1" x14ac:dyDescent="0.25">
      <c r="A858" s="14" t="s">
        <v>15</v>
      </c>
      <c r="B858" s="16" t="s">
        <v>20</v>
      </c>
      <c r="C858"/>
      <c r="D858" s="57"/>
      <c r="E858" s="59"/>
      <c r="F858" s="59"/>
      <c r="G858" s="59"/>
      <c r="H858" s="59"/>
      <c r="I858" s="59"/>
      <c r="J858" s="103"/>
      <c r="K858" s="104"/>
      <c r="L858" s="105"/>
      <c r="M858" s="106" t="str">
        <f t="shared" si="324"/>
        <v/>
      </c>
    </row>
    <row r="859" spans="1:14" s="5" customFormat="1" ht="20.100000000000001" customHeight="1" x14ac:dyDescent="0.25">
      <c r="A859" s="14" t="s">
        <v>15</v>
      </c>
      <c r="B859" s="16" t="s">
        <v>26</v>
      </c>
      <c r="C859" s="25" t="s">
        <v>60</v>
      </c>
      <c r="D859" s="6" t="s">
        <v>98</v>
      </c>
      <c r="E859" s="37"/>
      <c r="F859" s="37"/>
      <c r="G859" s="37"/>
      <c r="H859" s="37"/>
      <c r="I859" s="47"/>
      <c r="J859" s="103"/>
      <c r="K859" s="104"/>
      <c r="L859" s="105"/>
      <c r="M859" s="106" t="str">
        <f t="shared" si="324"/>
        <v/>
      </c>
      <c r="N859" s="5" t="s">
        <v>1673</v>
      </c>
    </row>
    <row r="860" spans="1:14" s="5" customFormat="1" ht="30" customHeight="1" x14ac:dyDescent="0.25">
      <c r="A860" s="14" t="s">
        <v>15</v>
      </c>
      <c r="B860" s="16" t="s">
        <v>26</v>
      </c>
      <c r="C860" s="25" t="s">
        <v>61</v>
      </c>
      <c r="D860" s="31" t="s">
        <v>21</v>
      </c>
      <c r="E860" s="38">
        <v>0</v>
      </c>
      <c r="F860" s="39">
        <v>0</v>
      </c>
      <c r="G860" s="40">
        <v>0</v>
      </c>
      <c r="H860" s="41">
        <v>0</v>
      </c>
      <c r="I860" s="42">
        <f t="shared" ref="I860:I867" si="329">SUM(E860:H860)</f>
        <v>0</v>
      </c>
      <c r="J860" s="103" t="str">
        <f t="shared" ref="J860:L867" si="330">IFERROR(E860/$I860*100,"")</f>
        <v/>
      </c>
      <c r="K860" s="104" t="str">
        <f t="shared" si="330"/>
        <v/>
      </c>
      <c r="L860" s="105" t="str">
        <f t="shared" si="330"/>
        <v/>
      </c>
      <c r="M860" s="106" t="str">
        <f t="shared" si="324"/>
        <v/>
      </c>
    </row>
    <row r="861" spans="1:14" s="5" customFormat="1" ht="30" customHeight="1" x14ac:dyDescent="0.25">
      <c r="A861" s="14" t="s">
        <v>15</v>
      </c>
      <c r="B861" s="16" t="s">
        <v>26</v>
      </c>
      <c r="C861" s="25" t="s">
        <v>61</v>
      </c>
      <c r="D861" s="31" t="s">
        <v>22</v>
      </c>
      <c r="E861" s="38">
        <v>0</v>
      </c>
      <c r="F861" s="39">
        <v>0</v>
      </c>
      <c r="G861" s="40">
        <v>0</v>
      </c>
      <c r="H861" s="41">
        <v>0</v>
      </c>
      <c r="I861" s="42">
        <f t="shared" si="329"/>
        <v>0</v>
      </c>
      <c r="J861" s="103" t="str">
        <f t="shared" si="330"/>
        <v/>
      </c>
      <c r="K861" s="104" t="str">
        <f t="shared" si="330"/>
        <v/>
      </c>
      <c r="L861" s="105" t="str">
        <f t="shared" si="330"/>
        <v/>
      </c>
      <c r="M861" s="106" t="str">
        <f t="shared" si="324"/>
        <v/>
      </c>
    </row>
    <row r="862" spans="1:14" s="5" customFormat="1" ht="30" customHeight="1" x14ac:dyDescent="0.25">
      <c r="A862" s="14" t="s">
        <v>15</v>
      </c>
      <c r="B862" s="16" t="s">
        <v>26</v>
      </c>
      <c r="C862" s="25" t="s">
        <v>61</v>
      </c>
      <c r="D862" s="31" t="s">
        <v>27</v>
      </c>
      <c r="E862" s="38">
        <v>0</v>
      </c>
      <c r="F862" s="39">
        <v>0</v>
      </c>
      <c r="G862" s="40">
        <v>0</v>
      </c>
      <c r="H862" s="41">
        <v>0</v>
      </c>
      <c r="I862" s="42">
        <f t="shared" si="329"/>
        <v>0</v>
      </c>
      <c r="J862" s="103" t="str">
        <f t="shared" si="330"/>
        <v/>
      </c>
      <c r="K862" s="104" t="str">
        <f t="shared" si="330"/>
        <v/>
      </c>
      <c r="L862" s="105" t="str">
        <f t="shared" si="330"/>
        <v/>
      </c>
      <c r="M862" s="106" t="str">
        <f t="shared" si="324"/>
        <v/>
      </c>
    </row>
    <row r="863" spans="1:14" s="5" customFormat="1" ht="30" customHeight="1" x14ac:dyDescent="0.25">
      <c r="A863" s="14" t="s">
        <v>15</v>
      </c>
      <c r="B863" s="16" t="s">
        <v>26</v>
      </c>
      <c r="C863" s="25" t="s">
        <v>61</v>
      </c>
      <c r="D863" s="31" t="s">
        <v>23</v>
      </c>
      <c r="E863" s="38">
        <v>0</v>
      </c>
      <c r="F863" s="39">
        <v>0</v>
      </c>
      <c r="G863" s="40">
        <v>0</v>
      </c>
      <c r="H863" s="41">
        <v>0</v>
      </c>
      <c r="I863" s="42">
        <f t="shared" si="329"/>
        <v>0</v>
      </c>
      <c r="J863" s="103" t="str">
        <f t="shared" si="330"/>
        <v/>
      </c>
      <c r="K863" s="104" t="str">
        <f t="shared" si="330"/>
        <v/>
      </c>
      <c r="L863" s="105" t="str">
        <f t="shared" si="330"/>
        <v/>
      </c>
      <c r="M863" s="106" t="str">
        <f t="shared" si="324"/>
        <v/>
      </c>
    </row>
    <row r="864" spans="1:14" s="5" customFormat="1" ht="30" customHeight="1" x14ac:dyDescent="0.25">
      <c r="A864" s="14" t="s">
        <v>15</v>
      </c>
      <c r="B864" s="16" t="s">
        <v>26</v>
      </c>
      <c r="C864" s="25" t="s">
        <v>61</v>
      </c>
      <c r="D864" s="31" t="s">
        <v>24</v>
      </c>
      <c r="E864" s="38">
        <v>0</v>
      </c>
      <c r="F864" s="39">
        <v>0</v>
      </c>
      <c r="G864" s="40">
        <v>0</v>
      </c>
      <c r="H864" s="41">
        <v>0</v>
      </c>
      <c r="I864" s="42">
        <f t="shared" si="329"/>
        <v>0</v>
      </c>
      <c r="J864" s="103" t="str">
        <f t="shared" si="330"/>
        <v/>
      </c>
      <c r="K864" s="104" t="str">
        <f t="shared" si="330"/>
        <v/>
      </c>
      <c r="L864" s="105" t="str">
        <f t="shared" si="330"/>
        <v/>
      </c>
      <c r="M864" s="106" t="str">
        <f t="shared" si="324"/>
        <v/>
      </c>
    </row>
    <row r="865" spans="1:14" s="3" customFormat="1" ht="30" customHeight="1" x14ac:dyDescent="0.25">
      <c r="A865" s="14" t="s">
        <v>15</v>
      </c>
      <c r="B865" s="16" t="s">
        <v>26</v>
      </c>
      <c r="C865" s="25" t="s">
        <v>61</v>
      </c>
      <c r="D865" s="31" t="s">
        <v>41</v>
      </c>
      <c r="E865" s="38">
        <v>0</v>
      </c>
      <c r="F865" s="39">
        <v>0</v>
      </c>
      <c r="G865" s="40">
        <v>0</v>
      </c>
      <c r="H865" s="41">
        <v>0</v>
      </c>
      <c r="I865" s="42">
        <f t="shared" si="329"/>
        <v>0</v>
      </c>
      <c r="J865" s="103" t="str">
        <f t="shared" si="330"/>
        <v/>
      </c>
      <c r="K865" s="104" t="str">
        <f t="shared" si="330"/>
        <v/>
      </c>
      <c r="L865" s="105" t="str">
        <f t="shared" si="330"/>
        <v/>
      </c>
      <c r="M865" s="106" t="str">
        <f t="shared" si="324"/>
        <v/>
      </c>
    </row>
    <row r="866" spans="1:14" s="5" customFormat="1" ht="30" customHeight="1" x14ac:dyDescent="0.25">
      <c r="A866" s="14" t="s">
        <v>15</v>
      </c>
      <c r="B866" s="16" t="s">
        <v>26</v>
      </c>
      <c r="C866" s="25" t="s">
        <v>61</v>
      </c>
      <c r="D866" s="31" t="s">
        <v>28</v>
      </c>
      <c r="E866" s="38">
        <v>0</v>
      </c>
      <c r="F866" s="39">
        <v>0</v>
      </c>
      <c r="G866" s="40">
        <v>0</v>
      </c>
      <c r="H866" s="41">
        <v>0</v>
      </c>
      <c r="I866" s="42">
        <f t="shared" si="329"/>
        <v>0</v>
      </c>
      <c r="J866" s="103" t="str">
        <f t="shared" si="330"/>
        <v/>
      </c>
      <c r="K866" s="104" t="str">
        <f t="shared" si="330"/>
        <v/>
      </c>
      <c r="L866" s="105" t="str">
        <f t="shared" si="330"/>
        <v/>
      </c>
      <c r="M866" s="106" t="str">
        <f t="shared" si="324"/>
        <v/>
      </c>
    </row>
    <row r="867" spans="1:14" s="5" customFormat="1" ht="30" customHeight="1" x14ac:dyDescent="0.25">
      <c r="A867" s="14" t="s">
        <v>15</v>
      </c>
      <c r="B867" s="16" t="s">
        <v>26</v>
      </c>
      <c r="C867" s="25" t="s">
        <v>61</v>
      </c>
      <c r="D867" s="31" t="s">
        <v>40</v>
      </c>
      <c r="E867" s="38">
        <v>0</v>
      </c>
      <c r="F867" s="39">
        <v>0</v>
      </c>
      <c r="G867" s="40">
        <v>0</v>
      </c>
      <c r="H867" s="41">
        <v>0</v>
      </c>
      <c r="I867" s="42">
        <f t="shared" si="329"/>
        <v>0</v>
      </c>
      <c r="J867" s="103" t="str">
        <f t="shared" si="330"/>
        <v/>
      </c>
      <c r="K867" s="104" t="str">
        <f t="shared" si="330"/>
        <v/>
      </c>
      <c r="L867" s="105" t="str">
        <f t="shared" si="330"/>
        <v/>
      </c>
      <c r="M867" s="106" t="str">
        <f t="shared" si="324"/>
        <v/>
      </c>
    </row>
    <row r="868" spans="1:14" s="5" customFormat="1" ht="30" customHeight="1" x14ac:dyDescent="0.25">
      <c r="A868" s="14" t="s">
        <v>15</v>
      </c>
      <c r="B868" s="16" t="s">
        <v>26</v>
      </c>
      <c r="C868" s="25"/>
      <c r="D868" s="9" t="s">
        <v>29</v>
      </c>
      <c r="E868" s="38">
        <f>SUM(E860:E867)</f>
        <v>0</v>
      </c>
      <c r="F868" s="39">
        <f t="shared" ref="F868" si="331">SUM(F860:F867)</f>
        <v>0</v>
      </c>
      <c r="G868" s="40">
        <f t="shared" ref="G868" si="332">SUM(G860:G867)</f>
        <v>0</v>
      </c>
      <c r="H868" s="41">
        <f t="shared" ref="H868" si="333">SUM(H860:H867)</f>
        <v>0</v>
      </c>
      <c r="I868" s="43">
        <f t="shared" ref="I868" si="334">SUM(I860:I867)</f>
        <v>0</v>
      </c>
      <c r="J868" s="103" t="str">
        <f>IFERROR(E868/SUM($E868:$H868)*100,"")</f>
        <v/>
      </c>
      <c r="K868" s="104" t="str">
        <f>IFERROR(F868/SUM($E868:$H868)*100,"")</f>
        <v/>
      </c>
      <c r="L868" s="105" t="str">
        <f>IFERROR(G868/SUM($E868:$H868)*100,"")</f>
        <v/>
      </c>
      <c r="M868" s="106" t="str">
        <f t="shared" si="324"/>
        <v/>
      </c>
      <c r="N868" s="5" t="s">
        <v>1671</v>
      </c>
    </row>
    <row r="869" spans="1:14" ht="5.0999999999999996" customHeight="1" x14ac:dyDescent="0.25">
      <c r="A869" s="14" t="s">
        <v>15</v>
      </c>
      <c r="B869" s="16" t="s">
        <v>26</v>
      </c>
      <c r="C869"/>
      <c r="D869" s="57"/>
      <c r="E869" s="59"/>
      <c r="F869" s="59"/>
      <c r="G869" s="59"/>
      <c r="H869" s="59"/>
      <c r="I869" s="59"/>
      <c r="J869" s="103"/>
      <c r="K869" s="104"/>
      <c r="L869" s="105"/>
      <c r="M869" s="106" t="str">
        <f t="shared" si="324"/>
        <v/>
      </c>
    </row>
    <row r="870" spans="1:14" s="5" customFormat="1" ht="20.100000000000001" customHeight="1" x14ac:dyDescent="0.25">
      <c r="A870" s="14" t="s">
        <v>15</v>
      </c>
      <c r="B870" s="16" t="s">
        <v>64</v>
      </c>
      <c r="C870" s="25" t="s">
        <v>60</v>
      </c>
      <c r="D870" s="6" t="s">
        <v>65</v>
      </c>
      <c r="E870" s="37"/>
      <c r="F870" s="37"/>
      <c r="G870" s="37"/>
      <c r="H870" s="37"/>
      <c r="I870" s="48"/>
      <c r="J870" s="103"/>
      <c r="K870" s="104"/>
      <c r="L870" s="105"/>
      <c r="M870" s="106" t="str">
        <f t="shared" si="324"/>
        <v/>
      </c>
      <c r="N870" s="5" t="s">
        <v>1673</v>
      </c>
    </row>
    <row r="871" spans="1:14" s="5" customFormat="1" ht="30" customHeight="1" x14ac:dyDescent="0.25">
      <c r="A871" s="14" t="s">
        <v>15</v>
      </c>
      <c r="B871" s="16" t="s">
        <v>64</v>
      </c>
      <c r="C871" s="25" t="s">
        <v>61</v>
      </c>
      <c r="D871" s="12" t="s">
        <v>66</v>
      </c>
      <c r="E871" s="38">
        <v>0</v>
      </c>
      <c r="F871" s="39">
        <v>0</v>
      </c>
      <c r="G871" s="40">
        <v>0</v>
      </c>
      <c r="H871" s="41">
        <v>0</v>
      </c>
      <c r="I871" s="42">
        <f>SUM(E871:H871)</f>
        <v>0</v>
      </c>
      <c r="J871" s="103" t="str">
        <f>IFERROR(E871/$I871*100,"")</f>
        <v/>
      </c>
      <c r="K871" s="104" t="str">
        <f>IFERROR(F871/$I871*100,"")</f>
        <v/>
      </c>
      <c r="L871" s="105" t="str">
        <f>IFERROR(G871/$I871*100,"")</f>
        <v/>
      </c>
      <c r="M871" s="106" t="str">
        <f t="shared" si="324"/>
        <v/>
      </c>
      <c r="N871" s="5" t="s">
        <v>1671</v>
      </c>
    </row>
    <row r="872" spans="1:14" ht="5.0999999999999996" customHeight="1" x14ac:dyDescent="0.25">
      <c r="A872" s="14" t="s">
        <v>15</v>
      </c>
      <c r="B872" s="16" t="s">
        <v>64</v>
      </c>
      <c r="C872"/>
      <c r="D872" s="57"/>
      <c r="E872" s="59"/>
      <c r="F872" s="59"/>
      <c r="G872" s="59"/>
      <c r="H872" s="59"/>
      <c r="I872" s="59"/>
      <c r="J872" s="103"/>
      <c r="K872" s="104"/>
      <c r="L872" s="105"/>
      <c r="M872" s="106" t="str">
        <f t="shared" si="324"/>
        <v/>
      </c>
    </row>
    <row r="873" spans="1:14" s="5" customFormat="1" ht="20.100000000000001" customHeight="1" x14ac:dyDescent="0.25">
      <c r="A873" s="14" t="s">
        <v>15</v>
      </c>
      <c r="B873" s="16" t="s">
        <v>55</v>
      </c>
      <c r="C873" s="25" t="s">
        <v>60</v>
      </c>
      <c r="D873" s="6" t="s">
        <v>55</v>
      </c>
      <c r="E873" s="37"/>
      <c r="F873" s="37"/>
      <c r="G873" s="37"/>
      <c r="H873" s="37"/>
      <c r="I873" s="48"/>
      <c r="J873" s="103"/>
      <c r="K873" s="104"/>
      <c r="L873" s="105"/>
      <c r="M873" s="106" t="str">
        <f t="shared" si="324"/>
        <v/>
      </c>
      <c r="N873" s="5" t="s">
        <v>1673</v>
      </c>
    </row>
    <row r="874" spans="1:14" s="3" customFormat="1" ht="30" customHeight="1" x14ac:dyDescent="0.25">
      <c r="A874" s="14" t="s">
        <v>15</v>
      </c>
      <c r="B874" s="16" t="s">
        <v>55</v>
      </c>
      <c r="C874" s="25" t="s">
        <v>61</v>
      </c>
      <c r="D874" s="12" t="s">
        <v>56</v>
      </c>
      <c r="E874" s="38">
        <v>0</v>
      </c>
      <c r="F874" s="39">
        <v>0</v>
      </c>
      <c r="G874" s="40">
        <v>0</v>
      </c>
      <c r="H874" s="41">
        <v>0</v>
      </c>
      <c r="I874" s="42">
        <f>SUM(E874:H874)</f>
        <v>0</v>
      </c>
      <c r="J874" s="103" t="str">
        <f t="shared" ref="J874:L876" si="335">IFERROR(E874/$I874*100,"")</f>
        <v/>
      </c>
      <c r="K874" s="104" t="str">
        <f t="shared" si="335"/>
        <v/>
      </c>
      <c r="L874" s="105" t="str">
        <f t="shared" si="335"/>
        <v/>
      </c>
      <c r="M874" s="106" t="str">
        <f t="shared" si="324"/>
        <v/>
      </c>
      <c r="N874" s="5"/>
    </row>
    <row r="875" spans="1:14" s="3" customFormat="1" ht="30" customHeight="1" x14ac:dyDescent="0.25">
      <c r="A875" s="14" t="s">
        <v>15</v>
      </c>
      <c r="B875" s="16" t="s">
        <v>55</v>
      </c>
      <c r="C875" s="25" t="s">
        <v>61</v>
      </c>
      <c r="D875" s="12" t="s">
        <v>57</v>
      </c>
      <c r="E875" s="38">
        <v>0</v>
      </c>
      <c r="F875" s="39">
        <v>0</v>
      </c>
      <c r="G875" s="40">
        <v>0</v>
      </c>
      <c r="H875" s="41">
        <v>0</v>
      </c>
      <c r="I875" s="42">
        <f>SUM(E875:H875)</f>
        <v>0</v>
      </c>
      <c r="J875" s="103" t="str">
        <f t="shared" si="335"/>
        <v/>
      </c>
      <c r="K875" s="104" t="str">
        <f t="shared" si="335"/>
        <v/>
      </c>
      <c r="L875" s="105" t="str">
        <f t="shared" si="335"/>
        <v/>
      </c>
      <c r="M875" s="106" t="str">
        <f t="shared" si="324"/>
        <v/>
      </c>
    </row>
    <row r="876" spans="1:14" s="3" customFormat="1" ht="30" customHeight="1" x14ac:dyDescent="0.25">
      <c r="A876" s="14" t="s">
        <v>15</v>
      </c>
      <c r="B876" s="16" t="s">
        <v>55</v>
      </c>
      <c r="C876" s="25"/>
      <c r="D876" s="91" t="s">
        <v>29</v>
      </c>
      <c r="E876" s="38">
        <f>SUM(E874:E875)</f>
        <v>0</v>
      </c>
      <c r="F876" s="39">
        <f t="shared" ref="F876" si="336">SUM(F874:F875)</f>
        <v>0</v>
      </c>
      <c r="G876" s="40">
        <f t="shared" ref="G876" si="337">SUM(G874:G875)</f>
        <v>0</v>
      </c>
      <c r="H876" s="41">
        <f t="shared" ref="H876" si="338">SUM(H874:H875)</f>
        <v>0</v>
      </c>
      <c r="I876" s="42">
        <f t="shared" ref="I876" si="339">SUM(I874:I875)</f>
        <v>0</v>
      </c>
      <c r="J876" s="103" t="str">
        <f t="shared" si="335"/>
        <v/>
      </c>
      <c r="K876" s="104" t="str">
        <f t="shared" si="335"/>
        <v/>
      </c>
      <c r="L876" s="105" t="str">
        <f t="shared" si="335"/>
        <v/>
      </c>
      <c r="M876" s="106" t="str">
        <f t="shared" si="324"/>
        <v/>
      </c>
      <c r="N876" s="5" t="s">
        <v>1671</v>
      </c>
    </row>
    <row r="877" spans="1:14" ht="5.0999999999999996" customHeight="1" x14ac:dyDescent="0.25">
      <c r="A877" s="14" t="s">
        <v>15</v>
      </c>
      <c r="B877" s="16" t="s">
        <v>55</v>
      </c>
      <c r="C877"/>
      <c r="D877" s="57"/>
      <c r="E877" s="59"/>
      <c r="F877" s="59"/>
      <c r="G877" s="59"/>
      <c r="H877" s="59"/>
      <c r="I877" s="59"/>
      <c r="J877" s="103"/>
      <c r="K877" s="104"/>
      <c r="L877" s="105"/>
      <c r="M877" s="106" t="str">
        <f t="shared" si="324"/>
        <v/>
      </c>
    </row>
    <row r="878" spans="1:14" s="5" customFormat="1" ht="20.100000000000001" customHeight="1" x14ac:dyDescent="0.25">
      <c r="A878" s="14" t="s">
        <v>15</v>
      </c>
      <c r="B878" s="16" t="s">
        <v>74</v>
      </c>
      <c r="C878" s="25" t="s">
        <v>60</v>
      </c>
      <c r="D878" s="6" t="s">
        <v>75</v>
      </c>
      <c r="E878" s="37"/>
      <c r="F878" s="37"/>
      <c r="G878" s="37"/>
      <c r="H878" s="37"/>
      <c r="I878" s="48"/>
      <c r="J878" s="103"/>
      <c r="K878" s="104"/>
      <c r="L878" s="105"/>
      <c r="M878" s="106" t="str">
        <f t="shared" si="324"/>
        <v/>
      </c>
      <c r="N878" s="5" t="s">
        <v>1673</v>
      </c>
    </row>
    <row r="879" spans="1:14" s="3" customFormat="1" ht="30" customHeight="1" x14ac:dyDescent="0.25">
      <c r="A879" s="14" t="s">
        <v>15</v>
      </c>
      <c r="B879" s="16" t="s">
        <v>74</v>
      </c>
      <c r="C879" s="25" t="s">
        <v>61</v>
      </c>
      <c r="D879" s="12" t="s">
        <v>77</v>
      </c>
      <c r="E879" s="38">
        <v>0</v>
      </c>
      <c r="F879" s="39">
        <v>0</v>
      </c>
      <c r="G879" s="40">
        <v>0</v>
      </c>
      <c r="H879" s="41">
        <v>0</v>
      </c>
      <c r="I879" s="42">
        <f>SUM(E879:H879)</f>
        <v>0</v>
      </c>
      <c r="J879" s="103" t="str">
        <f>IFERROR(E879/$I879*100,"")</f>
        <v/>
      </c>
      <c r="K879" s="104" t="str">
        <f>IFERROR(F879/$I879*100,"")</f>
        <v/>
      </c>
      <c r="L879" s="105" t="str">
        <f>IFERROR(G879/$I879*100,"")</f>
        <v/>
      </c>
      <c r="M879" s="106" t="str">
        <f t="shared" si="324"/>
        <v/>
      </c>
      <c r="N879" s="3" t="s">
        <v>1671</v>
      </c>
    </row>
    <row r="880" spans="1:14" ht="5.0999999999999996" customHeight="1" x14ac:dyDescent="0.25">
      <c r="A880" s="14" t="s">
        <v>15</v>
      </c>
      <c r="B880" s="16" t="s">
        <v>74</v>
      </c>
      <c r="C880"/>
      <c r="D880" s="57"/>
      <c r="E880" s="59"/>
      <c r="F880" s="59"/>
      <c r="G880" s="59"/>
      <c r="H880" s="59"/>
      <c r="I880" s="59"/>
      <c r="J880" s="103"/>
      <c r="K880" s="104"/>
      <c r="L880" s="105"/>
      <c r="M880" s="106" t="str">
        <f t="shared" si="324"/>
        <v/>
      </c>
    </row>
    <row r="881" spans="1:14" s="5" customFormat="1" ht="20.100000000000001" customHeight="1" x14ac:dyDescent="0.25">
      <c r="A881" s="14" t="s">
        <v>15</v>
      </c>
      <c r="B881" s="16" t="s">
        <v>78</v>
      </c>
      <c r="C881" s="25" t="s">
        <v>60</v>
      </c>
      <c r="D881" s="6" t="s">
        <v>80</v>
      </c>
      <c r="E881" s="37"/>
      <c r="F881" s="37"/>
      <c r="G881" s="37"/>
      <c r="H881" s="37"/>
      <c r="I881" s="48"/>
      <c r="J881" s="103"/>
      <c r="K881" s="104"/>
      <c r="L881" s="105"/>
      <c r="M881" s="106" t="str">
        <f t="shared" si="324"/>
        <v/>
      </c>
      <c r="N881" s="5" t="s">
        <v>1673</v>
      </c>
    </row>
    <row r="882" spans="1:14" s="5" customFormat="1" ht="30" customHeight="1" x14ac:dyDescent="0.25">
      <c r="A882" s="14" t="s">
        <v>15</v>
      </c>
      <c r="B882" s="16" t="s">
        <v>78</v>
      </c>
      <c r="C882" s="25" t="s">
        <v>61</v>
      </c>
      <c r="D882" s="81" t="s">
        <v>81</v>
      </c>
      <c r="E882" s="38">
        <v>0</v>
      </c>
      <c r="F882" s="39">
        <v>0</v>
      </c>
      <c r="G882" s="40">
        <v>0</v>
      </c>
      <c r="H882" s="41">
        <v>0</v>
      </c>
      <c r="I882" s="42">
        <f t="shared" ref="I882:I888" si="340">SUM(E882:H882)</f>
        <v>0</v>
      </c>
      <c r="J882" s="103" t="str">
        <f t="shared" ref="J882:L888" si="341">IFERROR(E882/$I882*100,"")</f>
        <v/>
      </c>
      <c r="K882" s="104" t="str">
        <f t="shared" si="341"/>
        <v/>
      </c>
      <c r="L882" s="105" t="str">
        <f t="shared" si="341"/>
        <v/>
      </c>
      <c r="M882" s="106" t="str">
        <f t="shared" si="324"/>
        <v/>
      </c>
    </row>
    <row r="883" spans="1:14" s="5" customFormat="1" ht="30" customHeight="1" x14ac:dyDescent="0.25">
      <c r="A883" s="14" t="s">
        <v>15</v>
      </c>
      <c r="B883" s="16" t="s">
        <v>78</v>
      </c>
      <c r="C883" s="25" t="s">
        <v>61</v>
      </c>
      <c r="D883" s="81" t="s">
        <v>82</v>
      </c>
      <c r="E883" s="38">
        <v>0</v>
      </c>
      <c r="F883" s="39">
        <v>0</v>
      </c>
      <c r="G883" s="40">
        <v>0</v>
      </c>
      <c r="H883" s="41">
        <v>0</v>
      </c>
      <c r="I883" s="42">
        <f t="shared" si="340"/>
        <v>0</v>
      </c>
      <c r="J883" s="103" t="str">
        <f t="shared" si="341"/>
        <v/>
      </c>
      <c r="K883" s="104" t="str">
        <f t="shared" si="341"/>
        <v/>
      </c>
      <c r="L883" s="105" t="str">
        <f t="shared" si="341"/>
        <v/>
      </c>
      <c r="M883" s="106" t="str">
        <f t="shared" si="324"/>
        <v/>
      </c>
    </row>
    <row r="884" spans="1:14" s="5" customFormat="1" ht="30" customHeight="1" x14ac:dyDescent="0.25">
      <c r="A884" s="14" t="s">
        <v>15</v>
      </c>
      <c r="B884" s="16" t="s">
        <v>78</v>
      </c>
      <c r="C884" s="25" t="s">
        <v>61</v>
      </c>
      <c r="D884" s="81" t="s">
        <v>83</v>
      </c>
      <c r="E884" s="38">
        <v>0</v>
      </c>
      <c r="F884" s="39">
        <v>0</v>
      </c>
      <c r="G884" s="40">
        <v>0</v>
      </c>
      <c r="H884" s="41">
        <v>0</v>
      </c>
      <c r="I884" s="42">
        <f t="shared" si="340"/>
        <v>0</v>
      </c>
      <c r="J884" s="103" t="str">
        <f t="shared" si="341"/>
        <v/>
      </c>
      <c r="K884" s="104" t="str">
        <f t="shared" si="341"/>
        <v/>
      </c>
      <c r="L884" s="105" t="str">
        <f t="shared" si="341"/>
        <v/>
      </c>
      <c r="M884" s="106" t="str">
        <f t="shared" si="324"/>
        <v/>
      </c>
    </row>
    <row r="885" spans="1:14" s="5" customFormat="1" ht="30" customHeight="1" x14ac:dyDescent="0.25">
      <c r="A885" s="14" t="s">
        <v>15</v>
      </c>
      <c r="B885" s="16" t="s">
        <v>78</v>
      </c>
      <c r="C885" s="25" t="s">
        <v>61</v>
      </c>
      <c r="D885" s="81" t="s">
        <v>88</v>
      </c>
      <c r="E885" s="38">
        <v>0</v>
      </c>
      <c r="F885" s="39">
        <v>0</v>
      </c>
      <c r="G885" s="40">
        <v>0</v>
      </c>
      <c r="H885" s="41">
        <v>0</v>
      </c>
      <c r="I885" s="42">
        <f t="shared" si="340"/>
        <v>0</v>
      </c>
      <c r="J885" s="103" t="str">
        <f t="shared" si="341"/>
        <v/>
      </c>
      <c r="K885" s="104" t="str">
        <f t="shared" si="341"/>
        <v/>
      </c>
      <c r="L885" s="105" t="str">
        <f t="shared" si="341"/>
        <v/>
      </c>
      <c r="M885" s="106" t="str">
        <f t="shared" si="324"/>
        <v/>
      </c>
    </row>
    <row r="886" spans="1:14" s="5" customFormat="1" ht="30" customHeight="1" x14ac:dyDescent="0.25">
      <c r="A886" s="14" t="s">
        <v>15</v>
      </c>
      <c r="B886" s="16" t="s">
        <v>78</v>
      </c>
      <c r="C886" s="25" t="s">
        <v>61</v>
      </c>
      <c r="D886" s="81" t="s">
        <v>87</v>
      </c>
      <c r="E886" s="38">
        <v>0</v>
      </c>
      <c r="F886" s="39">
        <v>0</v>
      </c>
      <c r="G886" s="40">
        <v>0</v>
      </c>
      <c r="H886" s="41">
        <v>0</v>
      </c>
      <c r="I886" s="42">
        <f t="shared" si="340"/>
        <v>0</v>
      </c>
      <c r="J886" s="103" t="str">
        <f t="shared" si="341"/>
        <v/>
      </c>
      <c r="K886" s="104" t="str">
        <f t="shared" si="341"/>
        <v/>
      </c>
      <c r="L886" s="105" t="str">
        <f t="shared" si="341"/>
        <v/>
      </c>
      <c r="M886" s="106" t="str">
        <f t="shared" si="324"/>
        <v/>
      </c>
    </row>
    <row r="887" spans="1:14" s="5" customFormat="1" ht="30" customHeight="1" x14ac:dyDescent="0.25">
      <c r="A887" s="14" t="s">
        <v>15</v>
      </c>
      <c r="B887" s="16" t="s">
        <v>78</v>
      </c>
      <c r="C887" s="25" t="s">
        <v>61</v>
      </c>
      <c r="D887" s="81" t="s">
        <v>84</v>
      </c>
      <c r="E887" s="38">
        <v>0</v>
      </c>
      <c r="F887" s="39">
        <v>0</v>
      </c>
      <c r="G887" s="40">
        <v>0</v>
      </c>
      <c r="H887" s="41">
        <v>0</v>
      </c>
      <c r="I887" s="42">
        <f t="shared" si="340"/>
        <v>0</v>
      </c>
      <c r="J887" s="103" t="str">
        <f t="shared" si="341"/>
        <v/>
      </c>
      <c r="K887" s="104" t="str">
        <f t="shared" si="341"/>
        <v/>
      </c>
      <c r="L887" s="105" t="str">
        <f t="shared" si="341"/>
        <v/>
      </c>
      <c r="M887" s="106" t="str">
        <f t="shared" si="324"/>
        <v/>
      </c>
    </row>
    <row r="888" spans="1:14" s="5" customFormat="1" ht="30" customHeight="1" x14ac:dyDescent="0.25">
      <c r="A888" s="14" t="s">
        <v>15</v>
      </c>
      <c r="B888" s="16" t="s">
        <v>78</v>
      </c>
      <c r="C888" s="25" t="s">
        <v>86</v>
      </c>
      <c r="D888" s="81" t="s">
        <v>79</v>
      </c>
      <c r="E888" s="38">
        <v>0</v>
      </c>
      <c r="F888" s="39">
        <v>0</v>
      </c>
      <c r="G888" s="40">
        <v>0</v>
      </c>
      <c r="H888" s="41">
        <v>0</v>
      </c>
      <c r="I888" s="42">
        <f t="shared" si="340"/>
        <v>0</v>
      </c>
      <c r="J888" s="103" t="str">
        <f t="shared" si="341"/>
        <v/>
      </c>
      <c r="K888" s="104" t="str">
        <f t="shared" si="341"/>
        <v/>
      </c>
      <c r="L888" s="105" t="str">
        <f t="shared" si="341"/>
        <v/>
      </c>
      <c r="M888" s="106" t="str">
        <f t="shared" si="324"/>
        <v/>
      </c>
      <c r="N888" s="5" t="s">
        <v>1671</v>
      </c>
    </row>
    <row r="889" spans="1:14" ht="5.0999999999999996" customHeight="1" x14ac:dyDescent="0.25">
      <c r="A889" s="14" t="s">
        <v>15</v>
      </c>
      <c r="B889" s="16" t="s">
        <v>78</v>
      </c>
      <c r="C889"/>
      <c r="D889" s="57"/>
      <c r="E889" s="59"/>
      <c r="F889" s="59"/>
      <c r="G889" s="59"/>
      <c r="H889" s="59"/>
      <c r="I889" s="59"/>
      <c r="J889" s="103"/>
      <c r="K889" s="104"/>
      <c r="L889" s="105"/>
      <c r="M889" s="106" t="str">
        <f t="shared" si="324"/>
        <v/>
      </c>
    </row>
    <row r="890" spans="1:14" s="5" customFormat="1" ht="20.100000000000001" customHeight="1" x14ac:dyDescent="0.25">
      <c r="A890" s="14" t="s">
        <v>15</v>
      </c>
      <c r="B890" s="16" t="s">
        <v>91</v>
      </c>
      <c r="C890" s="25" t="s">
        <v>60</v>
      </c>
      <c r="D890" s="6" t="s">
        <v>89</v>
      </c>
      <c r="E890" s="37"/>
      <c r="F890" s="37"/>
      <c r="G890" s="37"/>
      <c r="H890" s="37"/>
      <c r="I890" s="48"/>
      <c r="J890" s="103"/>
      <c r="K890" s="104"/>
      <c r="L890" s="105"/>
      <c r="M890" s="106" t="str">
        <f t="shared" si="324"/>
        <v/>
      </c>
      <c r="N890" s="5" t="s">
        <v>1673</v>
      </c>
    </row>
    <row r="891" spans="1:14" s="5" customFormat="1" ht="30" customHeight="1" x14ac:dyDescent="0.25">
      <c r="A891" s="14" t="s">
        <v>15</v>
      </c>
      <c r="B891" s="16" t="s">
        <v>91</v>
      </c>
      <c r="C891" s="25" t="s">
        <v>61</v>
      </c>
      <c r="D891" s="82" t="s">
        <v>90</v>
      </c>
      <c r="E891" s="38">
        <v>0</v>
      </c>
      <c r="F891" s="39">
        <v>0</v>
      </c>
      <c r="G891" s="40">
        <v>0</v>
      </c>
      <c r="H891" s="41">
        <v>0</v>
      </c>
      <c r="I891" s="42">
        <f t="shared" ref="I891" si="342">SUM(E891:H891)</f>
        <v>0</v>
      </c>
      <c r="J891" s="103" t="str">
        <f>IFERROR(E891/$I891*100,"")</f>
        <v/>
      </c>
      <c r="K891" s="104" t="str">
        <f>IFERROR(F891/$I891*100,"")</f>
        <v/>
      </c>
      <c r="L891" s="105" t="str">
        <f>IFERROR(G891/$I891*100,"")</f>
        <v/>
      </c>
      <c r="M891" s="106" t="str">
        <f t="shared" si="324"/>
        <v/>
      </c>
      <c r="N891" s="5" t="s">
        <v>1671</v>
      </c>
    </row>
    <row r="892" spans="1:14" ht="5.0999999999999996" customHeight="1" x14ac:dyDescent="0.25">
      <c r="A892" s="14" t="s">
        <v>15</v>
      </c>
      <c r="B892" s="16" t="s">
        <v>91</v>
      </c>
      <c r="C892"/>
      <c r="D892" s="57"/>
      <c r="E892" s="59"/>
      <c r="F892" s="59"/>
      <c r="G892" s="59"/>
      <c r="H892" s="59"/>
      <c r="I892" s="59"/>
      <c r="J892" s="103"/>
      <c r="K892" s="104"/>
      <c r="L892" s="105"/>
      <c r="M892" s="106" t="str">
        <f t="shared" si="324"/>
        <v/>
      </c>
    </row>
    <row r="893" spans="1:14" s="5" customFormat="1" ht="20.100000000000001" customHeight="1" x14ac:dyDescent="0.25">
      <c r="A893" s="14" t="s">
        <v>15</v>
      </c>
      <c r="B893" s="16" t="s">
        <v>1916</v>
      </c>
      <c r="C893" s="25" t="s">
        <v>60</v>
      </c>
      <c r="D893" s="6" t="s">
        <v>1853</v>
      </c>
      <c r="E893" s="37"/>
      <c r="F893" s="37"/>
      <c r="G893" s="37"/>
      <c r="H893" s="37"/>
      <c r="I893" s="48"/>
      <c r="J893" s="103"/>
      <c r="K893" s="104"/>
      <c r="L893" s="105"/>
      <c r="M893" s="106" t="str">
        <f t="shared" si="324"/>
        <v/>
      </c>
      <c r="N893" s="5" t="s">
        <v>1673</v>
      </c>
    </row>
    <row r="894" spans="1:14" s="5" customFormat="1" ht="30" customHeight="1" x14ac:dyDescent="0.25">
      <c r="A894" s="14" t="s">
        <v>15</v>
      </c>
      <c r="B894" s="16" t="s">
        <v>1916</v>
      </c>
      <c r="C894" s="25" t="s">
        <v>61</v>
      </c>
      <c r="D894" s="175" t="s">
        <v>1917</v>
      </c>
      <c r="E894" s="38">
        <v>0</v>
      </c>
      <c r="F894" s="39">
        <v>0</v>
      </c>
      <c r="G894" s="40">
        <v>0</v>
      </c>
      <c r="H894" s="41">
        <v>0</v>
      </c>
      <c r="I894" s="42">
        <f t="shared" ref="I894" si="343">SUM(E894:H894)</f>
        <v>0</v>
      </c>
      <c r="J894" s="103" t="str">
        <f>IFERROR(E894/$I894*100,"")</f>
        <v/>
      </c>
      <c r="K894" s="104" t="str">
        <f>IFERROR(F894/$I894*100,"")</f>
        <v/>
      </c>
      <c r="L894" s="105" t="str">
        <f>IFERROR(G894/$I894*100,"")</f>
        <v/>
      </c>
      <c r="M894" s="106" t="str">
        <f t="shared" si="324"/>
        <v/>
      </c>
      <c r="N894" s="5" t="s">
        <v>1671</v>
      </c>
    </row>
    <row r="895" spans="1:14" ht="5.0999999999999996" customHeight="1" x14ac:dyDescent="0.25">
      <c r="A895" s="14" t="s">
        <v>15</v>
      </c>
      <c r="B895" s="16" t="s">
        <v>1916</v>
      </c>
      <c r="C895"/>
      <c r="D895" s="57"/>
      <c r="E895" s="59"/>
      <c r="F895" s="59"/>
      <c r="G895" s="59"/>
      <c r="H895" s="59"/>
      <c r="I895" s="59"/>
      <c r="J895" s="103"/>
      <c r="K895" s="104"/>
      <c r="L895" s="105"/>
      <c r="M895" s="106" t="str">
        <f t="shared" si="324"/>
        <v/>
      </c>
    </row>
    <row r="896" spans="1:14" s="5" customFormat="1" ht="20.100000000000001" customHeight="1" x14ac:dyDescent="0.25">
      <c r="A896" s="14" t="s">
        <v>15</v>
      </c>
      <c r="B896" s="16" t="s">
        <v>1637</v>
      </c>
      <c r="C896" s="25" t="s">
        <v>60</v>
      </c>
      <c r="D896" s="6" t="s">
        <v>1636</v>
      </c>
      <c r="E896" s="37"/>
      <c r="F896" s="37"/>
      <c r="G896" s="37"/>
      <c r="H896" s="37"/>
      <c r="I896" s="48"/>
      <c r="J896" s="103"/>
      <c r="K896" s="104"/>
      <c r="L896" s="105"/>
      <c r="M896" s="106" t="str">
        <f t="shared" si="324"/>
        <v/>
      </c>
      <c r="N896" s="5" t="s">
        <v>1673</v>
      </c>
    </row>
    <row r="897" spans="1:14" s="3" customFormat="1" ht="30" customHeight="1" x14ac:dyDescent="0.25">
      <c r="A897" s="14" t="s">
        <v>15</v>
      </c>
      <c r="B897" s="16" t="s">
        <v>1637</v>
      </c>
      <c r="C897" s="25" t="s">
        <v>61</v>
      </c>
      <c r="D897" s="87" t="s">
        <v>1638</v>
      </c>
      <c r="E897" s="38">
        <v>0</v>
      </c>
      <c r="F897" s="39">
        <v>0</v>
      </c>
      <c r="G897" s="40">
        <v>0</v>
      </c>
      <c r="H897" s="41">
        <v>0</v>
      </c>
      <c r="I897" s="42">
        <f t="shared" ref="I897:I902" si="344">SUM(E897:H897)</f>
        <v>0</v>
      </c>
      <c r="J897" s="103" t="str">
        <f t="shared" ref="J897:L901" si="345">IFERROR(E897/$I897*100,"")</f>
        <v/>
      </c>
      <c r="K897" s="104" t="str">
        <f t="shared" si="345"/>
        <v/>
      </c>
      <c r="L897" s="105" t="str">
        <f t="shared" si="345"/>
        <v/>
      </c>
      <c r="M897" s="106" t="str">
        <f t="shared" si="324"/>
        <v/>
      </c>
    </row>
    <row r="898" spans="1:14" s="3" customFormat="1" ht="30" customHeight="1" x14ac:dyDescent="0.25">
      <c r="A898" s="14" t="s">
        <v>15</v>
      </c>
      <c r="B898" s="16" t="s">
        <v>1637</v>
      </c>
      <c r="C898" s="25" t="s">
        <v>61</v>
      </c>
      <c r="D898" s="87" t="s">
        <v>1669</v>
      </c>
      <c r="E898" s="38">
        <v>0</v>
      </c>
      <c r="F898" s="39">
        <v>0</v>
      </c>
      <c r="G898" s="40">
        <v>0</v>
      </c>
      <c r="H898" s="41">
        <v>0</v>
      </c>
      <c r="I898" s="42">
        <f t="shared" si="344"/>
        <v>0</v>
      </c>
      <c r="J898" s="103" t="str">
        <f t="shared" si="345"/>
        <v/>
      </c>
      <c r="K898" s="104" t="str">
        <f t="shared" si="345"/>
        <v/>
      </c>
      <c r="L898" s="105" t="str">
        <f t="shared" si="345"/>
        <v/>
      </c>
      <c r="M898" s="106" t="str">
        <f t="shared" si="324"/>
        <v/>
      </c>
    </row>
    <row r="899" spans="1:14" s="3" customFormat="1" ht="30" customHeight="1" x14ac:dyDescent="0.25">
      <c r="A899" s="14" t="s">
        <v>15</v>
      </c>
      <c r="B899" s="16" t="s">
        <v>1637</v>
      </c>
      <c r="C899" s="25" t="s">
        <v>61</v>
      </c>
      <c r="D899" s="87" t="s">
        <v>1640</v>
      </c>
      <c r="E899" s="38">
        <v>0</v>
      </c>
      <c r="F899" s="39">
        <v>0</v>
      </c>
      <c r="G899" s="40">
        <v>0</v>
      </c>
      <c r="H899" s="41">
        <v>0</v>
      </c>
      <c r="I899" s="42">
        <f t="shared" si="344"/>
        <v>0</v>
      </c>
      <c r="J899" s="103" t="str">
        <f t="shared" si="345"/>
        <v/>
      </c>
      <c r="K899" s="104" t="str">
        <f t="shared" si="345"/>
        <v/>
      </c>
      <c r="L899" s="105" t="str">
        <f t="shared" si="345"/>
        <v/>
      </c>
      <c r="M899" s="106" t="str">
        <f t="shared" si="324"/>
        <v/>
      </c>
    </row>
    <row r="900" spans="1:14" s="3" customFormat="1" ht="30" customHeight="1" x14ac:dyDescent="0.25">
      <c r="A900" s="14" t="s">
        <v>15</v>
      </c>
      <c r="B900" s="16" t="s">
        <v>1637</v>
      </c>
      <c r="C900" s="25" t="s">
        <v>61</v>
      </c>
      <c r="D900" s="87" t="s">
        <v>1639</v>
      </c>
      <c r="E900" s="38">
        <v>0</v>
      </c>
      <c r="F900" s="39">
        <v>0</v>
      </c>
      <c r="G900" s="40">
        <v>0</v>
      </c>
      <c r="H900" s="41">
        <v>0</v>
      </c>
      <c r="I900" s="42">
        <f t="shared" si="344"/>
        <v>0</v>
      </c>
      <c r="J900" s="103" t="str">
        <f t="shared" si="345"/>
        <v/>
      </c>
      <c r="K900" s="104" t="str">
        <f t="shared" si="345"/>
        <v/>
      </c>
      <c r="L900" s="105" t="str">
        <f t="shared" si="345"/>
        <v/>
      </c>
      <c r="M900" s="106" t="str">
        <f t="shared" si="324"/>
        <v/>
      </c>
    </row>
    <row r="901" spans="1:14" s="3" customFormat="1" ht="30" customHeight="1" x14ac:dyDescent="0.25">
      <c r="A901" s="14" t="s">
        <v>15</v>
      </c>
      <c r="B901" s="16" t="s">
        <v>1637</v>
      </c>
      <c r="C901" s="25" t="s">
        <v>61</v>
      </c>
      <c r="D901" s="87" t="s">
        <v>1641</v>
      </c>
      <c r="E901" s="38">
        <v>0</v>
      </c>
      <c r="F901" s="39">
        <v>0</v>
      </c>
      <c r="G901" s="40">
        <v>0</v>
      </c>
      <c r="H901" s="41">
        <v>0</v>
      </c>
      <c r="I901" s="42">
        <f t="shared" si="344"/>
        <v>0</v>
      </c>
      <c r="J901" s="103" t="str">
        <f t="shared" si="345"/>
        <v/>
      </c>
      <c r="K901" s="104" t="str">
        <f t="shared" si="345"/>
        <v/>
      </c>
      <c r="L901" s="105" t="str">
        <f t="shared" si="345"/>
        <v/>
      </c>
      <c r="M901" s="106" t="str">
        <f t="shared" si="324"/>
        <v/>
      </c>
    </row>
    <row r="902" spans="1:14" s="3" customFormat="1" ht="30" customHeight="1" x14ac:dyDescent="0.25">
      <c r="A902" s="14" t="s">
        <v>15</v>
      </c>
      <c r="B902" s="16" t="s">
        <v>1637</v>
      </c>
      <c r="C902" s="25"/>
      <c r="D902" s="87" t="s">
        <v>29</v>
      </c>
      <c r="E902" s="38">
        <f>SUM(E897:E901)</f>
        <v>0</v>
      </c>
      <c r="F902" s="39">
        <f>SUM(F897:F901)</f>
        <v>0</v>
      </c>
      <c r="G902" s="40">
        <f>SUM(G897:G901)</f>
        <v>0</v>
      </c>
      <c r="H902" s="41">
        <f>SUM(H897:H901)</f>
        <v>0</v>
      </c>
      <c r="I902" s="42">
        <f t="shared" si="344"/>
        <v>0</v>
      </c>
      <c r="J902" s="103" t="str">
        <f>IFERROR(E902/SUM($E902:$H902)*100,"")</f>
        <v/>
      </c>
      <c r="K902" s="104" t="str">
        <f>IFERROR(F902/SUM($E902:$H902)*100,"")</f>
        <v/>
      </c>
      <c r="L902" s="105" t="str">
        <f>IFERROR(G902/SUM($E902:$H902)*100,"")</f>
        <v/>
      </c>
      <c r="M902" s="106" t="str">
        <f t="shared" si="324"/>
        <v/>
      </c>
      <c r="N902" s="5" t="s">
        <v>1671</v>
      </c>
    </row>
    <row r="903" spans="1:14" ht="5.0999999999999996" customHeight="1" x14ac:dyDescent="0.25">
      <c r="A903" s="14" t="s">
        <v>15</v>
      </c>
      <c r="B903" s="16" t="s">
        <v>1637</v>
      </c>
      <c r="C903"/>
      <c r="J903" s="103"/>
      <c r="K903" s="104"/>
      <c r="L903" s="105"/>
      <c r="M903" s="106" t="str">
        <f t="shared" si="324"/>
        <v/>
      </c>
    </row>
    <row r="904" spans="1:14" s="5" customFormat="1" ht="20.100000000000001" customHeight="1" x14ac:dyDescent="0.25">
      <c r="A904" s="14" t="s">
        <v>15</v>
      </c>
      <c r="B904" s="16" t="s">
        <v>42</v>
      </c>
      <c r="C904" s="25" t="s">
        <v>60</v>
      </c>
      <c r="D904" s="6" t="s">
        <v>1744</v>
      </c>
      <c r="E904" s="37"/>
      <c r="F904" s="37"/>
      <c r="G904" s="37"/>
      <c r="H904" s="37"/>
      <c r="I904" s="48"/>
      <c r="J904" s="103"/>
      <c r="K904" s="104"/>
      <c r="L904" s="105"/>
      <c r="M904" s="106" t="str">
        <f t="shared" si="324"/>
        <v/>
      </c>
      <c r="N904" s="5" t="s">
        <v>1673</v>
      </c>
    </row>
    <row r="905" spans="1:14" s="3" customFormat="1" ht="30" customHeight="1" x14ac:dyDescent="0.25">
      <c r="A905" s="14" t="s">
        <v>15</v>
      </c>
      <c r="B905" s="16" t="s">
        <v>42</v>
      </c>
      <c r="C905" s="25" t="s">
        <v>61</v>
      </c>
      <c r="D905" s="12" t="s">
        <v>43</v>
      </c>
      <c r="E905" s="38">
        <v>0</v>
      </c>
      <c r="F905" s="39">
        <v>0</v>
      </c>
      <c r="G905" s="40">
        <v>0</v>
      </c>
      <c r="H905" s="41">
        <v>0</v>
      </c>
      <c r="I905" s="42">
        <f t="shared" ref="I905:I914" si="346">SUM(E905:H905)</f>
        <v>0</v>
      </c>
      <c r="J905" s="103" t="str">
        <f t="shared" ref="J905:J914" si="347">IFERROR(E905/$I905*100,"")</f>
        <v/>
      </c>
      <c r="K905" s="104" t="str">
        <f t="shared" ref="K905:K914" si="348">IFERROR(F905/$I905*100,"")</f>
        <v/>
      </c>
      <c r="L905" s="105" t="str">
        <f t="shared" ref="L905:L914" si="349">IFERROR(G905/$I905*100,"")</f>
        <v/>
      </c>
      <c r="M905" s="106" t="str">
        <f t="shared" si="324"/>
        <v/>
      </c>
    </row>
    <row r="906" spans="1:14" s="3" customFormat="1" ht="30" customHeight="1" x14ac:dyDescent="0.25">
      <c r="A906" s="14" t="s">
        <v>15</v>
      </c>
      <c r="B906" s="16" t="s">
        <v>42</v>
      </c>
      <c r="C906" s="25" t="s">
        <v>61</v>
      </c>
      <c r="D906" s="12" t="s">
        <v>44</v>
      </c>
      <c r="E906" s="38">
        <v>0</v>
      </c>
      <c r="F906" s="39">
        <v>0</v>
      </c>
      <c r="G906" s="40">
        <v>0</v>
      </c>
      <c r="H906" s="41">
        <v>0</v>
      </c>
      <c r="I906" s="42">
        <f t="shared" si="346"/>
        <v>0</v>
      </c>
      <c r="J906" s="103" t="str">
        <f t="shared" si="347"/>
        <v/>
      </c>
      <c r="K906" s="104" t="str">
        <f t="shared" si="348"/>
        <v/>
      </c>
      <c r="L906" s="105" t="str">
        <f t="shared" si="349"/>
        <v/>
      </c>
      <c r="M906" s="106" t="str">
        <f t="shared" si="324"/>
        <v/>
      </c>
    </row>
    <row r="907" spans="1:14" s="3" customFormat="1" ht="30" customHeight="1" x14ac:dyDescent="0.25">
      <c r="A907" s="14" t="s">
        <v>15</v>
      </c>
      <c r="B907" s="16" t="s">
        <v>42</v>
      </c>
      <c r="C907" s="25" t="s">
        <v>61</v>
      </c>
      <c r="D907" s="12" t="s">
        <v>45</v>
      </c>
      <c r="E907" s="38">
        <v>0</v>
      </c>
      <c r="F907" s="39">
        <v>0</v>
      </c>
      <c r="G907" s="40">
        <v>0</v>
      </c>
      <c r="H907" s="41">
        <v>0</v>
      </c>
      <c r="I907" s="42">
        <f t="shared" si="346"/>
        <v>0</v>
      </c>
      <c r="J907" s="103" t="str">
        <f t="shared" si="347"/>
        <v/>
      </c>
      <c r="K907" s="104" t="str">
        <f t="shared" si="348"/>
        <v/>
      </c>
      <c r="L907" s="105" t="str">
        <f t="shared" si="349"/>
        <v/>
      </c>
      <c r="M907" s="106" t="str">
        <f t="shared" si="324"/>
        <v/>
      </c>
    </row>
    <row r="908" spans="1:14" s="3" customFormat="1" ht="30" customHeight="1" x14ac:dyDescent="0.25">
      <c r="A908" s="14" t="s">
        <v>15</v>
      </c>
      <c r="B908" s="16" t="s">
        <v>42</v>
      </c>
      <c r="C908" s="25" t="s">
        <v>61</v>
      </c>
      <c r="D908" s="12" t="s">
        <v>46</v>
      </c>
      <c r="E908" s="38">
        <v>0</v>
      </c>
      <c r="F908" s="39">
        <v>0</v>
      </c>
      <c r="G908" s="40">
        <v>0</v>
      </c>
      <c r="H908" s="41">
        <v>0</v>
      </c>
      <c r="I908" s="42">
        <f t="shared" si="346"/>
        <v>0</v>
      </c>
      <c r="J908" s="103" t="str">
        <f t="shared" si="347"/>
        <v/>
      </c>
      <c r="K908" s="104" t="str">
        <f t="shared" si="348"/>
        <v/>
      </c>
      <c r="L908" s="105" t="str">
        <f t="shared" si="349"/>
        <v/>
      </c>
      <c r="M908" s="106" t="str">
        <f t="shared" si="324"/>
        <v/>
      </c>
    </row>
    <row r="909" spans="1:14" s="3" customFormat="1" ht="30" customHeight="1" x14ac:dyDescent="0.25">
      <c r="A909" s="14" t="s">
        <v>15</v>
      </c>
      <c r="B909" s="16" t="s">
        <v>42</v>
      </c>
      <c r="C909" s="25" t="s">
        <v>61</v>
      </c>
      <c r="D909" s="12" t="s">
        <v>51</v>
      </c>
      <c r="E909" s="38">
        <v>0</v>
      </c>
      <c r="F909" s="39">
        <v>0</v>
      </c>
      <c r="G909" s="40">
        <v>0</v>
      </c>
      <c r="H909" s="41">
        <v>0</v>
      </c>
      <c r="I909" s="42">
        <f t="shared" si="346"/>
        <v>0</v>
      </c>
      <c r="J909" s="103" t="str">
        <f t="shared" si="347"/>
        <v/>
      </c>
      <c r="K909" s="104" t="str">
        <f t="shared" si="348"/>
        <v/>
      </c>
      <c r="L909" s="105" t="str">
        <f t="shared" si="349"/>
        <v/>
      </c>
      <c r="M909" s="106" t="str">
        <f t="shared" ref="M909:M972" si="350">IFERROR(H909/$I909*100,"")</f>
        <v/>
      </c>
    </row>
    <row r="910" spans="1:14" s="3" customFormat="1" ht="30" customHeight="1" x14ac:dyDescent="0.25">
      <c r="A910" s="14" t="s">
        <v>15</v>
      </c>
      <c r="B910" s="16" t="s">
        <v>42</v>
      </c>
      <c r="C910" s="25" t="s">
        <v>61</v>
      </c>
      <c r="D910" s="12" t="s">
        <v>52</v>
      </c>
      <c r="E910" s="38">
        <v>0</v>
      </c>
      <c r="F910" s="39">
        <v>0</v>
      </c>
      <c r="G910" s="40">
        <v>0</v>
      </c>
      <c r="H910" s="41">
        <v>0</v>
      </c>
      <c r="I910" s="42">
        <f t="shared" si="346"/>
        <v>0</v>
      </c>
      <c r="J910" s="103" t="str">
        <f t="shared" si="347"/>
        <v/>
      </c>
      <c r="K910" s="104" t="str">
        <f t="shared" si="348"/>
        <v/>
      </c>
      <c r="L910" s="105" t="str">
        <f t="shared" si="349"/>
        <v/>
      </c>
      <c r="M910" s="106" t="str">
        <f t="shared" si="350"/>
        <v/>
      </c>
    </row>
    <row r="911" spans="1:14" s="3" customFormat="1" ht="30" customHeight="1" x14ac:dyDescent="0.25">
      <c r="A911" s="14" t="s">
        <v>15</v>
      </c>
      <c r="B911" s="16" t="s">
        <v>42</v>
      </c>
      <c r="C911" s="25" t="s">
        <v>61</v>
      </c>
      <c r="D911" s="12" t="s">
        <v>47</v>
      </c>
      <c r="E911" s="38">
        <v>0</v>
      </c>
      <c r="F911" s="39">
        <v>0</v>
      </c>
      <c r="G911" s="40">
        <v>0</v>
      </c>
      <c r="H911" s="41">
        <v>0</v>
      </c>
      <c r="I911" s="42">
        <f t="shared" si="346"/>
        <v>0</v>
      </c>
      <c r="J911" s="103" t="str">
        <f t="shared" si="347"/>
        <v/>
      </c>
      <c r="K911" s="104" t="str">
        <f t="shared" si="348"/>
        <v/>
      </c>
      <c r="L911" s="105" t="str">
        <f t="shared" si="349"/>
        <v/>
      </c>
      <c r="M911" s="106" t="str">
        <f t="shared" si="350"/>
        <v/>
      </c>
    </row>
    <row r="912" spans="1:14" s="3" customFormat="1" ht="30" customHeight="1" x14ac:dyDescent="0.25">
      <c r="A912" s="14" t="s">
        <v>15</v>
      </c>
      <c r="B912" s="16" t="s">
        <v>42</v>
      </c>
      <c r="C912" s="25" t="s">
        <v>61</v>
      </c>
      <c r="D912" s="12" t="s">
        <v>48</v>
      </c>
      <c r="E912" s="38">
        <v>0</v>
      </c>
      <c r="F912" s="39">
        <v>0</v>
      </c>
      <c r="G912" s="40">
        <v>0</v>
      </c>
      <c r="H912" s="41">
        <v>0</v>
      </c>
      <c r="I912" s="42">
        <f t="shared" si="346"/>
        <v>0</v>
      </c>
      <c r="J912" s="103" t="str">
        <f t="shared" si="347"/>
        <v/>
      </c>
      <c r="K912" s="104" t="str">
        <f t="shared" si="348"/>
        <v/>
      </c>
      <c r="L912" s="105" t="str">
        <f t="shared" si="349"/>
        <v/>
      </c>
      <c r="M912" s="106" t="str">
        <f t="shared" si="350"/>
        <v/>
      </c>
    </row>
    <row r="913" spans="1:14" s="3" customFormat="1" ht="30" customHeight="1" x14ac:dyDescent="0.25">
      <c r="A913" s="14" t="s">
        <v>15</v>
      </c>
      <c r="B913" s="16" t="s">
        <v>42</v>
      </c>
      <c r="C913" s="25" t="s">
        <v>61</v>
      </c>
      <c r="D913" s="12" t="s">
        <v>49</v>
      </c>
      <c r="E913" s="38">
        <v>0</v>
      </c>
      <c r="F913" s="39">
        <v>0</v>
      </c>
      <c r="G913" s="40">
        <v>0</v>
      </c>
      <c r="H913" s="41">
        <v>0</v>
      </c>
      <c r="I913" s="42">
        <f t="shared" si="346"/>
        <v>0</v>
      </c>
      <c r="J913" s="103" t="str">
        <f t="shared" si="347"/>
        <v/>
      </c>
      <c r="K913" s="104" t="str">
        <f t="shared" si="348"/>
        <v/>
      </c>
      <c r="L913" s="105" t="str">
        <f t="shared" si="349"/>
        <v/>
      </c>
      <c r="M913" s="106" t="str">
        <f t="shared" si="350"/>
        <v/>
      </c>
    </row>
    <row r="914" spans="1:14" s="3" customFormat="1" ht="30" customHeight="1" x14ac:dyDescent="0.25">
      <c r="A914" s="14" t="s">
        <v>15</v>
      </c>
      <c r="B914" s="16" t="s">
        <v>42</v>
      </c>
      <c r="C914" s="25" t="s">
        <v>61</v>
      </c>
      <c r="D914" s="12" t="s">
        <v>50</v>
      </c>
      <c r="E914" s="38">
        <v>0</v>
      </c>
      <c r="F914" s="39">
        <v>0</v>
      </c>
      <c r="G914" s="40">
        <v>0</v>
      </c>
      <c r="H914" s="41">
        <v>0</v>
      </c>
      <c r="I914" s="42">
        <f t="shared" si="346"/>
        <v>0</v>
      </c>
      <c r="J914" s="103" t="str">
        <f t="shared" si="347"/>
        <v/>
      </c>
      <c r="K914" s="104" t="str">
        <f t="shared" si="348"/>
        <v/>
      </c>
      <c r="L914" s="105" t="str">
        <f t="shared" si="349"/>
        <v/>
      </c>
      <c r="M914" s="106" t="str">
        <f t="shared" si="350"/>
        <v/>
      </c>
    </row>
    <row r="915" spans="1:14" s="8" customFormat="1" ht="30" customHeight="1" x14ac:dyDescent="0.25">
      <c r="A915" s="14" t="s">
        <v>15</v>
      </c>
      <c r="B915" s="16" t="s">
        <v>42</v>
      </c>
      <c r="C915" s="25"/>
      <c r="D915" s="9" t="s">
        <v>29</v>
      </c>
      <c r="E915" s="38">
        <f>SUM(E905:E914)</f>
        <v>0</v>
      </c>
      <c r="F915" s="39">
        <f t="shared" ref="F915" si="351">SUM(F905:F914)</f>
        <v>0</v>
      </c>
      <c r="G915" s="40">
        <f t="shared" ref="G915" si="352">SUM(G905:G914)</f>
        <v>0</v>
      </c>
      <c r="H915" s="41">
        <f t="shared" ref="H915" si="353">SUM(H905:H914)</f>
        <v>0</v>
      </c>
      <c r="I915" s="43">
        <f t="shared" ref="I915" si="354">SUM(I905:I914)</f>
        <v>0</v>
      </c>
      <c r="J915" s="103" t="str">
        <f>IFERROR(E915/SUM($E915:$H915)*100,"")</f>
        <v/>
      </c>
      <c r="K915" s="104" t="str">
        <f>IFERROR(F915/SUM($E915:$H915)*100,"")</f>
        <v/>
      </c>
      <c r="L915" s="105" t="str">
        <f>IFERROR(G915/SUM($E915:$H915)*100,"")</f>
        <v/>
      </c>
      <c r="M915" s="106" t="str">
        <f t="shared" si="350"/>
        <v/>
      </c>
      <c r="N915" s="5" t="s">
        <v>1671</v>
      </c>
    </row>
    <row r="916" spans="1:14" ht="5.0999999999999996" customHeight="1" x14ac:dyDescent="0.25">
      <c r="A916" s="14" t="s">
        <v>15</v>
      </c>
      <c r="B916" s="16" t="s">
        <v>42</v>
      </c>
      <c r="C916"/>
      <c r="D916" s="57"/>
      <c r="E916" s="59"/>
      <c r="F916" s="59"/>
      <c r="G916" s="59"/>
      <c r="H916" s="59"/>
      <c r="I916" s="59"/>
      <c r="J916" s="103"/>
      <c r="K916" s="104"/>
      <c r="L916" s="105"/>
      <c r="M916" s="106" t="str">
        <f t="shared" si="350"/>
        <v/>
      </c>
    </row>
    <row r="917" spans="1:14" s="7" customFormat="1" ht="20.100000000000001" customHeight="1" x14ac:dyDescent="0.25">
      <c r="A917" s="14" t="s">
        <v>15</v>
      </c>
      <c r="B917" s="16" t="s">
        <v>62</v>
      </c>
      <c r="C917" s="25" t="s">
        <v>60</v>
      </c>
      <c r="D917" s="62" t="s">
        <v>63</v>
      </c>
      <c r="E917" s="63"/>
      <c r="F917" s="63"/>
      <c r="G917" s="63"/>
      <c r="H917" s="63"/>
      <c r="I917" s="64"/>
      <c r="J917" s="103"/>
      <c r="K917" s="104"/>
      <c r="L917" s="105"/>
      <c r="M917" s="106" t="str">
        <f t="shared" si="350"/>
        <v/>
      </c>
      <c r="N917" s="5" t="s">
        <v>1673</v>
      </c>
    </row>
    <row r="918" spans="1:14" s="8" customFormat="1" ht="30" customHeight="1" x14ac:dyDescent="0.25">
      <c r="A918" s="14" t="s">
        <v>15</v>
      </c>
      <c r="B918" s="16" t="s">
        <v>62</v>
      </c>
      <c r="C918" s="25"/>
      <c r="D918" s="12" t="s">
        <v>29</v>
      </c>
      <c r="E918" s="38" t="e">
        <f>SUM(E868,E857,E876,E915,E871,E879,E888,E891,E902,#REF!)</f>
        <v>#REF!</v>
      </c>
      <c r="F918" s="39" t="e">
        <f>SUM(F868,F857,F876,F915,F871,F879,F888,F891,F902,#REF!)</f>
        <v>#REF!</v>
      </c>
      <c r="G918" s="40" t="e">
        <f>SUM(G868,G857,G876,G915,G871,G879,G888,G891,G902,#REF!)</f>
        <v>#REF!</v>
      </c>
      <c r="H918" s="41" t="e">
        <f>SUM(H868,H857,H876,H915,H871,H879,H888,H891,H902,#REF!)</f>
        <v>#REF!</v>
      </c>
      <c r="I918" s="42" t="e">
        <f>SUM(I868,I857,I876,I915,I871,I879,I888,I891,I902,#REF!)</f>
        <v>#REF!</v>
      </c>
      <c r="J918" s="103" t="str">
        <f>IFERROR(E918/SUM($E918:$H918)*100,"")</f>
        <v/>
      </c>
      <c r="K918" s="104" t="str">
        <f>IFERROR(F918/SUM($E918:$H918)*100,"")</f>
        <v/>
      </c>
      <c r="L918" s="105" t="str">
        <f>IFERROR(G918/SUM($E918:$H918)*100,"")</f>
        <v/>
      </c>
      <c r="M918" s="106" t="str">
        <f t="shared" si="350"/>
        <v/>
      </c>
      <c r="N918" s="5" t="s">
        <v>1671</v>
      </c>
    </row>
    <row r="919" spans="1:14" s="5" customFormat="1" ht="20.100000000000001" customHeight="1" x14ac:dyDescent="0.25">
      <c r="A919" s="14" t="s">
        <v>15</v>
      </c>
      <c r="B919" s="14"/>
      <c r="C919" s="25" t="s">
        <v>60</v>
      </c>
      <c r="D919" s="58"/>
      <c r="E919" s="60"/>
      <c r="F919" s="60"/>
      <c r="G919" s="60"/>
      <c r="H919" s="60"/>
      <c r="I919" s="60"/>
      <c r="J919" s="103"/>
      <c r="K919" s="104"/>
      <c r="L919" s="105"/>
      <c r="M919" s="106" t="str">
        <f t="shared" si="350"/>
        <v/>
      </c>
    </row>
    <row r="920" spans="1:14" s="5" customFormat="1" ht="20.100000000000001" customHeight="1" x14ac:dyDescent="0.25">
      <c r="A920" s="14" t="s">
        <v>10</v>
      </c>
      <c r="B920" s="14"/>
      <c r="C920" s="25" t="s">
        <v>60</v>
      </c>
      <c r="D920" s="20" t="str">
        <f>IFERROR(A920&amp;"   ("&amp;COUNTIFS(#REF!,"="&amp;A920)&amp;")",A920)</f>
        <v>MS</v>
      </c>
      <c r="E920" s="45"/>
      <c r="F920" s="45"/>
      <c r="G920" s="45"/>
      <c r="H920" s="45"/>
      <c r="I920" s="46"/>
      <c r="J920" s="103"/>
      <c r="K920" s="104"/>
      <c r="L920" s="105"/>
      <c r="M920" s="106" t="str">
        <f t="shared" si="350"/>
        <v/>
      </c>
      <c r="N920" s="5" t="s">
        <v>1672</v>
      </c>
    </row>
    <row r="921" spans="1:14" s="5" customFormat="1" ht="20.100000000000001" customHeight="1" x14ac:dyDescent="0.25">
      <c r="A921" s="14" t="s">
        <v>10</v>
      </c>
      <c r="B921" s="16" t="s">
        <v>20</v>
      </c>
      <c r="C921" s="25" t="s">
        <v>60</v>
      </c>
      <c r="D921" s="6" t="s">
        <v>20</v>
      </c>
      <c r="E921" s="37"/>
      <c r="F921" s="37"/>
      <c r="G921" s="37"/>
      <c r="H921" s="37"/>
      <c r="I921" s="48"/>
      <c r="J921" s="103"/>
      <c r="K921" s="104"/>
      <c r="L921" s="105"/>
      <c r="M921" s="106" t="str">
        <f t="shared" si="350"/>
        <v/>
      </c>
      <c r="N921" s="5" t="s">
        <v>1673</v>
      </c>
    </row>
    <row r="922" spans="1:14" s="5" customFormat="1" ht="30" customHeight="1" x14ac:dyDescent="0.25">
      <c r="A922" s="14" t="s">
        <v>10</v>
      </c>
      <c r="B922" s="16" t="s">
        <v>20</v>
      </c>
      <c r="C922" s="25" t="s">
        <v>61</v>
      </c>
      <c r="D922" s="12" t="s">
        <v>25</v>
      </c>
      <c r="E922" s="38">
        <v>0</v>
      </c>
      <c r="F922" s="39">
        <v>0</v>
      </c>
      <c r="G922" s="40">
        <v>0</v>
      </c>
      <c r="H922" s="41">
        <v>0</v>
      </c>
      <c r="I922" s="42">
        <f>SUM(E922:H922)</f>
        <v>0</v>
      </c>
      <c r="J922" s="103" t="str">
        <f>IFERROR(E922/$I922*100,"")</f>
        <v/>
      </c>
      <c r="K922" s="104" t="str">
        <f>IFERROR(F922/$I922*100,"")</f>
        <v/>
      </c>
      <c r="L922" s="105" t="str">
        <f>IFERROR(G922/$I922*100,"")</f>
        <v/>
      </c>
      <c r="M922" s="106" t="str">
        <f t="shared" si="350"/>
        <v/>
      </c>
      <c r="N922" s="5" t="s">
        <v>1671</v>
      </c>
    </row>
    <row r="923" spans="1:14" ht="5.0999999999999996" customHeight="1" x14ac:dyDescent="0.25">
      <c r="A923" s="14" t="s">
        <v>10</v>
      </c>
      <c r="B923" s="16" t="s">
        <v>20</v>
      </c>
      <c r="C923"/>
      <c r="D923" s="57"/>
      <c r="E923" s="59"/>
      <c r="F923" s="59"/>
      <c r="G923" s="59"/>
      <c r="H923" s="59"/>
      <c r="I923" s="59"/>
      <c r="J923" s="103"/>
      <c r="K923" s="104"/>
      <c r="L923" s="105"/>
      <c r="M923" s="106" t="str">
        <f t="shared" si="350"/>
        <v/>
      </c>
    </row>
    <row r="924" spans="1:14" s="5" customFormat="1" ht="20.100000000000001" customHeight="1" x14ac:dyDescent="0.25">
      <c r="A924" s="14" t="s">
        <v>10</v>
      </c>
      <c r="B924" s="16" t="s">
        <v>26</v>
      </c>
      <c r="C924" s="25" t="s">
        <v>60</v>
      </c>
      <c r="D924" s="6" t="s">
        <v>98</v>
      </c>
      <c r="E924" s="37"/>
      <c r="F924" s="37"/>
      <c r="G924" s="37"/>
      <c r="H924" s="37"/>
      <c r="I924" s="47"/>
      <c r="J924" s="103"/>
      <c r="K924" s="104"/>
      <c r="L924" s="105"/>
      <c r="M924" s="106" t="str">
        <f t="shared" si="350"/>
        <v/>
      </c>
      <c r="N924" s="5" t="s">
        <v>1673</v>
      </c>
    </row>
    <row r="925" spans="1:14" s="5" customFormat="1" ht="30" customHeight="1" x14ac:dyDescent="0.25">
      <c r="A925" s="14" t="s">
        <v>10</v>
      </c>
      <c r="B925" s="16" t="s">
        <v>26</v>
      </c>
      <c r="C925" s="25" t="s">
        <v>61</v>
      </c>
      <c r="D925" s="31" t="s">
        <v>21</v>
      </c>
      <c r="E925" s="38">
        <v>0</v>
      </c>
      <c r="F925" s="39">
        <v>0</v>
      </c>
      <c r="G925" s="40">
        <v>0</v>
      </c>
      <c r="H925" s="41">
        <v>0</v>
      </c>
      <c r="I925" s="42">
        <f t="shared" ref="I925:I932" si="355">SUM(E925:H925)</f>
        <v>0</v>
      </c>
      <c r="J925" s="103" t="str">
        <f t="shared" ref="J925:L932" si="356">IFERROR(E925/$I925*100,"")</f>
        <v/>
      </c>
      <c r="K925" s="104" t="str">
        <f t="shared" si="356"/>
        <v/>
      </c>
      <c r="L925" s="105" t="str">
        <f t="shared" si="356"/>
        <v/>
      </c>
      <c r="M925" s="106" t="str">
        <f t="shared" si="350"/>
        <v/>
      </c>
    </row>
    <row r="926" spans="1:14" s="5" customFormat="1" ht="30" customHeight="1" x14ac:dyDescent="0.25">
      <c r="A926" s="14" t="s">
        <v>10</v>
      </c>
      <c r="B926" s="16" t="s">
        <v>26</v>
      </c>
      <c r="C926" s="25" t="s">
        <v>61</v>
      </c>
      <c r="D926" s="31" t="s">
        <v>22</v>
      </c>
      <c r="E926" s="38">
        <v>0</v>
      </c>
      <c r="F926" s="39">
        <v>0</v>
      </c>
      <c r="G926" s="40">
        <v>0</v>
      </c>
      <c r="H926" s="41">
        <v>0</v>
      </c>
      <c r="I926" s="42">
        <f t="shared" si="355"/>
        <v>0</v>
      </c>
      <c r="J926" s="103" t="str">
        <f t="shared" si="356"/>
        <v/>
      </c>
      <c r="K926" s="104" t="str">
        <f t="shared" si="356"/>
        <v/>
      </c>
      <c r="L926" s="105" t="str">
        <f t="shared" si="356"/>
        <v/>
      </c>
      <c r="M926" s="106" t="str">
        <f t="shared" si="350"/>
        <v/>
      </c>
    </row>
    <row r="927" spans="1:14" s="5" customFormat="1" ht="30" customHeight="1" x14ac:dyDescent="0.25">
      <c r="A927" s="14" t="s">
        <v>10</v>
      </c>
      <c r="B927" s="16" t="s">
        <v>26</v>
      </c>
      <c r="C927" s="25" t="s">
        <v>61</v>
      </c>
      <c r="D927" s="31" t="s">
        <v>27</v>
      </c>
      <c r="E927" s="38">
        <v>0</v>
      </c>
      <c r="F927" s="39">
        <v>0</v>
      </c>
      <c r="G927" s="40">
        <v>0</v>
      </c>
      <c r="H927" s="41">
        <v>0</v>
      </c>
      <c r="I927" s="42">
        <f t="shared" si="355"/>
        <v>0</v>
      </c>
      <c r="J927" s="103" t="str">
        <f t="shared" si="356"/>
        <v/>
      </c>
      <c r="K927" s="104" t="str">
        <f t="shared" si="356"/>
        <v/>
      </c>
      <c r="L927" s="105" t="str">
        <f t="shared" si="356"/>
        <v/>
      </c>
      <c r="M927" s="106" t="str">
        <f t="shared" si="350"/>
        <v/>
      </c>
    </row>
    <row r="928" spans="1:14" s="5" customFormat="1" ht="30" customHeight="1" x14ac:dyDescent="0.25">
      <c r="A928" s="14" t="s">
        <v>10</v>
      </c>
      <c r="B928" s="16" t="s">
        <v>26</v>
      </c>
      <c r="C928" s="25" t="s">
        <v>61</v>
      </c>
      <c r="D928" s="31" t="s">
        <v>23</v>
      </c>
      <c r="E928" s="38">
        <v>0</v>
      </c>
      <c r="F928" s="39">
        <v>0</v>
      </c>
      <c r="G928" s="40">
        <v>0</v>
      </c>
      <c r="H928" s="41">
        <v>0</v>
      </c>
      <c r="I928" s="42">
        <f t="shared" si="355"/>
        <v>0</v>
      </c>
      <c r="J928" s="103" t="str">
        <f t="shared" si="356"/>
        <v/>
      </c>
      <c r="K928" s="104" t="str">
        <f t="shared" si="356"/>
        <v/>
      </c>
      <c r="L928" s="105" t="str">
        <f t="shared" si="356"/>
        <v/>
      </c>
      <c r="M928" s="106" t="str">
        <f t="shared" si="350"/>
        <v/>
      </c>
    </row>
    <row r="929" spans="1:14" s="5" customFormat="1" ht="30" customHeight="1" x14ac:dyDescent="0.25">
      <c r="A929" s="14" t="s">
        <v>10</v>
      </c>
      <c r="B929" s="16" t="s">
        <v>26</v>
      </c>
      <c r="C929" s="25" t="s">
        <v>61</v>
      </c>
      <c r="D929" s="31" t="s">
        <v>24</v>
      </c>
      <c r="E929" s="38">
        <v>0</v>
      </c>
      <c r="F929" s="39">
        <v>0</v>
      </c>
      <c r="G929" s="40">
        <v>0</v>
      </c>
      <c r="H929" s="41">
        <v>0</v>
      </c>
      <c r="I929" s="42">
        <f t="shared" si="355"/>
        <v>0</v>
      </c>
      <c r="J929" s="103" t="str">
        <f t="shared" si="356"/>
        <v/>
      </c>
      <c r="K929" s="104" t="str">
        <f t="shared" si="356"/>
        <v/>
      </c>
      <c r="L929" s="105" t="str">
        <f t="shared" si="356"/>
        <v/>
      </c>
      <c r="M929" s="106" t="str">
        <f t="shared" si="350"/>
        <v/>
      </c>
    </row>
    <row r="930" spans="1:14" s="3" customFormat="1" ht="30" customHeight="1" x14ac:dyDescent="0.25">
      <c r="A930" s="14" t="s">
        <v>10</v>
      </c>
      <c r="B930" s="16" t="s">
        <v>26</v>
      </c>
      <c r="C930" s="25" t="s">
        <v>61</v>
      </c>
      <c r="D930" s="31" t="s">
        <v>41</v>
      </c>
      <c r="E930" s="38">
        <v>0</v>
      </c>
      <c r="F930" s="39">
        <v>0</v>
      </c>
      <c r="G930" s="40">
        <v>0</v>
      </c>
      <c r="H930" s="41">
        <v>0</v>
      </c>
      <c r="I930" s="42">
        <f t="shared" si="355"/>
        <v>0</v>
      </c>
      <c r="J930" s="103" t="str">
        <f t="shared" si="356"/>
        <v/>
      </c>
      <c r="K930" s="104" t="str">
        <f t="shared" si="356"/>
        <v/>
      </c>
      <c r="L930" s="105" t="str">
        <f t="shared" si="356"/>
        <v/>
      </c>
      <c r="M930" s="106" t="str">
        <f t="shared" si="350"/>
        <v/>
      </c>
    </row>
    <row r="931" spans="1:14" s="5" customFormat="1" ht="30" customHeight="1" x14ac:dyDescent="0.25">
      <c r="A931" s="14" t="s">
        <v>10</v>
      </c>
      <c r="B931" s="16" t="s">
        <v>26</v>
      </c>
      <c r="C931" s="25" t="s">
        <v>61</v>
      </c>
      <c r="D931" s="31" t="s">
        <v>28</v>
      </c>
      <c r="E931" s="38">
        <v>0</v>
      </c>
      <c r="F931" s="39">
        <v>0</v>
      </c>
      <c r="G931" s="40">
        <v>0</v>
      </c>
      <c r="H931" s="41">
        <v>0</v>
      </c>
      <c r="I931" s="42">
        <f t="shared" si="355"/>
        <v>0</v>
      </c>
      <c r="J931" s="103" t="str">
        <f t="shared" si="356"/>
        <v/>
      </c>
      <c r="K931" s="104" t="str">
        <f t="shared" si="356"/>
        <v/>
      </c>
      <c r="L931" s="105" t="str">
        <f t="shared" si="356"/>
        <v/>
      </c>
      <c r="M931" s="106" t="str">
        <f t="shared" si="350"/>
        <v/>
      </c>
    </row>
    <row r="932" spans="1:14" s="5" customFormat="1" ht="30" customHeight="1" x14ac:dyDescent="0.25">
      <c r="A932" s="14" t="s">
        <v>10</v>
      </c>
      <c r="B932" s="16" t="s">
        <v>26</v>
      </c>
      <c r="C932" s="25" t="s">
        <v>61</v>
      </c>
      <c r="D932" s="31" t="s">
        <v>40</v>
      </c>
      <c r="E932" s="38">
        <v>0</v>
      </c>
      <c r="F932" s="39">
        <v>0</v>
      </c>
      <c r="G932" s="40">
        <v>0</v>
      </c>
      <c r="H932" s="41">
        <v>0</v>
      </c>
      <c r="I932" s="42">
        <f t="shared" si="355"/>
        <v>0</v>
      </c>
      <c r="J932" s="103" t="str">
        <f t="shared" si="356"/>
        <v/>
      </c>
      <c r="K932" s="104" t="str">
        <f t="shared" si="356"/>
        <v/>
      </c>
      <c r="L932" s="105" t="str">
        <f t="shared" si="356"/>
        <v/>
      </c>
      <c r="M932" s="106" t="str">
        <f t="shared" si="350"/>
        <v/>
      </c>
    </row>
    <row r="933" spans="1:14" s="5" customFormat="1" ht="30" customHeight="1" x14ac:dyDescent="0.25">
      <c r="A933" s="14" t="s">
        <v>10</v>
      </c>
      <c r="B933" s="16" t="s">
        <v>26</v>
      </c>
      <c r="C933" s="25"/>
      <c r="D933" s="9" t="s">
        <v>29</v>
      </c>
      <c r="E933" s="38">
        <f>SUM(E925:E932)</f>
        <v>0</v>
      </c>
      <c r="F933" s="39">
        <f t="shared" ref="F933" si="357">SUM(F925:F932)</f>
        <v>0</v>
      </c>
      <c r="G933" s="40">
        <f t="shared" ref="G933" si="358">SUM(G925:G932)</f>
        <v>0</v>
      </c>
      <c r="H933" s="41">
        <f t="shared" ref="H933" si="359">SUM(H925:H932)</f>
        <v>0</v>
      </c>
      <c r="I933" s="43">
        <f t="shared" ref="I933" si="360">SUM(I925:I932)</f>
        <v>0</v>
      </c>
      <c r="J933" s="103" t="str">
        <f>IFERROR(E933/SUM($E933:$H933)*100,"")</f>
        <v/>
      </c>
      <c r="K933" s="104" t="str">
        <f>IFERROR(F933/SUM($E933:$H933)*100,"")</f>
        <v/>
      </c>
      <c r="L933" s="105" t="str">
        <f>IFERROR(G933/SUM($E933:$H933)*100,"")</f>
        <v/>
      </c>
      <c r="M933" s="106" t="str">
        <f t="shared" si="350"/>
        <v/>
      </c>
      <c r="N933" s="5" t="s">
        <v>1671</v>
      </c>
    </row>
    <row r="934" spans="1:14" ht="5.0999999999999996" customHeight="1" x14ac:dyDescent="0.25">
      <c r="A934" s="14" t="s">
        <v>10</v>
      </c>
      <c r="B934" s="16" t="s">
        <v>26</v>
      </c>
      <c r="C934"/>
      <c r="D934" s="57"/>
      <c r="E934" s="59"/>
      <c r="F934" s="59"/>
      <c r="G934" s="59"/>
      <c r="H934" s="59"/>
      <c r="I934" s="59"/>
      <c r="J934" s="103"/>
      <c r="K934" s="104"/>
      <c r="L934" s="105"/>
      <c r="M934" s="106" t="str">
        <f t="shared" si="350"/>
        <v/>
      </c>
    </row>
    <row r="935" spans="1:14" s="5" customFormat="1" ht="20.100000000000001" customHeight="1" x14ac:dyDescent="0.25">
      <c r="A935" s="14" t="s">
        <v>10</v>
      </c>
      <c r="B935" s="16" t="s">
        <v>64</v>
      </c>
      <c r="C935" s="25" t="s">
        <v>60</v>
      </c>
      <c r="D935" s="6" t="s">
        <v>65</v>
      </c>
      <c r="E935" s="37"/>
      <c r="F935" s="37"/>
      <c r="G935" s="37"/>
      <c r="H935" s="37"/>
      <c r="I935" s="48"/>
      <c r="J935" s="103"/>
      <c r="K935" s="104"/>
      <c r="L935" s="105"/>
      <c r="M935" s="106" t="str">
        <f t="shared" si="350"/>
        <v/>
      </c>
      <c r="N935" s="5" t="s">
        <v>1673</v>
      </c>
    </row>
    <row r="936" spans="1:14" s="5" customFormat="1" ht="30" customHeight="1" x14ac:dyDescent="0.25">
      <c r="A936" s="14" t="s">
        <v>10</v>
      </c>
      <c r="B936" s="16" t="s">
        <v>64</v>
      </c>
      <c r="C936" s="25" t="s">
        <v>61</v>
      </c>
      <c r="D936" s="12" t="s">
        <v>66</v>
      </c>
      <c r="E936" s="38">
        <v>0</v>
      </c>
      <c r="F936" s="39">
        <v>0</v>
      </c>
      <c r="G936" s="40">
        <v>0</v>
      </c>
      <c r="H936" s="41">
        <v>0</v>
      </c>
      <c r="I936" s="42">
        <f>SUM(E936:H936)</f>
        <v>0</v>
      </c>
      <c r="J936" s="103" t="str">
        <f>IFERROR(E936/$I936*100,"")</f>
        <v/>
      </c>
      <c r="K936" s="104" t="str">
        <f>IFERROR(F936/$I936*100,"")</f>
        <v/>
      </c>
      <c r="L936" s="105" t="str">
        <f>IFERROR(G936/$I936*100,"")</f>
        <v/>
      </c>
      <c r="M936" s="106" t="str">
        <f t="shared" si="350"/>
        <v/>
      </c>
      <c r="N936" s="5" t="s">
        <v>1671</v>
      </c>
    </row>
    <row r="937" spans="1:14" ht="5.0999999999999996" customHeight="1" x14ac:dyDescent="0.25">
      <c r="A937" s="14" t="s">
        <v>10</v>
      </c>
      <c r="B937" s="16" t="s">
        <v>64</v>
      </c>
      <c r="C937"/>
      <c r="J937" s="103"/>
      <c r="K937" s="104"/>
      <c r="L937" s="105"/>
      <c r="M937" s="106" t="str">
        <f t="shared" si="350"/>
        <v/>
      </c>
    </row>
    <row r="938" spans="1:14" s="5" customFormat="1" ht="20.100000000000001" customHeight="1" x14ac:dyDescent="0.25">
      <c r="A938" s="14" t="s">
        <v>10</v>
      </c>
      <c r="B938" s="16" t="s">
        <v>55</v>
      </c>
      <c r="C938" s="25" t="s">
        <v>60</v>
      </c>
      <c r="D938" s="6" t="s">
        <v>55</v>
      </c>
      <c r="E938" s="37"/>
      <c r="F938" s="37"/>
      <c r="G938" s="37"/>
      <c r="H938" s="37"/>
      <c r="I938" s="48"/>
      <c r="J938" s="103"/>
      <c r="K938" s="104"/>
      <c r="L938" s="105"/>
      <c r="M938" s="106" t="str">
        <f t="shared" si="350"/>
        <v/>
      </c>
      <c r="N938" s="5" t="s">
        <v>1673</v>
      </c>
    </row>
    <row r="939" spans="1:14" s="3" customFormat="1" ht="30" customHeight="1" x14ac:dyDescent="0.25">
      <c r="A939" s="14" t="s">
        <v>10</v>
      </c>
      <c r="B939" s="16" t="s">
        <v>55</v>
      </c>
      <c r="C939" s="25" t="s">
        <v>61</v>
      </c>
      <c r="D939" s="12" t="s">
        <v>56</v>
      </c>
      <c r="E939" s="38">
        <v>0</v>
      </c>
      <c r="F939" s="39">
        <v>0</v>
      </c>
      <c r="G939" s="40">
        <v>0</v>
      </c>
      <c r="H939" s="41">
        <v>0</v>
      </c>
      <c r="I939" s="42">
        <f>SUM(E939:H939)</f>
        <v>0</v>
      </c>
      <c r="J939" s="103" t="str">
        <f t="shared" ref="J939:L941" si="361">IFERROR(E939/$I939*100,"")</f>
        <v/>
      </c>
      <c r="K939" s="104" t="str">
        <f t="shared" si="361"/>
        <v/>
      </c>
      <c r="L939" s="105" t="str">
        <f t="shared" si="361"/>
        <v/>
      </c>
      <c r="M939" s="106" t="str">
        <f t="shared" si="350"/>
        <v/>
      </c>
      <c r="N939" s="5"/>
    </row>
    <row r="940" spans="1:14" s="3" customFormat="1" ht="30" customHeight="1" x14ac:dyDescent="0.25">
      <c r="A940" s="14" t="s">
        <v>10</v>
      </c>
      <c r="B940" s="16" t="s">
        <v>55</v>
      </c>
      <c r="C940" s="25" t="s">
        <v>61</v>
      </c>
      <c r="D940" s="12" t="s">
        <v>57</v>
      </c>
      <c r="E940" s="38">
        <v>0</v>
      </c>
      <c r="F940" s="39">
        <v>0</v>
      </c>
      <c r="G940" s="40">
        <v>0</v>
      </c>
      <c r="H940" s="41">
        <v>0</v>
      </c>
      <c r="I940" s="42">
        <f>SUM(E940:H940)</f>
        <v>0</v>
      </c>
      <c r="J940" s="103" t="str">
        <f t="shared" si="361"/>
        <v/>
      </c>
      <c r="K940" s="104" t="str">
        <f t="shared" si="361"/>
        <v/>
      </c>
      <c r="L940" s="105" t="str">
        <f t="shared" si="361"/>
        <v/>
      </c>
      <c r="M940" s="106" t="str">
        <f t="shared" si="350"/>
        <v/>
      </c>
    </row>
    <row r="941" spans="1:14" s="3" customFormat="1" ht="30" customHeight="1" x14ac:dyDescent="0.25">
      <c r="A941" s="14" t="s">
        <v>10</v>
      </c>
      <c r="B941" s="16" t="s">
        <v>55</v>
      </c>
      <c r="C941" s="25"/>
      <c r="D941" s="91" t="s">
        <v>29</v>
      </c>
      <c r="E941" s="38">
        <f>SUM(E939:E940)</f>
        <v>0</v>
      </c>
      <c r="F941" s="39">
        <f t="shared" ref="F941" si="362">SUM(F939:F940)</f>
        <v>0</v>
      </c>
      <c r="G941" s="40">
        <f t="shared" ref="G941" si="363">SUM(G939:G940)</f>
        <v>0</v>
      </c>
      <c r="H941" s="41">
        <f t="shared" ref="H941" si="364">SUM(H939:H940)</f>
        <v>0</v>
      </c>
      <c r="I941" s="42">
        <f t="shared" ref="I941" si="365">SUM(I939:I940)</f>
        <v>0</v>
      </c>
      <c r="J941" s="103" t="str">
        <f t="shared" si="361"/>
        <v/>
      </c>
      <c r="K941" s="104" t="str">
        <f t="shared" si="361"/>
        <v/>
      </c>
      <c r="L941" s="105" t="str">
        <f t="shared" si="361"/>
        <v/>
      </c>
      <c r="M941" s="106" t="str">
        <f t="shared" si="350"/>
        <v/>
      </c>
      <c r="N941" s="5" t="s">
        <v>1671</v>
      </c>
    </row>
    <row r="942" spans="1:14" ht="5.0999999999999996" customHeight="1" x14ac:dyDescent="0.25">
      <c r="A942" s="14" t="s">
        <v>10</v>
      </c>
      <c r="B942" s="16" t="s">
        <v>55</v>
      </c>
      <c r="C942"/>
      <c r="D942" s="57"/>
      <c r="E942" s="59"/>
      <c r="F942" s="59"/>
      <c r="G942" s="59"/>
      <c r="H942" s="59"/>
      <c r="I942" s="59"/>
      <c r="J942" s="103"/>
      <c r="K942" s="104"/>
      <c r="L942" s="105"/>
      <c r="M942" s="106" t="str">
        <f t="shared" si="350"/>
        <v/>
      </c>
    </row>
    <row r="943" spans="1:14" s="5" customFormat="1" ht="20.100000000000001" customHeight="1" x14ac:dyDescent="0.25">
      <c r="A943" s="14" t="s">
        <v>10</v>
      </c>
      <c r="B943" s="16" t="s">
        <v>74</v>
      </c>
      <c r="C943" s="25" t="s">
        <v>60</v>
      </c>
      <c r="D943" s="6" t="s">
        <v>75</v>
      </c>
      <c r="E943" s="37"/>
      <c r="F943" s="37"/>
      <c r="G943" s="37"/>
      <c r="H943" s="37"/>
      <c r="I943" s="48"/>
      <c r="J943" s="103"/>
      <c r="K943" s="104"/>
      <c r="L943" s="105"/>
      <c r="M943" s="106" t="str">
        <f t="shared" si="350"/>
        <v/>
      </c>
      <c r="N943" s="5" t="s">
        <v>1673</v>
      </c>
    </row>
    <row r="944" spans="1:14" s="3" customFormat="1" ht="30" customHeight="1" x14ac:dyDescent="0.25">
      <c r="A944" s="14" t="s">
        <v>10</v>
      </c>
      <c r="B944" s="16" t="s">
        <v>74</v>
      </c>
      <c r="C944" s="25" t="s">
        <v>61</v>
      </c>
      <c r="D944" s="12" t="s">
        <v>77</v>
      </c>
      <c r="E944" s="38">
        <v>0</v>
      </c>
      <c r="F944" s="39">
        <v>0</v>
      </c>
      <c r="G944" s="40">
        <v>0</v>
      </c>
      <c r="H944" s="41">
        <v>0</v>
      </c>
      <c r="I944" s="42">
        <f>SUM(E944:H944)</f>
        <v>0</v>
      </c>
      <c r="J944" s="103" t="str">
        <f>IFERROR(E944/$I944*100,"")</f>
        <v/>
      </c>
      <c r="K944" s="104" t="str">
        <f>IFERROR(F944/$I944*100,"")</f>
        <v/>
      </c>
      <c r="L944" s="105" t="str">
        <f>IFERROR(G944/$I944*100,"")</f>
        <v/>
      </c>
      <c r="M944" s="106" t="str">
        <f t="shared" si="350"/>
        <v/>
      </c>
      <c r="N944" s="3" t="s">
        <v>1671</v>
      </c>
    </row>
    <row r="945" spans="1:14" ht="5.0999999999999996" customHeight="1" x14ac:dyDescent="0.25">
      <c r="A945" s="14" t="s">
        <v>10</v>
      </c>
      <c r="B945" s="16" t="s">
        <v>74</v>
      </c>
      <c r="C945"/>
      <c r="D945" s="57"/>
      <c r="E945" s="59"/>
      <c r="F945" s="59"/>
      <c r="G945" s="59"/>
      <c r="H945" s="59"/>
      <c r="I945" s="59"/>
      <c r="J945" s="103"/>
      <c r="K945" s="104"/>
      <c r="L945" s="105"/>
      <c r="M945" s="106" t="str">
        <f t="shared" si="350"/>
        <v/>
      </c>
    </row>
    <row r="946" spans="1:14" s="5" customFormat="1" ht="20.100000000000001" customHeight="1" x14ac:dyDescent="0.25">
      <c r="A946" s="14" t="s">
        <v>10</v>
      </c>
      <c r="B946" s="16" t="s">
        <v>78</v>
      </c>
      <c r="C946" s="25" t="s">
        <v>60</v>
      </c>
      <c r="D946" s="6" t="s">
        <v>80</v>
      </c>
      <c r="E946" s="37"/>
      <c r="F946" s="37"/>
      <c r="G946" s="37"/>
      <c r="H946" s="37"/>
      <c r="I946" s="48"/>
      <c r="J946" s="103"/>
      <c r="K946" s="104"/>
      <c r="L946" s="105"/>
      <c r="M946" s="106" t="str">
        <f t="shared" si="350"/>
        <v/>
      </c>
      <c r="N946" s="5" t="s">
        <v>1673</v>
      </c>
    </row>
    <row r="947" spans="1:14" s="5" customFormat="1" ht="30" customHeight="1" x14ac:dyDescent="0.25">
      <c r="A947" s="14" t="s">
        <v>10</v>
      </c>
      <c r="B947" s="16" t="s">
        <v>78</v>
      </c>
      <c r="C947" s="25" t="s">
        <v>61</v>
      </c>
      <c r="D947" s="81" t="s">
        <v>81</v>
      </c>
      <c r="E947" s="38">
        <v>0</v>
      </c>
      <c r="F947" s="39">
        <v>0</v>
      </c>
      <c r="G947" s="40">
        <v>0</v>
      </c>
      <c r="H947" s="41">
        <v>0</v>
      </c>
      <c r="I947" s="42">
        <f t="shared" ref="I947:I953" si="366">SUM(E947:H947)</f>
        <v>0</v>
      </c>
      <c r="J947" s="103" t="str">
        <f t="shared" ref="J947:L953" si="367">IFERROR(E947/$I947*100,"")</f>
        <v/>
      </c>
      <c r="K947" s="104" t="str">
        <f t="shared" si="367"/>
        <v/>
      </c>
      <c r="L947" s="105" t="str">
        <f t="shared" si="367"/>
        <v/>
      </c>
      <c r="M947" s="106" t="str">
        <f t="shared" si="350"/>
        <v/>
      </c>
    </row>
    <row r="948" spans="1:14" s="5" customFormat="1" ht="30" customHeight="1" x14ac:dyDescent="0.25">
      <c r="A948" s="14" t="s">
        <v>10</v>
      </c>
      <c r="B948" s="16" t="s">
        <v>78</v>
      </c>
      <c r="C948" s="25" t="s">
        <v>61</v>
      </c>
      <c r="D948" s="81" t="s">
        <v>82</v>
      </c>
      <c r="E948" s="38">
        <v>0</v>
      </c>
      <c r="F948" s="39">
        <v>0</v>
      </c>
      <c r="G948" s="40">
        <v>0</v>
      </c>
      <c r="H948" s="41">
        <v>0</v>
      </c>
      <c r="I948" s="42">
        <f t="shared" si="366"/>
        <v>0</v>
      </c>
      <c r="J948" s="103" t="str">
        <f t="shared" si="367"/>
        <v/>
      </c>
      <c r="K948" s="104" t="str">
        <f t="shared" si="367"/>
        <v/>
      </c>
      <c r="L948" s="105" t="str">
        <f t="shared" si="367"/>
        <v/>
      </c>
      <c r="M948" s="106" t="str">
        <f t="shared" si="350"/>
        <v/>
      </c>
    </row>
    <row r="949" spans="1:14" s="5" customFormat="1" ht="30" customHeight="1" x14ac:dyDescent="0.25">
      <c r="A949" s="14" t="s">
        <v>10</v>
      </c>
      <c r="B949" s="16" t="s">
        <v>78</v>
      </c>
      <c r="C949" s="25" t="s">
        <v>61</v>
      </c>
      <c r="D949" s="81" t="s">
        <v>83</v>
      </c>
      <c r="E949" s="38">
        <v>0</v>
      </c>
      <c r="F949" s="39">
        <v>0</v>
      </c>
      <c r="G949" s="40">
        <v>0</v>
      </c>
      <c r="H949" s="41">
        <v>0</v>
      </c>
      <c r="I949" s="42">
        <f t="shared" si="366"/>
        <v>0</v>
      </c>
      <c r="J949" s="103" t="str">
        <f t="shared" si="367"/>
        <v/>
      </c>
      <c r="K949" s="104" t="str">
        <f t="shared" si="367"/>
        <v/>
      </c>
      <c r="L949" s="105" t="str">
        <f t="shared" si="367"/>
        <v/>
      </c>
      <c r="M949" s="106" t="str">
        <f t="shared" si="350"/>
        <v/>
      </c>
    </row>
    <row r="950" spans="1:14" s="5" customFormat="1" ht="30" customHeight="1" x14ac:dyDescent="0.25">
      <c r="A950" s="14" t="s">
        <v>10</v>
      </c>
      <c r="B950" s="16" t="s">
        <v>78</v>
      </c>
      <c r="C950" s="25" t="s">
        <v>61</v>
      </c>
      <c r="D950" s="81" t="s">
        <v>88</v>
      </c>
      <c r="E950" s="38">
        <v>0</v>
      </c>
      <c r="F950" s="39">
        <v>0</v>
      </c>
      <c r="G950" s="40">
        <v>0</v>
      </c>
      <c r="H950" s="41">
        <v>0</v>
      </c>
      <c r="I950" s="42">
        <f t="shared" si="366"/>
        <v>0</v>
      </c>
      <c r="J950" s="103" t="str">
        <f t="shared" si="367"/>
        <v/>
      </c>
      <c r="K950" s="104" t="str">
        <f t="shared" si="367"/>
        <v/>
      </c>
      <c r="L950" s="105" t="str">
        <f t="shared" si="367"/>
        <v/>
      </c>
      <c r="M950" s="106" t="str">
        <f t="shared" si="350"/>
        <v/>
      </c>
    </row>
    <row r="951" spans="1:14" s="5" customFormat="1" ht="30" customHeight="1" x14ac:dyDescent="0.25">
      <c r="A951" s="14" t="s">
        <v>10</v>
      </c>
      <c r="B951" s="16" t="s">
        <v>78</v>
      </c>
      <c r="C951" s="25" t="s">
        <v>61</v>
      </c>
      <c r="D951" s="81" t="s">
        <v>87</v>
      </c>
      <c r="E951" s="38">
        <v>0</v>
      </c>
      <c r="F951" s="39">
        <v>0</v>
      </c>
      <c r="G951" s="40">
        <v>0</v>
      </c>
      <c r="H951" s="41">
        <v>0</v>
      </c>
      <c r="I951" s="42">
        <f t="shared" si="366"/>
        <v>0</v>
      </c>
      <c r="J951" s="103" t="str">
        <f t="shared" si="367"/>
        <v/>
      </c>
      <c r="K951" s="104" t="str">
        <f t="shared" si="367"/>
        <v/>
      </c>
      <c r="L951" s="105" t="str">
        <f t="shared" si="367"/>
        <v/>
      </c>
      <c r="M951" s="106" t="str">
        <f t="shared" si="350"/>
        <v/>
      </c>
    </row>
    <row r="952" spans="1:14" s="5" customFormat="1" ht="30" customHeight="1" x14ac:dyDescent="0.25">
      <c r="A952" s="14" t="s">
        <v>10</v>
      </c>
      <c r="B952" s="16" t="s">
        <v>78</v>
      </c>
      <c r="C952" s="25" t="s">
        <v>61</v>
      </c>
      <c r="D952" s="81" t="s">
        <v>84</v>
      </c>
      <c r="E952" s="38">
        <v>0</v>
      </c>
      <c r="F952" s="39">
        <v>0</v>
      </c>
      <c r="G952" s="40">
        <v>0</v>
      </c>
      <c r="H952" s="41">
        <v>0</v>
      </c>
      <c r="I952" s="42">
        <f t="shared" si="366"/>
        <v>0</v>
      </c>
      <c r="J952" s="103" t="str">
        <f t="shared" si="367"/>
        <v/>
      </c>
      <c r="K952" s="104" t="str">
        <f t="shared" si="367"/>
        <v/>
      </c>
      <c r="L952" s="105" t="str">
        <f t="shared" si="367"/>
        <v/>
      </c>
      <c r="M952" s="106" t="str">
        <f t="shared" si="350"/>
        <v/>
      </c>
    </row>
    <row r="953" spans="1:14" s="5" customFormat="1" ht="30" customHeight="1" x14ac:dyDescent="0.25">
      <c r="A953" s="14" t="s">
        <v>10</v>
      </c>
      <c r="B953" s="16" t="s">
        <v>78</v>
      </c>
      <c r="C953" s="25" t="s">
        <v>86</v>
      </c>
      <c r="D953" s="81" t="s">
        <v>79</v>
      </c>
      <c r="E953" s="38">
        <v>0</v>
      </c>
      <c r="F953" s="39">
        <v>0</v>
      </c>
      <c r="G953" s="40">
        <v>0</v>
      </c>
      <c r="H953" s="41">
        <v>0</v>
      </c>
      <c r="I953" s="42">
        <f t="shared" si="366"/>
        <v>0</v>
      </c>
      <c r="J953" s="103" t="str">
        <f t="shared" si="367"/>
        <v/>
      </c>
      <c r="K953" s="104" t="str">
        <f t="shared" si="367"/>
        <v/>
      </c>
      <c r="L953" s="105" t="str">
        <f t="shared" si="367"/>
        <v/>
      </c>
      <c r="M953" s="106" t="str">
        <f t="shared" si="350"/>
        <v/>
      </c>
      <c r="N953" s="5" t="s">
        <v>1671</v>
      </c>
    </row>
    <row r="954" spans="1:14" ht="5.0999999999999996" customHeight="1" x14ac:dyDescent="0.25">
      <c r="A954" s="14" t="s">
        <v>10</v>
      </c>
      <c r="B954" s="16" t="s">
        <v>78</v>
      </c>
      <c r="C954"/>
      <c r="D954" s="57"/>
      <c r="E954" s="59"/>
      <c r="F954" s="59"/>
      <c r="G954" s="59"/>
      <c r="H954" s="59"/>
      <c r="I954" s="59"/>
      <c r="J954" s="103"/>
      <c r="K954" s="104"/>
      <c r="L954" s="105"/>
      <c r="M954" s="106" t="str">
        <f t="shared" si="350"/>
        <v/>
      </c>
    </row>
    <row r="955" spans="1:14" s="5" customFormat="1" ht="20.100000000000001" customHeight="1" x14ac:dyDescent="0.25">
      <c r="A955" s="14" t="s">
        <v>10</v>
      </c>
      <c r="B955" s="16" t="s">
        <v>91</v>
      </c>
      <c r="C955" s="25" t="s">
        <v>60</v>
      </c>
      <c r="D955" s="6" t="s">
        <v>89</v>
      </c>
      <c r="E955" s="37"/>
      <c r="F955" s="37"/>
      <c r="G955" s="37"/>
      <c r="H955" s="37"/>
      <c r="I955" s="48"/>
      <c r="J955" s="103"/>
      <c r="K955" s="104"/>
      <c r="L955" s="105"/>
      <c r="M955" s="106" t="str">
        <f t="shared" si="350"/>
        <v/>
      </c>
      <c r="N955" s="5" t="s">
        <v>1673</v>
      </c>
    </row>
    <row r="956" spans="1:14" s="5" customFormat="1" ht="30" customHeight="1" x14ac:dyDescent="0.25">
      <c r="A956" s="14" t="s">
        <v>10</v>
      </c>
      <c r="B956" s="16" t="s">
        <v>91</v>
      </c>
      <c r="C956" s="25" t="s">
        <v>61</v>
      </c>
      <c r="D956" s="82" t="s">
        <v>90</v>
      </c>
      <c r="E956" s="38">
        <v>0</v>
      </c>
      <c r="F956" s="39">
        <v>0</v>
      </c>
      <c r="G956" s="40">
        <v>0</v>
      </c>
      <c r="H956" s="41">
        <v>0</v>
      </c>
      <c r="I956" s="42">
        <f t="shared" ref="I956" si="368">SUM(E956:H956)</f>
        <v>0</v>
      </c>
      <c r="J956" s="103" t="str">
        <f>IFERROR(E956/$I956*100,"")</f>
        <v/>
      </c>
      <c r="K956" s="104" t="str">
        <f>IFERROR(F956/$I956*100,"")</f>
        <v/>
      </c>
      <c r="L956" s="105" t="str">
        <f>IFERROR(G956/$I956*100,"")</f>
        <v/>
      </c>
      <c r="M956" s="106" t="str">
        <f t="shared" si="350"/>
        <v/>
      </c>
      <c r="N956" s="5" t="s">
        <v>1671</v>
      </c>
    </row>
    <row r="957" spans="1:14" ht="5.0999999999999996" customHeight="1" x14ac:dyDescent="0.25">
      <c r="A957" s="14" t="s">
        <v>10</v>
      </c>
      <c r="B957" s="16" t="s">
        <v>91</v>
      </c>
      <c r="C957"/>
      <c r="D957" s="57"/>
      <c r="E957" s="59"/>
      <c r="F957" s="59"/>
      <c r="G957" s="59"/>
      <c r="H957" s="59"/>
      <c r="I957" s="59"/>
      <c r="J957" s="103"/>
      <c r="K957" s="104"/>
      <c r="L957" s="105"/>
      <c r="M957" s="106" t="str">
        <f t="shared" si="350"/>
        <v/>
      </c>
    </row>
    <row r="958" spans="1:14" s="5" customFormat="1" ht="20.100000000000001" customHeight="1" x14ac:dyDescent="0.25">
      <c r="A958" s="14" t="s">
        <v>10</v>
      </c>
      <c r="B958" s="16" t="s">
        <v>1916</v>
      </c>
      <c r="C958" s="25" t="s">
        <v>60</v>
      </c>
      <c r="D958" s="6" t="s">
        <v>1853</v>
      </c>
      <c r="E958" s="37"/>
      <c r="F958" s="37"/>
      <c r="G958" s="37"/>
      <c r="H958" s="37"/>
      <c r="I958" s="48"/>
      <c r="J958" s="103"/>
      <c r="K958" s="104"/>
      <c r="L958" s="105"/>
      <c r="M958" s="106" t="str">
        <f t="shared" si="350"/>
        <v/>
      </c>
      <c r="N958" s="5" t="s">
        <v>1673</v>
      </c>
    </row>
    <row r="959" spans="1:14" s="5" customFormat="1" ht="30" customHeight="1" x14ac:dyDescent="0.25">
      <c r="A959" s="14" t="s">
        <v>10</v>
      </c>
      <c r="B959" s="16" t="s">
        <v>1916</v>
      </c>
      <c r="C959" s="25" t="s">
        <v>61</v>
      </c>
      <c r="D959" s="175" t="s">
        <v>1917</v>
      </c>
      <c r="E959" s="38">
        <v>0</v>
      </c>
      <c r="F959" s="39">
        <v>0</v>
      </c>
      <c r="G959" s="40">
        <v>0</v>
      </c>
      <c r="H959" s="41">
        <v>0</v>
      </c>
      <c r="I959" s="42">
        <f t="shared" ref="I959" si="369">SUM(E959:H959)</f>
        <v>0</v>
      </c>
      <c r="J959" s="103" t="str">
        <f>IFERROR(E959/$I959*100,"")</f>
        <v/>
      </c>
      <c r="K959" s="104" t="str">
        <f>IFERROR(F959/$I959*100,"")</f>
        <v/>
      </c>
      <c r="L959" s="105" t="str">
        <f>IFERROR(G959/$I959*100,"")</f>
        <v/>
      </c>
      <c r="M959" s="106" t="str">
        <f t="shared" si="350"/>
        <v/>
      </c>
      <c r="N959" s="5" t="s">
        <v>1671</v>
      </c>
    </row>
    <row r="960" spans="1:14" ht="5.0999999999999996" customHeight="1" x14ac:dyDescent="0.25">
      <c r="A960" s="14" t="s">
        <v>10</v>
      </c>
      <c r="B960" s="16" t="s">
        <v>1916</v>
      </c>
      <c r="C960"/>
      <c r="D960" s="57"/>
      <c r="E960" s="59"/>
      <c r="F960" s="59"/>
      <c r="G960" s="59"/>
      <c r="H960" s="59"/>
      <c r="I960" s="59"/>
      <c r="J960" s="103"/>
      <c r="K960" s="104"/>
      <c r="L960" s="105"/>
      <c r="M960" s="106" t="str">
        <f t="shared" si="350"/>
        <v/>
      </c>
    </row>
    <row r="961" spans="1:14" s="5" customFormat="1" ht="20.100000000000001" customHeight="1" x14ac:dyDescent="0.25">
      <c r="A961" s="14" t="s">
        <v>10</v>
      </c>
      <c r="B961" s="16" t="s">
        <v>1637</v>
      </c>
      <c r="C961" s="25" t="s">
        <v>60</v>
      </c>
      <c r="D961" s="6" t="s">
        <v>1636</v>
      </c>
      <c r="E961" s="37"/>
      <c r="F961" s="37"/>
      <c r="G961" s="37"/>
      <c r="H961" s="37"/>
      <c r="I961" s="48"/>
      <c r="J961" s="103"/>
      <c r="K961" s="104"/>
      <c r="L961" s="105"/>
      <c r="M961" s="106" t="str">
        <f t="shared" si="350"/>
        <v/>
      </c>
      <c r="N961" s="5" t="s">
        <v>1673</v>
      </c>
    </row>
    <row r="962" spans="1:14" s="3" customFormat="1" ht="30" customHeight="1" x14ac:dyDescent="0.25">
      <c r="A962" s="14" t="s">
        <v>10</v>
      </c>
      <c r="B962" s="16" t="s">
        <v>1637</v>
      </c>
      <c r="C962" s="25" t="s">
        <v>61</v>
      </c>
      <c r="D962" s="87" t="s">
        <v>1638</v>
      </c>
      <c r="E962" s="38">
        <v>0</v>
      </c>
      <c r="F962" s="39">
        <v>0</v>
      </c>
      <c r="G962" s="40">
        <v>0</v>
      </c>
      <c r="H962" s="41">
        <v>0</v>
      </c>
      <c r="I962" s="42">
        <f t="shared" ref="I962:I967" si="370">SUM(E962:H962)</f>
        <v>0</v>
      </c>
      <c r="J962" s="103" t="str">
        <f t="shared" ref="J962:L966" si="371">IFERROR(E962/$I962*100,"")</f>
        <v/>
      </c>
      <c r="K962" s="104" t="str">
        <f t="shared" si="371"/>
        <v/>
      </c>
      <c r="L962" s="105" t="str">
        <f t="shared" si="371"/>
        <v/>
      </c>
      <c r="M962" s="106" t="str">
        <f t="shared" si="350"/>
        <v/>
      </c>
    </row>
    <row r="963" spans="1:14" s="3" customFormat="1" ht="30" customHeight="1" x14ac:dyDescent="0.25">
      <c r="A963" s="14" t="s">
        <v>10</v>
      </c>
      <c r="B963" s="16" t="s">
        <v>1637</v>
      </c>
      <c r="C963" s="25" t="s">
        <v>61</v>
      </c>
      <c r="D963" s="87" t="s">
        <v>1669</v>
      </c>
      <c r="E963" s="38">
        <v>0</v>
      </c>
      <c r="F963" s="39">
        <v>0</v>
      </c>
      <c r="G963" s="40">
        <v>0</v>
      </c>
      <c r="H963" s="41">
        <v>0</v>
      </c>
      <c r="I963" s="42">
        <f t="shared" si="370"/>
        <v>0</v>
      </c>
      <c r="J963" s="103" t="str">
        <f t="shared" si="371"/>
        <v/>
      </c>
      <c r="K963" s="104" t="str">
        <f t="shared" si="371"/>
        <v/>
      </c>
      <c r="L963" s="105" t="str">
        <f t="shared" si="371"/>
        <v/>
      </c>
      <c r="M963" s="106" t="str">
        <f t="shared" si="350"/>
        <v/>
      </c>
    </row>
    <row r="964" spans="1:14" s="3" customFormat="1" ht="30" customHeight="1" x14ac:dyDescent="0.25">
      <c r="A964" s="14" t="s">
        <v>10</v>
      </c>
      <c r="B964" s="16" t="s">
        <v>1637</v>
      </c>
      <c r="C964" s="25" t="s">
        <v>61</v>
      </c>
      <c r="D964" s="87" t="s">
        <v>1640</v>
      </c>
      <c r="E964" s="38">
        <v>0</v>
      </c>
      <c r="F964" s="39">
        <v>0</v>
      </c>
      <c r="G964" s="40">
        <v>0</v>
      </c>
      <c r="H964" s="41">
        <v>0</v>
      </c>
      <c r="I964" s="42">
        <f t="shared" si="370"/>
        <v>0</v>
      </c>
      <c r="J964" s="103" t="str">
        <f t="shared" si="371"/>
        <v/>
      </c>
      <c r="K964" s="104" t="str">
        <f t="shared" si="371"/>
        <v/>
      </c>
      <c r="L964" s="105" t="str">
        <f t="shared" si="371"/>
        <v/>
      </c>
      <c r="M964" s="106" t="str">
        <f t="shared" si="350"/>
        <v/>
      </c>
    </row>
    <row r="965" spans="1:14" s="3" customFormat="1" ht="30" customHeight="1" x14ac:dyDescent="0.25">
      <c r="A965" s="14" t="s">
        <v>10</v>
      </c>
      <c r="B965" s="16" t="s">
        <v>1637</v>
      </c>
      <c r="C965" s="25" t="s">
        <v>61</v>
      </c>
      <c r="D965" s="87" t="s">
        <v>1639</v>
      </c>
      <c r="E965" s="38">
        <v>0</v>
      </c>
      <c r="F965" s="39">
        <v>0</v>
      </c>
      <c r="G965" s="40">
        <v>0</v>
      </c>
      <c r="H965" s="41">
        <v>0</v>
      </c>
      <c r="I965" s="42">
        <f t="shared" si="370"/>
        <v>0</v>
      </c>
      <c r="J965" s="103" t="str">
        <f t="shared" si="371"/>
        <v/>
      </c>
      <c r="K965" s="104" t="str">
        <f t="shared" si="371"/>
        <v/>
      </c>
      <c r="L965" s="105" t="str">
        <f t="shared" si="371"/>
        <v/>
      </c>
      <c r="M965" s="106" t="str">
        <f t="shared" si="350"/>
        <v/>
      </c>
    </row>
    <row r="966" spans="1:14" s="3" customFormat="1" ht="30" customHeight="1" x14ac:dyDescent="0.25">
      <c r="A966" s="14" t="s">
        <v>10</v>
      </c>
      <c r="B966" s="16" t="s">
        <v>1637</v>
      </c>
      <c r="C966" s="25" t="s">
        <v>61</v>
      </c>
      <c r="D966" s="87" t="s">
        <v>1641</v>
      </c>
      <c r="E966" s="38">
        <v>0</v>
      </c>
      <c r="F966" s="39">
        <v>0</v>
      </c>
      <c r="G966" s="40">
        <v>0</v>
      </c>
      <c r="H966" s="41">
        <v>0</v>
      </c>
      <c r="I966" s="42">
        <f t="shared" si="370"/>
        <v>0</v>
      </c>
      <c r="J966" s="103" t="str">
        <f t="shared" si="371"/>
        <v/>
      </c>
      <c r="K966" s="104" t="str">
        <f t="shared" si="371"/>
        <v/>
      </c>
      <c r="L966" s="105" t="str">
        <f t="shared" si="371"/>
        <v/>
      </c>
      <c r="M966" s="106" t="str">
        <f t="shared" si="350"/>
        <v/>
      </c>
    </row>
    <row r="967" spans="1:14" s="3" customFormat="1" ht="30" customHeight="1" x14ac:dyDescent="0.25">
      <c r="A967" s="14" t="s">
        <v>10</v>
      </c>
      <c r="B967" s="16" t="s">
        <v>1637</v>
      </c>
      <c r="C967" s="25"/>
      <c r="D967" s="87" t="s">
        <v>29</v>
      </c>
      <c r="E967" s="38">
        <f>SUM(E962:E966)</f>
        <v>0</v>
      </c>
      <c r="F967" s="39">
        <f>SUM(F962:F966)</f>
        <v>0</v>
      </c>
      <c r="G967" s="40">
        <f>SUM(G962:G966)</f>
        <v>0</v>
      </c>
      <c r="H967" s="41">
        <f>SUM(H962:H966)</f>
        <v>0</v>
      </c>
      <c r="I967" s="42">
        <f t="shared" si="370"/>
        <v>0</v>
      </c>
      <c r="J967" s="103" t="str">
        <f>IFERROR(E967/SUM($E967:$H967)*100,"")</f>
        <v/>
      </c>
      <c r="K967" s="104" t="str">
        <f>IFERROR(F967/SUM($E967:$H967)*100,"")</f>
        <v/>
      </c>
      <c r="L967" s="105" t="str">
        <f>IFERROR(G967/SUM($E967:$H967)*100,"")</f>
        <v/>
      </c>
      <c r="M967" s="106" t="str">
        <f t="shared" si="350"/>
        <v/>
      </c>
      <c r="N967" s="5" t="s">
        <v>1671</v>
      </c>
    </row>
    <row r="968" spans="1:14" ht="5.0999999999999996" customHeight="1" x14ac:dyDescent="0.25">
      <c r="A968" s="14" t="s">
        <v>10</v>
      </c>
      <c r="B968" s="16" t="s">
        <v>1637</v>
      </c>
      <c r="C968"/>
      <c r="J968" s="103"/>
      <c r="K968" s="104"/>
      <c r="L968" s="105"/>
      <c r="M968" s="106" t="str">
        <f t="shared" si="350"/>
        <v/>
      </c>
    </row>
    <row r="969" spans="1:14" s="5" customFormat="1" ht="20.100000000000001" customHeight="1" x14ac:dyDescent="0.25">
      <c r="A969" s="14" t="s">
        <v>10</v>
      </c>
      <c r="B969" s="16" t="s">
        <v>42</v>
      </c>
      <c r="C969" s="25" t="s">
        <v>60</v>
      </c>
      <c r="D969" s="6" t="s">
        <v>1744</v>
      </c>
      <c r="E969" s="37"/>
      <c r="F969" s="37"/>
      <c r="G969" s="37"/>
      <c r="H969" s="37"/>
      <c r="I969" s="48"/>
      <c r="J969" s="103"/>
      <c r="K969" s="104"/>
      <c r="L969" s="105"/>
      <c r="M969" s="106" t="str">
        <f t="shared" si="350"/>
        <v/>
      </c>
      <c r="N969" s="5" t="s">
        <v>1673</v>
      </c>
    </row>
    <row r="970" spans="1:14" s="3" customFormat="1" ht="30" customHeight="1" x14ac:dyDescent="0.25">
      <c r="A970" s="14" t="s">
        <v>10</v>
      </c>
      <c r="B970" s="16" t="s">
        <v>42</v>
      </c>
      <c r="C970" s="25" t="s">
        <v>61</v>
      </c>
      <c r="D970" s="12" t="s">
        <v>43</v>
      </c>
      <c r="E970" s="38">
        <v>0</v>
      </c>
      <c r="F970" s="39">
        <v>0</v>
      </c>
      <c r="G970" s="40">
        <v>0</v>
      </c>
      <c r="H970" s="41">
        <v>0</v>
      </c>
      <c r="I970" s="42">
        <f t="shared" ref="I970:I979" si="372">SUM(E970:H970)</f>
        <v>0</v>
      </c>
      <c r="J970" s="103" t="str">
        <f t="shared" ref="J970:J979" si="373">IFERROR(E970/$I970*100,"")</f>
        <v/>
      </c>
      <c r="K970" s="104" t="str">
        <f t="shared" ref="K970:K979" si="374">IFERROR(F970/$I970*100,"")</f>
        <v/>
      </c>
      <c r="L970" s="105" t="str">
        <f t="shared" ref="L970:L979" si="375">IFERROR(G970/$I970*100,"")</f>
        <v/>
      </c>
      <c r="M970" s="106" t="str">
        <f t="shared" si="350"/>
        <v/>
      </c>
    </row>
    <row r="971" spans="1:14" s="3" customFormat="1" ht="30" customHeight="1" x14ac:dyDescent="0.25">
      <c r="A971" s="14" t="s">
        <v>10</v>
      </c>
      <c r="B971" s="16" t="s">
        <v>42</v>
      </c>
      <c r="C971" s="25" t="s">
        <v>61</v>
      </c>
      <c r="D971" s="12" t="s">
        <v>44</v>
      </c>
      <c r="E971" s="38">
        <v>0</v>
      </c>
      <c r="F971" s="39">
        <v>0</v>
      </c>
      <c r="G971" s="40">
        <v>0</v>
      </c>
      <c r="H971" s="41">
        <v>0</v>
      </c>
      <c r="I971" s="42">
        <f t="shared" si="372"/>
        <v>0</v>
      </c>
      <c r="J971" s="103" t="str">
        <f t="shared" si="373"/>
        <v/>
      </c>
      <c r="K971" s="104" t="str">
        <f t="shared" si="374"/>
        <v/>
      </c>
      <c r="L971" s="105" t="str">
        <f t="shared" si="375"/>
        <v/>
      </c>
      <c r="M971" s="106" t="str">
        <f t="shared" si="350"/>
        <v/>
      </c>
    </row>
    <row r="972" spans="1:14" s="3" customFormat="1" ht="30" customHeight="1" x14ac:dyDescent="0.25">
      <c r="A972" s="14" t="s">
        <v>10</v>
      </c>
      <c r="B972" s="16" t="s">
        <v>42</v>
      </c>
      <c r="C972" s="25" t="s">
        <v>61</v>
      </c>
      <c r="D972" s="12" t="s">
        <v>45</v>
      </c>
      <c r="E972" s="38">
        <v>0</v>
      </c>
      <c r="F972" s="39">
        <v>0</v>
      </c>
      <c r="G972" s="40">
        <v>0</v>
      </c>
      <c r="H972" s="41">
        <v>0</v>
      </c>
      <c r="I972" s="42">
        <f t="shared" si="372"/>
        <v>0</v>
      </c>
      <c r="J972" s="103" t="str">
        <f t="shared" si="373"/>
        <v/>
      </c>
      <c r="K972" s="104" t="str">
        <f t="shared" si="374"/>
        <v/>
      </c>
      <c r="L972" s="105" t="str">
        <f t="shared" si="375"/>
        <v/>
      </c>
      <c r="M972" s="106" t="str">
        <f t="shared" si="350"/>
        <v/>
      </c>
    </row>
    <row r="973" spans="1:14" s="3" customFormat="1" ht="30" customHeight="1" x14ac:dyDescent="0.25">
      <c r="A973" s="14" t="s">
        <v>10</v>
      </c>
      <c r="B973" s="16" t="s">
        <v>42</v>
      </c>
      <c r="C973" s="25" t="s">
        <v>61</v>
      </c>
      <c r="D973" s="12" t="s">
        <v>46</v>
      </c>
      <c r="E973" s="38">
        <v>0</v>
      </c>
      <c r="F973" s="39">
        <v>0</v>
      </c>
      <c r="G973" s="40">
        <v>0</v>
      </c>
      <c r="H973" s="41">
        <v>0</v>
      </c>
      <c r="I973" s="42">
        <f t="shared" si="372"/>
        <v>0</v>
      </c>
      <c r="J973" s="103" t="str">
        <f t="shared" si="373"/>
        <v/>
      </c>
      <c r="K973" s="104" t="str">
        <f t="shared" si="374"/>
        <v/>
      </c>
      <c r="L973" s="105" t="str">
        <f t="shared" si="375"/>
        <v/>
      </c>
      <c r="M973" s="106" t="str">
        <f t="shared" ref="M973:M1036" si="376">IFERROR(H973/$I973*100,"")</f>
        <v/>
      </c>
    </row>
    <row r="974" spans="1:14" s="3" customFormat="1" ht="30" customHeight="1" x14ac:dyDescent="0.25">
      <c r="A974" s="14" t="s">
        <v>10</v>
      </c>
      <c r="B974" s="16" t="s">
        <v>42</v>
      </c>
      <c r="C974" s="25" t="s">
        <v>61</v>
      </c>
      <c r="D974" s="12" t="s">
        <v>51</v>
      </c>
      <c r="E974" s="38">
        <v>0</v>
      </c>
      <c r="F974" s="39">
        <v>0</v>
      </c>
      <c r="G974" s="40">
        <v>0</v>
      </c>
      <c r="H974" s="41">
        <v>0</v>
      </c>
      <c r="I974" s="42">
        <f t="shared" si="372"/>
        <v>0</v>
      </c>
      <c r="J974" s="103" t="str">
        <f t="shared" si="373"/>
        <v/>
      </c>
      <c r="K974" s="104" t="str">
        <f t="shared" si="374"/>
        <v/>
      </c>
      <c r="L974" s="105" t="str">
        <f t="shared" si="375"/>
        <v/>
      </c>
      <c r="M974" s="106" t="str">
        <f t="shared" si="376"/>
        <v/>
      </c>
    </row>
    <row r="975" spans="1:14" s="3" customFormat="1" ht="30" customHeight="1" x14ac:dyDescent="0.25">
      <c r="A975" s="14" t="s">
        <v>10</v>
      </c>
      <c r="B975" s="16" t="s">
        <v>42</v>
      </c>
      <c r="C975" s="25" t="s">
        <v>61</v>
      </c>
      <c r="D975" s="12" t="s">
        <v>52</v>
      </c>
      <c r="E975" s="38">
        <v>0</v>
      </c>
      <c r="F975" s="39">
        <v>0</v>
      </c>
      <c r="G975" s="40">
        <v>0</v>
      </c>
      <c r="H975" s="41">
        <v>0</v>
      </c>
      <c r="I975" s="42">
        <f t="shared" si="372"/>
        <v>0</v>
      </c>
      <c r="J975" s="103" t="str">
        <f t="shared" si="373"/>
        <v/>
      </c>
      <c r="K975" s="104" t="str">
        <f t="shared" si="374"/>
        <v/>
      </c>
      <c r="L975" s="105" t="str">
        <f t="shared" si="375"/>
        <v/>
      </c>
      <c r="M975" s="106" t="str">
        <f t="shared" si="376"/>
        <v/>
      </c>
    </row>
    <row r="976" spans="1:14" s="3" customFormat="1" ht="30" customHeight="1" x14ac:dyDescent="0.25">
      <c r="A976" s="14" t="s">
        <v>10</v>
      </c>
      <c r="B976" s="16" t="s">
        <v>42</v>
      </c>
      <c r="C976" s="25" t="s">
        <v>61</v>
      </c>
      <c r="D976" s="12" t="s">
        <v>47</v>
      </c>
      <c r="E976" s="38">
        <v>0</v>
      </c>
      <c r="F976" s="39">
        <v>0</v>
      </c>
      <c r="G976" s="40">
        <v>0</v>
      </c>
      <c r="H976" s="41">
        <v>0</v>
      </c>
      <c r="I976" s="42">
        <f t="shared" si="372"/>
        <v>0</v>
      </c>
      <c r="J976" s="103" t="str">
        <f t="shared" si="373"/>
        <v/>
      </c>
      <c r="K976" s="104" t="str">
        <f t="shared" si="374"/>
        <v/>
      </c>
      <c r="L976" s="105" t="str">
        <f t="shared" si="375"/>
        <v/>
      </c>
      <c r="M976" s="106" t="str">
        <f t="shared" si="376"/>
        <v/>
      </c>
    </row>
    <row r="977" spans="1:14" s="3" customFormat="1" ht="30" customHeight="1" x14ac:dyDescent="0.25">
      <c r="A977" s="14" t="s">
        <v>10</v>
      </c>
      <c r="B977" s="16" t="s">
        <v>42</v>
      </c>
      <c r="C977" s="25" t="s">
        <v>61</v>
      </c>
      <c r="D977" s="12" t="s">
        <v>48</v>
      </c>
      <c r="E977" s="38">
        <v>0</v>
      </c>
      <c r="F977" s="39">
        <v>0</v>
      </c>
      <c r="G977" s="40">
        <v>0</v>
      </c>
      <c r="H977" s="41">
        <v>0</v>
      </c>
      <c r="I977" s="42">
        <f t="shared" si="372"/>
        <v>0</v>
      </c>
      <c r="J977" s="103" t="str">
        <f t="shared" si="373"/>
        <v/>
      </c>
      <c r="K977" s="104" t="str">
        <f t="shared" si="374"/>
        <v/>
      </c>
      <c r="L977" s="105" t="str">
        <f t="shared" si="375"/>
        <v/>
      </c>
      <c r="M977" s="106" t="str">
        <f t="shared" si="376"/>
        <v/>
      </c>
    </row>
    <row r="978" spans="1:14" s="3" customFormat="1" ht="30" customHeight="1" x14ac:dyDescent="0.25">
      <c r="A978" s="14" t="s">
        <v>10</v>
      </c>
      <c r="B978" s="16" t="s">
        <v>42</v>
      </c>
      <c r="C978" s="25" t="s">
        <v>61</v>
      </c>
      <c r="D978" s="12" t="s">
        <v>49</v>
      </c>
      <c r="E978" s="38">
        <v>0</v>
      </c>
      <c r="F978" s="39">
        <v>0</v>
      </c>
      <c r="G978" s="40">
        <v>0</v>
      </c>
      <c r="H978" s="41">
        <v>0</v>
      </c>
      <c r="I978" s="42">
        <f t="shared" si="372"/>
        <v>0</v>
      </c>
      <c r="J978" s="103" t="str">
        <f t="shared" si="373"/>
        <v/>
      </c>
      <c r="K978" s="104" t="str">
        <f t="shared" si="374"/>
        <v/>
      </c>
      <c r="L978" s="105" t="str">
        <f t="shared" si="375"/>
        <v/>
      </c>
      <c r="M978" s="106" t="str">
        <f t="shared" si="376"/>
        <v/>
      </c>
    </row>
    <row r="979" spans="1:14" s="3" customFormat="1" ht="30" customHeight="1" x14ac:dyDescent="0.25">
      <c r="A979" s="14" t="s">
        <v>10</v>
      </c>
      <c r="B979" s="16" t="s">
        <v>42</v>
      </c>
      <c r="C979" s="25" t="s">
        <v>61</v>
      </c>
      <c r="D979" s="12" t="s">
        <v>50</v>
      </c>
      <c r="E979" s="38">
        <v>0</v>
      </c>
      <c r="F979" s="39">
        <v>0</v>
      </c>
      <c r="G979" s="40">
        <v>0</v>
      </c>
      <c r="H979" s="41">
        <v>0</v>
      </c>
      <c r="I979" s="42">
        <f t="shared" si="372"/>
        <v>0</v>
      </c>
      <c r="J979" s="103" t="str">
        <f t="shared" si="373"/>
        <v/>
      </c>
      <c r="K979" s="104" t="str">
        <f t="shared" si="374"/>
        <v/>
      </c>
      <c r="L979" s="105" t="str">
        <f t="shared" si="375"/>
        <v/>
      </c>
      <c r="M979" s="106" t="str">
        <f t="shared" si="376"/>
        <v/>
      </c>
    </row>
    <row r="980" spans="1:14" s="8" customFormat="1" ht="30" customHeight="1" x14ac:dyDescent="0.25">
      <c r="A980" s="14" t="s">
        <v>10</v>
      </c>
      <c r="B980" s="16" t="s">
        <v>42</v>
      </c>
      <c r="C980" s="25"/>
      <c r="D980" s="9" t="s">
        <v>29</v>
      </c>
      <c r="E980" s="38">
        <f>SUM(E970:E979)</f>
        <v>0</v>
      </c>
      <c r="F980" s="39">
        <f t="shared" ref="F980" si="377">SUM(F970:F979)</f>
        <v>0</v>
      </c>
      <c r="G980" s="40">
        <f t="shared" ref="G980" si="378">SUM(G970:G979)</f>
        <v>0</v>
      </c>
      <c r="H980" s="41">
        <f t="shared" ref="H980" si="379">SUM(H970:H979)</f>
        <v>0</v>
      </c>
      <c r="I980" s="43">
        <f t="shared" ref="I980" si="380">SUM(I970:I979)</f>
        <v>0</v>
      </c>
      <c r="J980" s="103" t="str">
        <f>IFERROR(E980/SUM($E980:$H980)*100,"")</f>
        <v/>
      </c>
      <c r="K980" s="104" t="str">
        <f>IFERROR(F980/SUM($E980:$H980)*100,"")</f>
        <v/>
      </c>
      <c r="L980" s="105" t="str">
        <f>IFERROR(G980/SUM($E980:$H980)*100,"")</f>
        <v/>
      </c>
      <c r="M980" s="106" t="str">
        <f t="shared" si="376"/>
        <v/>
      </c>
      <c r="N980" s="5" t="s">
        <v>1671</v>
      </c>
    </row>
    <row r="981" spans="1:14" ht="5.0999999999999996" customHeight="1" x14ac:dyDescent="0.25">
      <c r="A981" s="14" t="s">
        <v>10</v>
      </c>
      <c r="B981" s="16" t="s">
        <v>42</v>
      </c>
      <c r="C981"/>
      <c r="D981" s="57"/>
      <c r="E981" s="59"/>
      <c r="F981" s="59"/>
      <c r="G981" s="59"/>
      <c r="H981" s="59"/>
      <c r="I981" s="59"/>
      <c r="J981" s="103"/>
      <c r="K981" s="104"/>
      <c r="L981" s="105"/>
      <c r="M981" s="106" t="str">
        <f t="shared" si="376"/>
        <v/>
      </c>
    </row>
    <row r="982" spans="1:14" s="7" customFormat="1" ht="20.100000000000001" customHeight="1" x14ac:dyDescent="0.25">
      <c r="A982" s="14" t="s">
        <v>10</v>
      </c>
      <c r="B982" s="16" t="s">
        <v>62</v>
      </c>
      <c r="C982" s="25" t="s">
        <v>60</v>
      </c>
      <c r="D982" s="62" t="s">
        <v>63</v>
      </c>
      <c r="E982" s="63"/>
      <c r="F982" s="63"/>
      <c r="G982" s="63"/>
      <c r="H982" s="63"/>
      <c r="I982" s="64"/>
      <c r="J982" s="103"/>
      <c r="K982" s="104"/>
      <c r="L982" s="105"/>
      <c r="M982" s="106" t="str">
        <f t="shared" si="376"/>
        <v/>
      </c>
      <c r="N982" s="5" t="s">
        <v>1673</v>
      </c>
    </row>
    <row r="983" spans="1:14" s="8" customFormat="1" ht="30" customHeight="1" x14ac:dyDescent="0.25">
      <c r="A983" s="14" t="s">
        <v>10</v>
      </c>
      <c r="B983" s="16" t="s">
        <v>62</v>
      </c>
      <c r="C983" s="25"/>
      <c r="D983" s="12" t="s">
        <v>29</v>
      </c>
      <c r="E983" s="38" t="e">
        <f>SUM(E933,E922,E941,E980,E936,E944,E953,E956,E967,#REF!)</f>
        <v>#REF!</v>
      </c>
      <c r="F983" s="39" t="e">
        <f>SUM(F933,F922,F941,F980,F936,F944,F953,F956,F967,#REF!)</f>
        <v>#REF!</v>
      </c>
      <c r="G983" s="40" t="e">
        <f>SUM(G933,G922,G941,G980,G936,G944,G953,G956,G967,#REF!)</f>
        <v>#REF!</v>
      </c>
      <c r="H983" s="41" t="e">
        <f>SUM(H933,H922,H941,H980,H936,H944,H953,H956,H967,#REF!)</f>
        <v>#REF!</v>
      </c>
      <c r="I983" s="42" t="e">
        <f>SUM(I933,I922,I941,I980,I936,I944,I953,I956,I967,#REF!)</f>
        <v>#REF!</v>
      </c>
      <c r="J983" s="103" t="str">
        <f>IFERROR(E983/SUM($E983:$H983)*100,"")</f>
        <v/>
      </c>
      <c r="K983" s="104" t="str">
        <f>IFERROR(F983/SUM($E983:$H983)*100,"")</f>
        <v/>
      </c>
      <c r="L983" s="105" t="str">
        <f>IFERROR(G983/SUM($E983:$H983)*100,"")</f>
        <v/>
      </c>
      <c r="M983" s="106" t="str">
        <f t="shared" si="376"/>
        <v/>
      </c>
      <c r="N983" s="5" t="s">
        <v>1671</v>
      </c>
    </row>
    <row r="984" spans="1:14" s="5" customFormat="1" ht="20.100000000000001" customHeight="1" x14ac:dyDescent="0.25">
      <c r="A984" s="14" t="s">
        <v>10</v>
      </c>
      <c r="B984" s="14"/>
      <c r="C984" s="25" t="s">
        <v>60</v>
      </c>
      <c r="D984" s="58"/>
      <c r="E984" s="60"/>
      <c r="F984" s="60"/>
      <c r="G984" s="60"/>
      <c r="H984" s="60"/>
      <c r="I984" s="60"/>
      <c r="J984" s="103"/>
      <c r="K984" s="104"/>
      <c r="L984" s="105"/>
      <c r="M984" s="106" t="str">
        <f t="shared" si="376"/>
        <v/>
      </c>
    </row>
    <row r="985" spans="1:14" s="5" customFormat="1" ht="20.100000000000001" customHeight="1" x14ac:dyDescent="0.25">
      <c r="A985" s="14" t="s">
        <v>16</v>
      </c>
      <c r="B985" s="14"/>
      <c r="C985" s="25" t="s">
        <v>60</v>
      </c>
      <c r="D985" s="20" t="str">
        <f>IFERROR(A985&amp;"   ("&amp;COUNTIFS(#REF!,"="&amp;A985)&amp;")",A985)</f>
        <v>UDM</v>
      </c>
      <c r="E985" s="45"/>
      <c r="F985" s="45"/>
      <c r="G985" s="45"/>
      <c r="H985" s="45"/>
      <c r="I985" s="46"/>
      <c r="J985" s="103"/>
      <c r="K985" s="104"/>
      <c r="L985" s="105"/>
      <c r="M985" s="106" t="str">
        <f t="shared" si="376"/>
        <v/>
      </c>
      <c r="N985" s="5" t="s">
        <v>1672</v>
      </c>
    </row>
    <row r="986" spans="1:14" s="5" customFormat="1" ht="20.100000000000001" customHeight="1" x14ac:dyDescent="0.25">
      <c r="A986" s="14" t="s">
        <v>16</v>
      </c>
      <c r="B986" s="16" t="s">
        <v>20</v>
      </c>
      <c r="C986" s="25" t="s">
        <v>60</v>
      </c>
      <c r="D986" s="6" t="s">
        <v>20</v>
      </c>
      <c r="E986" s="37"/>
      <c r="F986" s="37"/>
      <c r="G986" s="37"/>
      <c r="H986" s="37"/>
      <c r="I986" s="48"/>
      <c r="J986" s="103"/>
      <c r="K986" s="104"/>
      <c r="L986" s="105"/>
      <c r="M986" s="106" t="str">
        <f t="shared" si="376"/>
        <v/>
      </c>
      <c r="N986" s="5" t="s">
        <v>1673</v>
      </c>
    </row>
    <row r="987" spans="1:14" s="5" customFormat="1" ht="30" customHeight="1" x14ac:dyDescent="0.25">
      <c r="A987" s="14" t="s">
        <v>16</v>
      </c>
      <c r="B987" s="16" t="s">
        <v>20</v>
      </c>
      <c r="C987" s="25" t="s">
        <v>61</v>
      </c>
      <c r="D987" s="12" t="s">
        <v>25</v>
      </c>
      <c r="E987" s="38">
        <v>0</v>
      </c>
      <c r="F987" s="39">
        <v>0</v>
      </c>
      <c r="G987" s="40">
        <v>0</v>
      </c>
      <c r="H987" s="41">
        <v>0</v>
      </c>
      <c r="I987" s="42">
        <f>SUM(E987:H987)</f>
        <v>0</v>
      </c>
      <c r="J987" s="103" t="str">
        <f>IFERROR(E987/$I987*100,"")</f>
        <v/>
      </c>
      <c r="K987" s="104" t="str">
        <f>IFERROR(F987/$I987*100,"")</f>
        <v/>
      </c>
      <c r="L987" s="105" t="str">
        <f>IFERROR(G987/$I987*100,"")</f>
        <v/>
      </c>
      <c r="M987" s="106" t="str">
        <f t="shared" si="376"/>
        <v/>
      </c>
      <c r="N987" s="5" t="s">
        <v>1671</v>
      </c>
    </row>
    <row r="988" spans="1:14" ht="5.0999999999999996" customHeight="1" x14ac:dyDescent="0.25">
      <c r="A988" s="14" t="s">
        <v>16</v>
      </c>
      <c r="B988" s="16" t="s">
        <v>20</v>
      </c>
      <c r="C988"/>
      <c r="J988" s="103"/>
      <c r="K988" s="104"/>
      <c r="L988" s="105"/>
      <c r="M988" s="106" t="str">
        <f t="shared" si="376"/>
        <v/>
      </c>
    </row>
    <row r="989" spans="1:14" s="5" customFormat="1" ht="20.100000000000001" customHeight="1" x14ac:dyDescent="0.25">
      <c r="A989" s="14" t="s">
        <v>16</v>
      </c>
      <c r="B989" s="16" t="s">
        <v>26</v>
      </c>
      <c r="C989" s="25" t="s">
        <v>60</v>
      </c>
      <c r="D989" s="6" t="s">
        <v>98</v>
      </c>
      <c r="E989" s="37"/>
      <c r="F989" s="37"/>
      <c r="G989" s="37"/>
      <c r="H989" s="37"/>
      <c r="I989" s="47"/>
      <c r="J989" s="103"/>
      <c r="K989" s="104"/>
      <c r="L989" s="105"/>
      <c r="M989" s="106" t="str">
        <f t="shared" si="376"/>
        <v/>
      </c>
      <c r="N989" s="5" t="s">
        <v>1673</v>
      </c>
    </row>
    <row r="990" spans="1:14" s="5" customFormat="1" ht="30" customHeight="1" x14ac:dyDescent="0.25">
      <c r="A990" s="14" t="s">
        <v>16</v>
      </c>
      <c r="B990" s="16" t="s">
        <v>26</v>
      </c>
      <c r="C990" s="25" t="s">
        <v>61</v>
      </c>
      <c r="D990" s="31" t="s">
        <v>21</v>
      </c>
      <c r="E990" s="38">
        <v>0</v>
      </c>
      <c r="F990" s="39">
        <v>0</v>
      </c>
      <c r="G990" s="40">
        <v>0</v>
      </c>
      <c r="H990" s="41">
        <v>0</v>
      </c>
      <c r="I990" s="42">
        <f t="shared" ref="I990:I997" si="381">SUM(E990:H990)</f>
        <v>0</v>
      </c>
      <c r="J990" s="103" t="str">
        <f t="shared" ref="J990:L997" si="382">IFERROR(E990/$I990*100,"")</f>
        <v/>
      </c>
      <c r="K990" s="104" t="str">
        <f t="shared" si="382"/>
        <v/>
      </c>
      <c r="L990" s="105" t="str">
        <f t="shared" si="382"/>
        <v/>
      </c>
      <c r="M990" s="106" t="str">
        <f t="shared" si="376"/>
        <v/>
      </c>
    </row>
    <row r="991" spans="1:14" s="5" customFormat="1" ht="30" customHeight="1" x14ac:dyDescent="0.25">
      <c r="A991" s="14" t="s">
        <v>16</v>
      </c>
      <c r="B991" s="16" t="s">
        <v>26</v>
      </c>
      <c r="C991" s="25" t="s">
        <v>61</v>
      </c>
      <c r="D991" s="31" t="s">
        <v>22</v>
      </c>
      <c r="E991" s="38">
        <v>0</v>
      </c>
      <c r="F991" s="39">
        <v>0</v>
      </c>
      <c r="G991" s="40">
        <v>0</v>
      </c>
      <c r="H991" s="41">
        <v>0</v>
      </c>
      <c r="I991" s="42">
        <f t="shared" si="381"/>
        <v>0</v>
      </c>
      <c r="J991" s="103" t="str">
        <f t="shared" si="382"/>
        <v/>
      </c>
      <c r="K991" s="104" t="str">
        <f t="shared" si="382"/>
        <v/>
      </c>
      <c r="L991" s="105" t="str">
        <f t="shared" si="382"/>
        <v/>
      </c>
      <c r="M991" s="106" t="str">
        <f t="shared" si="376"/>
        <v/>
      </c>
    </row>
    <row r="992" spans="1:14" s="5" customFormat="1" ht="30" customHeight="1" x14ac:dyDescent="0.25">
      <c r="A992" s="14" t="s">
        <v>16</v>
      </c>
      <c r="B992" s="16" t="s">
        <v>26</v>
      </c>
      <c r="C992" s="25" t="s">
        <v>61</v>
      </c>
      <c r="D992" s="31" t="s">
        <v>27</v>
      </c>
      <c r="E992" s="38">
        <v>0</v>
      </c>
      <c r="F992" s="39">
        <v>0</v>
      </c>
      <c r="G992" s="40">
        <v>0</v>
      </c>
      <c r="H992" s="41">
        <v>0</v>
      </c>
      <c r="I992" s="42">
        <f t="shared" si="381"/>
        <v>0</v>
      </c>
      <c r="J992" s="103" t="str">
        <f t="shared" si="382"/>
        <v/>
      </c>
      <c r="K992" s="104" t="str">
        <f t="shared" si="382"/>
        <v/>
      </c>
      <c r="L992" s="105" t="str">
        <f t="shared" si="382"/>
        <v/>
      </c>
      <c r="M992" s="106" t="str">
        <f t="shared" si="376"/>
        <v/>
      </c>
    </row>
    <row r="993" spans="1:14" s="5" customFormat="1" ht="30" customHeight="1" x14ac:dyDescent="0.25">
      <c r="A993" s="14" t="s">
        <v>16</v>
      </c>
      <c r="B993" s="16" t="s">
        <v>26</v>
      </c>
      <c r="C993" s="25" t="s">
        <v>61</v>
      </c>
      <c r="D993" s="31" t="s">
        <v>23</v>
      </c>
      <c r="E993" s="38">
        <v>0</v>
      </c>
      <c r="F993" s="39">
        <v>0</v>
      </c>
      <c r="G993" s="40">
        <v>0</v>
      </c>
      <c r="H993" s="41">
        <v>0</v>
      </c>
      <c r="I993" s="42">
        <f t="shared" si="381"/>
        <v>0</v>
      </c>
      <c r="J993" s="103" t="str">
        <f t="shared" si="382"/>
        <v/>
      </c>
      <c r="K993" s="104" t="str">
        <f t="shared" si="382"/>
        <v/>
      </c>
      <c r="L993" s="105" t="str">
        <f t="shared" si="382"/>
        <v/>
      </c>
      <c r="M993" s="106" t="str">
        <f t="shared" si="376"/>
        <v/>
      </c>
    </row>
    <row r="994" spans="1:14" s="5" customFormat="1" ht="30" customHeight="1" x14ac:dyDescent="0.25">
      <c r="A994" s="14" t="s">
        <v>16</v>
      </c>
      <c r="B994" s="16" t="s">
        <v>26</v>
      </c>
      <c r="C994" s="25" t="s">
        <v>61</v>
      </c>
      <c r="D994" s="31" t="s">
        <v>24</v>
      </c>
      <c r="E994" s="38">
        <v>0</v>
      </c>
      <c r="F994" s="39">
        <v>0</v>
      </c>
      <c r="G994" s="40">
        <v>0</v>
      </c>
      <c r="H994" s="41">
        <v>0</v>
      </c>
      <c r="I994" s="42">
        <f t="shared" si="381"/>
        <v>0</v>
      </c>
      <c r="J994" s="103" t="str">
        <f t="shared" si="382"/>
        <v/>
      </c>
      <c r="K994" s="104" t="str">
        <f t="shared" si="382"/>
        <v/>
      </c>
      <c r="L994" s="105" t="str">
        <f t="shared" si="382"/>
        <v/>
      </c>
      <c r="M994" s="106" t="str">
        <f t="shared" si="376"/>
        <v/>
      </c>
    </row>
    <row r="995" spans="1:14" s="3" customFormat="1" ht="30" customHeight="1" x14ac:dyDescent="0.25">
      <c r="A995" s="14" t="s">
        <v>16</v>
      </c>
      <c r="B995" s="16" t="s">
        <v>26</v>
      </c>
      <c r="C995" s="25" t="s">
        <v>61</v>
      </c>
      <c r="D995" s="31" t="s">
        <v>41</v>
      </c>
      <c r="E995" s="38">
        <v>0</v>
      </c>
      <c r="F995" s="39">
        <v>0</v>
      </c>
      <c r="G995" s="40">
        <v>0</v>
      </c>
      <c r="H995" s="41">
        <v>0</v>
      </c>
      <c r="I995" s="42">
        <f t="shared" si="381"/>
        <v>0</v>
      </c>
      <c r="J995" s="103" t="str">
        <f t="shared" si="382"/>
        <v/>
      </c>
      <c r="K995" s="104" t="str">
        <f t="shared" si="382"/>
        <v/>
      </c>
      <c r="L995" s="105" t="str">
        <f t="shared" si="382"/>
        <v/>
      </c>
      <c r="M995" s="106" t="str">
        <f t="shared" si="376"/>
        <v/>
      </c>
    </row>
    <row r="996" spans="1:14" s="5" customFormat="1" ht="30" customHeight="1" x14ac:dyDescent="0.25">
      <c r="A996" s="14" t="s">
        <v>16</v>
      </c>
      <c r="B996" s="16" t="s">
        <v>26</v>
      </c>
      <c r="C996" s="25" t="s">
        <v>61</v>
      </c>
      <c r="D996" s="31" t="s">
        <v>28</v>
      </c>
      <c r="E996" s="38">
        <v>0</v>
      </c>
      <c r="F996" s="39">
        <v>0</v>
      </c>
      <c r="G996" s="40">
        <v>0</v>
      </c>
      <c r="H996" s="41">
        <v>0</v>
      </c>
      <c r="I996" s="42">
        <f t="shared" si="381"/>
        <v>0</v>
      </c>
      <c r="J996" s="103" t="str">
        <f t="shared" si="382"/>
        <v/>
      </c>
      <c r="K996" s="104" t="str">
        <f t="shared" si="382"/>
        <v/>
      </c>
      <c r="L996" s="105" t="str">
        <f t="shared" si="382"/>
        <v/>
      </c>
      <c r="M996" s="106" t="str">
        <f t="shared" si="376"/>
        <v/>
      </c>
    </row>
    <row r="997" spans="1:14" s="5" customFormat="1" ht="30" customHeight="1" x14ac:dyDescent="0.25">
      <c r="A997" s="14" t="s">
        <v>16</v>
      </c>
      <c r="B997" s="16" t="s">
        <v>26</v>
      </c>
      <c r="C997" s="25" t="s">
        <v>61</v>
      </c>
      <c r="D997" s="31" t="s">
        <v>40</v>
      </c>
      <c r="E997" s="38">
        <v>0</v>
      </c>
      <c r="F997" s="39">
        <v>0</v>
      </c>
      <c r="G997" s="40">
        <v>0</v>
      </c>
      <c r="H997" s="41">
        <v>0</v>
      </c>
      <c r="I997" s="42">
        <f t="shared" si="381"/>
        <v>0</v>
      </c>
      <c r="J997" s="103" t="str">
        <f t="shared" si="382"/>
        <v/>
      </c>
      <c r="K997" s="104" t="str">
        <f t="shared" si="382"/>
        <v/>
      </c>
      <c r="L997" s="105" t="str">
        <f t="shared" si="382"/>
        <v/>
      </c>
      <c r="M997" s="106" t="str">
        <f t="shared" si="376"/>
        <v/>
      </c>
    </row>
    <row r="998" spans="1:14" s="5" customFormat="1" ht="30" customHeight="1" x14ac:dyDescent="0.25">
      <c r="A998" s="14" t="s">
        <v>16</v>
      </c>
      <c r="B998" s="16" t="s">
        <v>26</v>
      </c>
      <c r="C998" s="25"/>
      <c r="D998" s="9" t="s">
        <v>29</v>
      </c>
      <c r="E998" s="38">
        <f>SUM(E990:E997)</f>
        <v>0</v>
      </c>
      <c r="F998" s="39">
        <f t="shared" ref="F998" si="383">SUM(F990:F997)</f>
        <v>0</v>
      </c>
      <c r="G998" s="40">
        <f t="shared" ref="G998" si="384">SUM(G990:G997)</f>
        <v>0</v>
      </c>
      <c r="H998" s="41">
        <f t="shared" ref="H998" si="385">SUM(H990:H997)</f>
        <v>0</v>
      </c>
      <c r="I998" s="43">
        <f t="shared" ref="I998" si="386">SUM(I990:I997)</f>
        <v>0</v>
      </c>
      <c r="J998" s="103" t="str">
        <f>IFERROR(E998/SUM($E998:$H998)*100,"")</f>
        <v/>
      </c>
      <c r="K998" s="104" t="str">
        <f>IFERROR(F998/SUM($E998:$H998)*100,"")</f>
        <v/>
      </c>
      <c r="L998" s="105" t="str">
        <f>IFERROR(G998/SUM($E998:$H998)*100,"")</f>
        <v/>
      </c>
      <c r="M998" s="106" t="str">
        <f t="shared" si="376"/>
        <v/>
      </c>
      <c r="N998" s="5" t="s">
        <v>1671</v>
      </c>
    </row>
    <row r="999" spans="1:14" ht="5.0999999999999996" customHeight="1" x14ac:dyDescent="0.25">
      <c r="A999" s="14" t="s">
        <v>16</v>
      </c>
      <c r="B999" s="16" t="s">
        <v>26</v>
      </c>
      <c r="C999"/>
      <c r="J999" s="103"/>
      <c r="K999" s="104"/>
      <c r="L999" s="105"/>
      <c r="M999" s="106" t="str">
        <f t="shared" si="376"/>
        <v/>
      </c>
    </row>
    <row r="1000" spans="1:14" s="5" customFormat="1" ht="20.100000000000001" customHeight="1" x14ac:dyDescent="0.25">
      <c r="A1000" s="14" t="s">
        <v>16</v>
      </c>
      <c r="B1000" s="16" t="s">
        <v>64</v>
      </c>
      <c r="C1000" s="25" t="s">
        <v>60</v>
      </c>
      <c r="D1000" s="6" t="s">
        <v>65</v>
      </c>
      <c r="E1000" s="37"/>
      <c r="F1000" s="37"/>
      <c r="G1000" s="37"/>
      <c r="H1000" s="37"/>
      <c r="I1000" s="48"/>
      <c r="J1000" s="103"/>
      <c r="K1000" s="104"/>
      <c r="L1000" s="105"/>
      <c r="M1000" s="106" t="str">
        <f t="shared" si="376"/>
        <v/>
      </c>
      <c r="N1000" s="5" t="s">
        <v>1673</v>
      </c>
    </row>
    <row r="1001" spans="1:14" s="5" customFormat="1" ht="30" customHeight="1" x14ac:dyDescent="0.25">
      <c r="A1001" s="14" t="s">
        <v>16</v>
      </c>
      <c r="B1001" s="16" t="s">
        <v>64</v>
      </c>
      <c r="C1001" s="25" t="s">
        <v>61</v>
      </c>
      <c r="D1001" s="12" t="s">
        <v>66</v>
      </c>
      <c r="E1001" s="38">
        <v>0</v>
      </c>
      <c r="F1001" s="39">
        <v>0</v>
      </c>
      <c r="G1001" s="40">
        <v>0</v>
      </c>
      <c r="H1001" s="41">
        <v>0</v>
      </c>
      <c r="I1001" s="42">
        <f>SUM(E1001:H1001)</f>
        <v>0</v>
      </c>
      <c r="J1001" s="103" t="str">
        <f>IFERROR(E1001/$I1001*100,"")</f>
        <v/>
      </c>
      <c r="K1001" s="104" t="str">
        <f>IFERROR(F1001/$I1001*100,"")</f>
        <v/>
      </c>
      <c r="L1001" s="105" t="str">
        <f>IFERROR(G1001/$I1001*100,"")</f>
        <v/>
      </c>
      <c r="M1001" s="106" t="str">
        <f t="shared" si="376"/>
        <v/>
      </c>
      <c r="N1001" s="5" t="s">
        <v>1671</v>
      </c>
    </row>
    <row r="1002" spans="1:14" ht="5.0999999999999996" customHeight="1" x14ac:dyDescent="0.25">
      <c r="A1002" s="14" t="s">
        <v>16</v>
      </c>
      <c r="B1002" s="16" t="s">
        <v>64</v>
      </c>
      <c r="C1002"/>
      <c r="D1002" s="57"/>
      <c r="E1002" s="59"/>
      <c r="F1002" s="59"/>
      <c r="G1002" s="59"/>
      <c r="H1002" s="59"/>
      <c r="I1002" s="59"/>
      <c r="J1002" s="103"/>
      <c r="K1002" s="104"/>
      <c r="L1002" s="105"/>
      <c r="M1002" s="106" t="str">
        <f t="shared" si="376"/>
        <v/>
      </c>
    </row>
    <row r="1003" spans="1:14" s="5" customFormat="1" ht="20.100000000000001" customHeight="1" x14ac:dyDescent="0.25">
      <c r="A1003" s="14" t="s">
        <v>16</v>
      </c>
      <c r="B1003" s="16" t="s">
        <v>55</v>
      </c>
      <c r="C1003" s="25" t="s">
        <v>60</v>
      </c>
      <c r="D1003" s="6" t="s">
        <v>55</v>
      </c>
      <c r="E1003" s="37"/>
      <c r="F1003" s="37"/>
      <c r="G1003" s="37"/>
      <c r="H1003" s="37"/>
      <c r="I1003" s="48"/>
      <c r="J1003" s="103"/>
      <c r="K1003" s="104"/>
      <c r="L1003" s="105"/>
      <c r="M1003" s="106" t="str">
        <f t="shared" si="376"/>
        <v/>
      </c>
      <c r="N1003" s="5" t="s">
        <v>1673</v>
      </c>
    </row>
    <row r="1004" spans="1:14" s="3" customFormat="1" ht="30" customHeight="1" x14ac:dyDescent="0.25">
      <c r="A1004" s="14" t="s">
        <v>16</v>
      </c>
      <c r="B1004" s="16" t="s">
        <v>55</v>
      </c>
      <c r="C1004" s="25" t="s">
        <v>61</v>
      </c>
      <c r="D1004" s="12" t="s">
        <v>56</v>
      </c>
      <c r="E1004" s="38">
        <v>0</v>
      </c>
      <c r="F1004" s="39">
        <v>0</v>
      </c>
      <c r="G1004" s="40">
        <v>0</v>
      </c>
      <c r="H1004" s="41">
        <v>0</v>
      </c>
      <c r="I1004" s="42">
        <f>SUM(E1004:H1004)</f>
        <v>0</v>
      </c>
      <c r="J1004" s="103" t="str">
        <f t="shared" ref="J1004:L1006" si="387">IFERROR(E1004/$I1004*100,"")</f>
        <v/>
      </c>
      <c r="K1004" s="104" t="str">
        <f t="shared" si="387"/>
        <v/>
      </c>
      <c r="L1004" s="105" t="str">
        <f t="shared" si="387"/>
        <v/>
      </c>
      <c r="M1004" s="106" t="str">
        <f t="shared" si="376"/>
        <v/>
      </c>
      <c r="N1004" s="5"/>
    </row>
    <row r="1005" spans="1:14" s="3" customFormat="1" ht="30" customHeight="1" x14ac:dyDescent="0.25">
      <c r="A1005" s="14" t="s">
        <v>16</v>
      </c>
      <c r="B1005" s="16" t="s">
        <v>55</v>
      </c>
      <c r="C1005" s="25" t="s">
        <v>61</v>
      </c>
      <c r="D1005" s="12" t="s">
        <v>57</v>
      </c>
      <c r="E1005" s="38">
        <v>0</v>
      </c>
      <c r="F1005" s="39">
        <v>0</v>
      </c>
      <c r="G1005" s="40">
        <v>0</v>
      </c>
      <c r="H1005" s="41">
        <v>0</v>
      </c>
      <c r="I1005" s="42">
        <f>SUM(E1005:H1005)</f>
        <v>0</v>
      </c>
      <c r="J1005" s="103" t="str">
        <f t="shared" si="387"/>
        <v/>
      </c>
      <c r="K1005" s="104" t="str">
        <f t="shared" si="387"/>
        <v/>
      </c>
      <c r="L1005" s="105" t="str">
        <f t="shared" si="387"/>
        <v/>
      </c>
      <c r="M1005" s="106" t="str">
        <f t="shared" si="376"/>
        <v/>
      </c>
    </row>
    <row r="1006" spans="1:14" s="3" customFormat="1" ht="30" customHeight="1" x14ac:dyDescent="0.25">
      <c r="A1006" s="14" t="s">
        <v>16</v>
      </c>
      <c r="B1006" s="16" t="s">
        <v>55</v>
      </c>
      <c r="C1006" s="25"/>
      <c r="D1006" s="91" t="s">
        <v>29</v>
      </c>
      <c r="E1006" s="38">
        <f>SUM(E1004:E1005)</f>
        <v>0</v>
      </c>
      <c r="F1006" s="39">
        <f t="shared" ref="F1006" si="388">SUM(F1004:F1005)</f>
        <v>0</v>
      </c>
      <c r="G1006" s="40">
        <f t="shared" ref="G1006" si="389">SUM(G1004:G1005)</f>
        <v>0</v>
      </c>
      <c r="H1006" s="41">
        <f t="shared" ref="H1006" si="390">SUM(H1004:H1005)</f>
        <v>0</v>
      </c>
      <c r="I1006" s="42">
        <f t="shared" ref="I1006" si="391">SUM(I1004:I1005)</f>
        <v>0</v>
      </c>
      <c r="J1006" s="103" t="str">
        <f t="shared" si="387"/>
        <v/>
      </c>
      <c r="K1006" s="104" t="str">
        <f t="shared" si="387"/>
        <v/>
      </c>
      <c r="L1006" s="105" t="str">
        <f t="shared" si="387"/>
        <v/>
      </c>
      <c r="M1006" s="106" t="str">
        <f t="shared" si="376"/>
        <v/>
      </c>
      <c r="N1006" s="5" t="s">
        <v>1671</v>
      </c>
    </row>
    <row r="1007" spans="1:14" ht="5.0999999999999996" customHeight="1" x14ac:dyDescent="0.25">
      <c r="A1007" s="14" t="s">
        <v>16</v>
      </c>
      <c r="B1007" s="16" t="s">
        <v>55</v>
      </c>
      <c r="C1007"/>
      <c r="J1007" s="103"/>
      <c r="K1007" s="104"/>
      <c r="L1007" s="105"/>
      <c r="M1007" s="106" t="str">
        <f t="shared" si="376"/>
        <v/>
      </c>
    </row>
    <row r="1008" spans="1:14" s="5" customFormat="1" ht="20.100000000000001" customHeight="1" x14ac:dyDescent="0.25">
      <c r="A1008" s="14" t="s">
        <v>16</v>
      </c>
      <c r="B1008" s="16" t="s">
        <v>74</v>
      </c>
      <c r="C1008" s="25" t="s">
        <v>60</v>
      </c>
      <c r="D1008" s="6" t="s">
        <v>75</v>
      </c>
      <c r="E1008" s="37"/>
      <c r="F1008" s="37"/>
      <c r="G1008" s="37"/>
      <c r="H1008" s="37"/>
      <c r="I1008" s="48"/>
      <c r="J1008" s="103"/>
      <c r="K1008" s="104"/>
      <c r="L1008" s="105"/>
      <c r="M1008" s="106" t="str">
        <f t="shared" si="376"/>
        <v/>
      </c>
      <c r="N1008" s="5" t="s">
        <v>1673</v>
      </c>
    </row>
    <row r="1009" spans="1:14" s="3" customFormat="1" ht="30" customHeight="1" x14ac:dyDescent="0.25">
      <c r="A1009" s="14" t="s">
        <v>16</v>
      </c>
      <c r="B1009" s="16" t="s">
        <v>74</v>
      </c>
      <c r="C1009" s="25" t="s">
        <v>61</v>
      </c>
      <c r="D1009" s="12" t="s">
        <v>77</v>
      </c>
      <c r="E1009" s="38">
        <v>0</v>
      </c>
      <c r="F1009" s="39">
        <v>0</v>
      </c>
      <c r="G1009" s="40">
        <v>0</v>
      </c>
      <c r="H1009" s="41">
        <v>0</v>
      </c>
      <c r="I1009" s="42">
        <f>SUM(E1009:H1009)</f>
        <v>0</v>
      </c>
      <c r="J1009" s="103" t="str">
        <f>IFERROR(E1009/$I1009*100,"")</f>
        <v/>
      </c>
      <c r="K1009" s="104" t="str">
        <f>IFERROR(F1009/$I1009*100,"")</f>
        <v/>
      </c>
      <c r="L1009" s="105" t="str">
        <f>IFERROR(G1009/$I1009*100,"")</f>
        <v/>
      </c>
      <c r="M1009" s="106" t="str">
        <f t="shared" si="376"/>
        <v/>
      </c>
      <c r="N1009" s="3" t="s">
        <v>1671</v>
      </c>
    </row>
    <row r="1010" spans="1:14" ht="5.0999999999999996" customHeight="1" x14ac:dyDescent="0.25">
      <c r="A1010" s="14" t="s">
        <v>16</v>
      </c>
      <c r="B1010" s="16" t="s">
        <v>74</v>
      </c>
      <c r="C1010"/>
      <c r="D1010" s="57"/>
      <c r="E1010" s="59"/>
      <c r="F1010" s="59"/>
      <c r="G1010" s="59"/>
      <c r="H1010" s="59"/>
      <c r="I1010" s="59"/>
      <c r="J1010" s="103"/>
      <c r="K1010" s="104"/>
      <c r="L1010" s="105"/>
      <c r="M1010" s="106" t="str">
        <f t="shared" si="376"/>
        <v/>
      </c>
    </row>
    <row r="1011" spans="1:14" s="5" customFormat="1" ht="20.100000000000001" customHeight="1" x14ac:dyDescent="0.25">
      <c r="A1011" s="14" t="s">
        <v>16</v>
      </c>
      <c r="B1011" s="16" t="s">
        <v>78</v>
      </c>
      <c r="C1011" s="25" t="s">
        <v>60</v>
      </c>
      <c r="D1011" s="6" t="s">
        <v>80</v>
      </c>
      <c r="E1011" s="37"/>
      <c r="F1011" s="37"/>
      <c r="G1011" s="37"/>
      <c r="H1011" s="37"/>
      <c r="I1011" s="48"/>
      <c r="J1011" s="103"/>
      <c r="K1011" s="104"/>
      <c r="L1011" s="105"/>
      <c r="M1011" s="106" t="str">
        <f t="shared" si="376"/>
        <v/>
      </c>
      <c r="N1011" s="5" t="s">
        <v>1673</v>
      </c>
    </row>
    <row r="1012" spans="1:14" s="5" customFormat="1" ht="30" customHeight="1" x14ac:dyDescent="0.25">
      <c r="A1012" s="14" t="s">
        <v>16</v>
      </c>
      <c r="B1012" s="16" t="s">
        <v>78</v>
      </c>
      <c r="C1012" s="25" t="s">
        <v>61</v>
      </c>
      <c r="D1012" s="81" t="s">
        <v>81</v>
      </c>
      <c r="E1012" s="38">
        <v>0</v>
      </c>
      <c r="F1012" s="39">
        <v>0</v>
      </c>
      <c r="G1012" s="40">
        <v>0</v>
      </c>
      <c r="H1012" s="41">
        <v>0</v>
      </c>
      <c r="I1012" s="42">
        <f t="shared" ref="I1012:I1018" si="392">SUM(E1012:H1012)</f>
        <v>0</v>
      </c>
      <c r="J1012" s="103" t="str">
        <f t="shared" ref="J1012:L1018" si="393">IFERROR(E1012/$I1012*100,"")</f>
        <v/>
      </c>
      <c r="K1012" s="104" t="str">
        <f t="shared" si="393"/>
        <v/>
      </c>
      <c r="L1012" s="105" t="str">
        <f t="shared" si="393"/>
        <v/>
      </c>
      <c r="M1012" s="106" t="str">
        <f t="shared" si="376"/>
        <v/>
      </c>
    </row>
    <row r="1013" spans="1:14" s="5" customFormat="1" ht="30" customHeight="1" x14ac:dyDescent="0.25">
      <c r="A1013" s="14" t="s">
        <v>16</v>
      </c>
      <c r="B1013" s="16" t="s">
        <v>78</v>
      </c>
      <c r="C1013" s="25" t="s">
        <v>61</v>
      </c>
      <c r="D1013" s="81" t="s">
        <v>82</v>
      </c>
      <c r="E1013" s="38">
        <v>0</v>
      </c>
      <c r="F1013" s="39">
        <v>0</v>
      </c>
      <c r="G1013" s="40">
        <v>0</v>
      </c>
      <c r="H1013" s="41">
        <v>0</v>
      </c>
      <c r="I1013" s="42">
        <f t="shared" si="392"/>
        <v>0</v>
      </c>
      <c r="J1013" s="103" t="str">
        <f t="shared" si="393"/>
        <v/>
      </c>
      <c r="K1013" s="104" t="str">
        <f t="shared" si="393"/>
        <v/>
      </c>
      <c r="L1013" s="105" t="str">
        <f t="shared" si="393"/>
        <v/>
      </c>
      <c r="M1013" s="106" t="str">
        <f t="shared" si="376"/>
        <v/>
      </c>
    </row>
    <row r="1014" spans="1:14" s="5" customFormat="1" ht="30" customHeight="1" x14ac:dyDescent="0.25">
      <c r="A1014" s="14" t="s">
        <v>16</v>
      </c>
      <c r="B1014" s="16" t="s">
        <v>78</v>
      </c>
      <c r="C1014" s="25" t="s">
        <v>61</v>
      </c>
      <c r="D1014" s="81" t="s">
        <v>83</v>
      </c>
      <c r="E1014" s="38">
        <v>0</v>
      </c>
      <c r="F1014" s="39">
        <v>0</v>
      </c>
      <c r="G1014" s="40">
        <v>0</v>
      </c>
      <c r="H1014" s="41">
        <v>0</v>
      </c>
      <c r="I1014" s="42">
        <f t="shared" si="392"/>
        <v>0</v>
      </c>
      <c r="J1014" s="103" t="str">
        <f t="shared" si="393"/>
        <v/>
      </c>
      <c r="K1014" s="104" t="str">
        <f t="shared" si="393"/>
        <v/>
      </c>
      <c r="L1014" s="105" t="str">
        <f t="shared" si="393"/>
        <v/>
      </c>
      <c r="M1014" s="106" t="str">
        <f t="shared" si="376"/>
        <v/>
      </c>
    </row>
    <row r="1015" spans="1:14" s="5" customFormat="1" ht="30" customHeight="1" x14ac:dyDescent="0.25">
      <c r="A1015" s="14" t="s">
        <v>16</v>
      </c>
      <c r="B1015" s="16" t="s">
        <v>78</v>
      </c>
      <c r="C1015" s="25" t="s">
        <v>61</v>
      </c>
      <c r="D1015" s="81" t="s">
        <v>88</v>
      </c>
      <c r="E1015" s="38">
        <v>0</v>
      </c>
      <c r="F1015" s="39">
        <v>0</v>
      </c>
      <c r="G1015" s="40">
        <v>0</v>
      </c>
      <c r="H1015" s="41">
        <v>0</v>
      </c>
      <c r="I1015" s="42">
        <f t="shared" si="392"/>
        <v>0</v>
      </c>
      <c r="J1015" s="103" t="str">
        <f t="shared" si="393"/>
        <v/>
      </c>
      <c r="K1015" s="104" t="str">
        <f t="shared" si="393"/>
        <v/>
      </c>
      <c r="L1015" s="105" t="str">
        <f t="shared" si="393"/>
        <v/>
      </c>
      <c r="M1015" s="106" t="str">
        <f t="shared" si="376"/>
        <v/>
      </c>
    </row>
    <row r="1016" spans="1:14" s="5" customFormat="1" ht="30" customHeight="1" x14ac:dyDescent="0.25">
      <c r="A1016" s="14" t="s">
        <v>16</v>
      </c>
      <c r="B1016" s="16" t="s">
        <v>78</v>
      </c>
      <c r="C1016" s="25" t="s">
        <v>61</v>
      </c>
      <c r="D1016" s="81" t="s">
        <v>87</v>
      </c>
      <c r="E1016" s="38">
        <v>0</v>
      </c>
      <c r="F1016" s="39">
        <v>0</v>
      </c>
      <c r="G1016" s="40">
        <v>0</v>
      </c>
      <c r="H1016" s="41">
        <v>0</v>
      </c>
      <c r="I1016" s="42">
        <f t="shared" si="392"/>
        <v>0</v>
      </c>
      <c r="J1016" s="103" t="str">
        <f t="shared" si="393"/>
        <v/>
      </c>
      <c r="K1016" s="104" t="str">
        <f t="shared" si="393"/>
        <v/>
      </c>
      <c r="L1016" s="105" t="str">
        <f t="shared" si="393"/>
        <v/>
      </c>
      <c r="M1016" s="106" t="str">
        <f t="shared" si="376"/>
        <v/>
      </c>
    </row>
    <row r="1017" spans="1:14" s="5" customFormat="1" ht="30" customHeight="1" x14ac:dyDescent="0.25">
      <c r="A1017" s="14" t="s">
        <v>16</v>
      </c>
      <c r="B1017" s="16" t="s">
        <v>78</v>
      </c>
      <c r="C1017" s="25" t="s">
        <v>61</v>
      </c>
      <c r="D1017" s="81" t="s">
        <v>84</v>
      </c>
      <c r="E1017" s="38">
        <v>0</v>
      </c>
      <c r="F1017" s="39">
        <v>0</v>
      </c>
      <c r="G1017" s="40">
        <v>0</v>
      </c>
      <c r="H1017" s="41">
        <v>0</v>
      </c>
      <c r="I1017" s="42">
        <f t="shared" si="392"/>
        <v>0</v>
      </c>
      <c r="J1017" s="103" t="str">
        <f t="shared" si="393"/>
        <v/>
      </c>
      <c r="K1017" s="104" t="str">
        <f t="shared" si="393"/>
        <v/>
      </c>
      <c r="L1017" s="105" t="str">
        <f t="shared" si="393"/>
        <v/>
      </c>
      <c r="M1017" s="106" t="str">
        <f t="shared" si="376"/>
        <v/>
      </c>
    </row>
    <row r="1018" spans="1:14" s="5" customFormat="1" ht="30" customHeight="1" x14ac:dyDescent="0.25">
      <c r="A1018" s="14" t="s">
        <v>16</v>
      </c>
      <c r="B1018" s="16" t="s">
        <v>78</v>
      </c>
      <c r="C1018" s="25" t="s">
        <v>86</v>
      </c>
      <c r="D1018" s="81" t="s">
        <v>79</v>
      </c>
      <c r="E1018" s="38">
        <v>0</v>
      </c>
      <c r="F1018" s="39">
        <v>0</v>
      </c>
      <c r="G1018" s="40">
        <v>0</v>
      </c>
      <c r="H1018" s="41">
        <v>0</v>
      </c>
      <c r="I1018" s="42">
        <f t="shared" si="392"/>
        <v>0</v>
      </c>
      <c r="J1018" s="103" t="str">
        <f t="shared" si="393"/>
        <v/>
      </c>
      <c r="K1018" s="104" t="str">
        <f t="shared" si="393"/>
        <v/>
      </c>
      <c r="L1018" s="105" t="str">
        <f t="shared" si="393"/>
        <v/>
      </c>
      <c r="M1018" s="106" t="str">
        <f t="shared" si="376"/>
        <v/>
      </c>
      <c r="N1018" s="5" t="s">
        <v>1671</v>
      </c>
    </row>
    <row r="1019" spans="1:14" ht="5.0999999999999996" customHeight="1" x14ac:dyDescent="0.25">
      <c r="A1019" s="14" t="s">
        <v>16</v>
      </c>
      <c r="B1019" s="16" t="s">
        <v>78</v>
      </c>
      <c r="C1019"/>
      <c r="D1019" s="57"/>
      <c r="E1019" s="59"/>
      <c r="F1019" s="59"/>
      <c r="G1019" s="59"/>
      <c r="H1019" s="59"/>
      <c r="I1019" s="59"/>
      <c r="J1019" s="103"/>
      <c r="K1019" s="104"/>
      <c r="L1019" s="105"/>
      <c r="M1019" s="106" t="str">
        <f t="shared" si="376"/>
        <v/>
      </c>
    </row>
    <row r="1020" spans="1:14" s="5" customFormat="1" ht="20.100000000000001" customHeight="1" x14ac:dyDescent="0.25">
      <c r="A1020" s="14" t="s">
        <v>16</v>
      </c>
      <c r="B1020" s="16" t="s">
        <v>91</v>
      </c>
      <c r="C1020" s="25" t="s">
        <v>60</v>
      </c>
      <c r="D1020" s="6" t="s">
        <v>89</v>
      </c>
      <c r="E1020" s="37"/>
      <c r="F1020" s="37"/>
      <c r="G1020" s="37"/>
      <c r="H1020" s="37"/>
      <c r="I1020" s="48"/>
      <c r="J1020" s="103"/>
      <c r="K1020" s="104"/>
      <c r="L1020" s="105"/>
      <c r="M1020" s="106" t="str">
        <f t="shared" si="376"/>
        <v/>
      </c>
      <c r="N1020" s="5" t="s">
        <v>1673</v>
      </c>
    </row>
    <row r="1021" spans="1:14" s="5" customFormat="1" ht="30" customHeight="1" x14ac:dyDescent="0.25">
      <c r="A1021" s="14" t="s">
        <v>16</v>
      </c>
      <c r="B1021" s="16" t="s">
        <v>91</v>
      </c>
      <c r="C1021" s="25" t="s">
        <v>61</v>
      </c>
      <c r="D1021" s="82" t="s">
        <v>90</v>
      </c>
      <c r="E1021" s="38">
        <v>0</v>
      </c>
      <c r="F1021" s="39">
        <v>0</v>
      </c>
      <c r="G1021" s="40">
        <v>0</v>
      </c>
      <c r="H1021" s="41">
        <v>0</v>
      </c>
      <c r="I1021" s="42">
        <f t="shared" ref="I1021" si="394">SUM(E1021:H1021)</f>
        <v>0</v>
      </c>
      <c r="J1021" s="103" t="str">
        <f>IFERROR(E1021/$I1021*100,"")</f>
        <v/>
      </c>
      <c r="K1021" s="104" t="str">
        <f>IFERROR(F1021/$I1021*100,"")</f>
        <v/>
      </c>
      <c r="L1021" s="105" t="str">
        <f>IFERROR(G1021/$I1021*100,"")</f>
        <v/>
      </c>
      <c r="M1021" s="106" t="str">
        <f t="shared" si="376"/>
        <v/>
      </c>
      <c r="N1021" s="5" t="s">
        <v>1671</v>
      </c>
    </row>
    <row r="1022" spans="1:14" ht="5.0999999999999996" customHeight="1" x14ac:dyDescent="0.25">
      <c r="A1022" s="14" t="s">
        <v>16</v>
      </c>
      <c r="B1022" s="16" t="s">
        <v>91</v>
      </c>
      <c r="C1022"/>
      <c r="D1022" s="57"/>
      <c r="E1022" s="59"/>
      <c r="F1022" s="59"/>
      <c r="G1022" s="59"/>
      <c r="H1022" s="59"/>
      <c r="I1022" s="59"/>
      <c r="J1022" s="103"/>
      <c r="K1022" s="104"/>
      <c r="L1022" s="105"/>
      <c r="M1022" s="106" t="str">
        <f t="shared" si="376"/>
        <v/>
      </c>
    </row>
    <row r="1023" spans="1:14" s="5" customFormat="1" ht="20.100000000000001" customHeight="1" x14ac:dyDescent="0.25">
      <c r="A1023" s="14" t="s">
        <v>16</v>
      </c>
      <c r="B1023" s="16" t="s">
        <v>1916</v>
      </c>
      <c r="C1023" s="25" t="s">
        <v>60</v>
      </c>
      <c r="D1023" s="6" t="s">
        <v>1853</v>
      </c>
      <c r="E1023" s="37"/>
      <c r="F1023" s="37"/>
      <c r="G1023" s="37"/>
      <c r="H1023" s="37"/>
      <c r="I1023" s="48"/>
      <c r="J1023" s="103"/>
      <c r="K1023" s="104"/>
      <c r="L1023" s="105"/>
      <c r="M1023" s="106" t="str">
        <f t="shared" si="376"/>
        <v/>
      </c>
      <c r="N1023" s="5" t="s">
        <v>1673</v>
      </c>
    </row>
    <row r="1024" spans="1:14" s="5" customFormat="1" ht="30" customHeight="1" x14ac:dyDescent="0.25">
      <c r="A1024" s="14" t="s">
        <v>16</v>
      </c>
      <c r="B1024" s="16" t="s">
        <v>1916</v>
      </c>
      <c r="C1024" s="25" t="s">
        <v>61</v>
      </c>
      <c r="D1024" s="175" t="s">
        <v>1917</v>
      </c>
      <c r="E1024" s="38">
        <v>0</v>
      </c>
      <c r="F1024" s="39">
        <v>0</v>
      </c>
      <c r="G1024" s="40">
        <v>0</v>
      </c>
      <c r="H1024" s="41">
        <v>0</v>
      </c>
      <c r="I1024" s="42">
        <f t="shared" ref="I1024" si="395">SUM(E1024:H1024)</f>
        <v>0</v>
      </c>
      <c r="J1024" s="103" t="str">
        <f>IFERROR(E1024/$I1024*100,"")</f>
        <v/>
      </c>
      <c r="K1024" s="104" t="str">
        <f>IFERROR(F1024/$I1024*100,"")</f>
        <v/>
      </c>
      <c r="L1024" s="105" t="str">
        <f>IFERROR(G1024/$I1024*100,"")</f>
        <v/>
      </c>
      <c r="M1024" s="106" t="str">
        <f t="shared" si="376"/>
        <v/>
      </c>
      <c r="N1024" s="5" t="s">
        <v>1671</v>
      </c>
    </row>
    <row r="1025" spans="1:14" ht="5.0999999999999996" customHeight="1" x14ac:dyDescent="0.25">
      <c r="A1025" s="14" t="s">
        <v>16</v>
      </c>
      <c r="B1025" s="16" t="s">
        <v>1916</v>
      </c>
      <c r="C1025"/>
      <c r="D1025" s="57"/>
      <c r="E1025" s="59"/>
      <c r="F1025" s="59"/>
      <c r="G1025" s="59"/>
      <c r="H1025" s="59"/>
      <c r="I1025" s="59"/>
      <c r="J1025" s="103"/>
      <c r="K1025" s="104"/>
      <c r="L1025" s="105"/>
      <c r="M1025" s="106" t="str">
        <f t="shared" si="376"/>
        <v/>
      </c>
    </row>
    <row r="1026" spans="1:14" s="5" customFormat="1" ht="20.100000000000001" customHeight="1" x14ac:dyDescent="0.25">
      <c r="A1026" s="14" t="s">
        <v>16</v>
      </c>
      <c r="B1026" s="16" t="s">
        <v>1637</v>
      </c>
      <c r="C1026" s="25" t="s">
        <v>60</v>
      </c>
      <c r="D1026" s="6" t="s">
        <v>1636</v>
      </c>
      <c r="E1026" s="37"/>
      <c r="F1026" s="37"/>
      <c r="G1026" s="37"/>
      <c r="H1026" s="37"/>
      <c r="I1026" s="48"/>
      <c r="J1026" s="103"/>
      <c r="K1026" s="104"/>
      <c r="L1026" s="105"/>
      <c r="M1026" s="106" t="str">
        <f t="shared" si="376"/>
        <v/>
      </c>
      <c r="N1026" s="5" t="s">
        <v>1673</v>
      </c>
    </row>
    <row r="1027" spans="1:14" s="3" customFormat="1" ht="30" customHeight="1" x14ac:dyDescent="0.25">
      <c r="A1027" s="14" t="s">
        <v>16</v>
      </c>
      <c r="B1027" s="16" t="s">
        <v>1637</v>
      </c>
      <c r="C1027" s="25" t="s">
        <v>61</v>
      </c>
      <c r="D1027" s="87" t="s">
        <v>1638</v>
      </c>
      <c r="E1027" s="38">
        <v>0</v>
      </c>
      <c r="F1027" s="39">
        <v>0</v>
      </c>
      <c r="G1027" s="40">
        <v>0</v>
      </c>
      <c r="H1027" s="41">
        <v>0</v>
      </c>
      <c r="I1027" s="42">
        <f t="shared" ref="I1027:I1032" si="396">SUM(E1027:H1027)</f>
        <v>0</v>
      </c>
      <c r="J1027" s="103" t="str">
        <f t="shared" ref="J1027:L1031" si="397">IFERROR(E1027/$I1027*100,"")</f>
        <v/>
      </c>
      <c r="K1027" s="104" t="str">
        <f t="shared" si="397"/>
        <v/>
      </c>
      <c r="L1027" s="105" t="str">
        <f t="shared" si="397"/>
        <v/>
      </c>
      <c r="M1027" s="106" t="str">
        <f t="shared" si="376"/>
        <v/>
      </c>
    </row>
    <row r="1028" spans="1:14" s="3" customFormat="1" ht="30" customHeight="1" x14ac:dyDescent="0.25">
      <c r="A1028" s="14" t="s">
        <v>16</v>
      </c>
      <c r="B1028" s="16" t="s">
        <v>1637</v>
      </c>
      <c r="C1028" s="25" t="s">
        <v>61</v>
      </c>
      <c r="D1028" s="87" t="s">
        <v>1669</v>
      </c>
      <c r="E1028" s="38">
        <v>0</v>
      </c>
      <c r="F1028" s="39">
        <v>0</v>
      </c>
      <c r="G1028" s="40">
        <v>0</v>
      </c>
      <c r="H1028" s="41">
        <v>0</v>
      </c>
      <c r="I1028" s="42">
        <f t="shared" si="396"/>
        <v>0</v>
      </c>
      <c r="J1028" s="103" t="str">
        <f t="shared" si="397"/>
        <v/>
      </c>
      <c r="K1028" s="104" t="str">
        <f t="shared" si="397"/>
        <v/>
      </c>
      <c r="L1028" s="105" t="str">
        <f t="shared" si="397"/>
        <v/>
      </c>
      <c r="M1028" s="106" t="str">
        <f t="shared" si="376"/>
        <v/>
      </c>
    </row>
    <row r="1029" spans="1:14" s="3" customFormat="1" ht="30" customHeight="1" x14ac:dyDescent="0.25">
      <c r="A1029" s="14" t="s">
        <v>16</v>
      </c>
      <c r="B1029" s="16" t="s">
        <v>1637</v>
      </c>
      <c r="C1029" s="25" t="s">
        <v>61</v>
      </c>
      <c r="D1029" s="87" t="s">
        <v>1640</v>
      </c>
      <c r="E1029" s="38">
        <v>0</v>
      </c>
      <c r="F1029" s="39">
        <v>0</v>
      </c>
      <c r="G1029" s="40">
        <v>0</v>
      </c>
      <c r="H1029" s="41">
        <v>0</v>
      </c>
      <c r="I1029" s="42">
        <f t="shared" si="396"/>
        <v>0</v>
      </c>
      <c r="J1029" s="103" t="str">
        <f t="shared" si="397"/>
        <v/>
      </c>
      <c r="K1029" s="104" t="str">
        <f t="shared" si="397"/>
        <v/>
      </c>
      <c r="L1029" s="105" t="str">
        <f t="shared" si="397"/>
        <v/>
      </c>
      <c r="M1029" s="106" t="str">
        <f t="shared" si="376"/>
        <v/>
      </c>
    </row>
    <row r="1030" spans="1:14" s="3" customFormat="1" ht="30" customHeight="1" x14ac:dyDescent="0.25">
      <c r="A1030" s="14" t="s">
        <v>16</v>
      </c>
      <c r="B1030" s="16" t="s">
        <v>1637</v>
      </c>
      <c r="C1030" s="25" t="s">
        <v>61</v>
      </c>
      <c r="D1030" s="87" t="s">
        <v>1639</v>
      </c>
      <c r="E1030" s="38">
        <v>0</v>
      </c>
      <c r="F1030" s="39">
        <v>0</v>
      </c>
      <c r="G1030" s="40">
        <v>0</v>
      </c>
      <c r="H1030" s="41">
        <v>0</v>
      </c>
      <c r="I1030" s="42">
        <f t="shared" si="396"/>
        <v>0</v>
      </c>
      <c r="J1030" s="103" t="str">
        <f t="shared" si="397"/>
        <v/>
      </c>
      <c r="K1030" s="104" t="str">
        <f t="shared" si="397"/>
        <v/>
      </c>
      <c r="L1030" s="105" t="str">
        <f t="shared" si="397"/>
        <v/>
      </c>
      <c r="M1030" s="106" t="str">
        <f t="shared" si="376"/>
        <v/>
      </c>
    </row>
    <row r="1031" spans="1:14" s="3" customFormat="1" ht="30" customHeight="1" x14ac:dyDescent="0.25">
      <c r="A1031" s="14" t="s">
        <v>16</v>
      </c>
      <c r="B1031" s="16" t="s">
        <v>1637</v>
      </c>
      <c r="C1031" s="25" t="s">
        <v>61</v>
      </c>
      <c r="D1031" s="87" t="s">
        <v>1641</v>
      </c>
      <c r="E1031" s="38">
        <v>0</v>
      </c>
      <c r="F1031" s="39">
        <v>0</v>
      </c>
      <c r="G1031" s="40">
        <v>0</v>
      </c>
      <c r="H1031" s="41">
        <v>0</v>
      </c>
      <c r="I1031" s="42">
        <f t="shared" si="396"/>
        <v>0</v>
      </c>
      <c r="J1031" s="103" t="str">
        <f t="shared" si="397"/>
        <v/>
      </c>
      <c r="K1031" s="104" t="str">
        <f t="shared" si="397"/>
        <v/>
      </c>
      <c r="L1031" s="105" t="str">
        <f t="shared" si="397"/>
        <v/>
      </c>
      <c r="M1031" s="106" t="str">
        <f t="shared" si="376"/>
        <v/>
      </c>
    </row>
    <row r="1032" spans="1:14" s="3" customFormat="1" ht="30" customHeight="1" x14ac:dyDescent="0.25">
      <c r="A1032" s="14" t="s">
        <v>16</v>
      </c>
      <c r="B1032" s="16" t="s">
        <v>1637</v>
      </c>
      <c r="C1032" s="25"/>
      <c r="D1032" s="87" t="s">
        <v>29</v>
      </c>
      <c r="E1032" s="38">
        <f>SUM(E1027:E1031)</f>
        <v>0</v>
      </c>
      <c r="F1032" s="39">
        <f>SUM(F1027:F1031)</f>
        <v>0</v>
      </c>
      <c r="G1032" s="40">
        <f>SUM(G1027:G1031)</f>
        <v>0</v>
      </c>
      <c r="H1032" s="41">
        <f>SUM(H1027:H1031)</f>
        <v>0</v>
      </c>
      <c r="I1032" s="42">
        <f t="shared" si="396"/>
        <v>0</v>
      </c>
      <c r="J1032" s="103" t="str">
        <f>IFERROR(E1032/SUM($E1032:$H1032)*100,"")</f>
        <v/>
      </c>
      <c r="K1032" s="104" t="str">
        <f>IFERROR(F1032/SUM($E1032:$H1032)*100,"")</f>
        <v/>
      </c>
      <c r="L1032" s="105" t="str">
        <f>IFERROR(G1032/SUM($E1032:$H1032)*100,"")</f>
        <v/>
      </c>
      <c r="M1032" s="106" t="str">
        <f t="shared" si="376"/>
        <v/>
      </c>
      <c r="N1032" s="5" t="s">
        <v>1671</v>
      </c>
    </row>
    <row r="1033" spans="1:14" ht="5.0999999999999996" customHeight="1" x14ac:dyDescent="0.25">
      <c r="A1033" s="14" t="s">
        <v>16</v>
      </c>
      <c r="B1033" s="16" t="s">
        <v>1637</v>
      </c>
      <c r="C1033"/>
      <c r="J1033" s="103"/>
      <c r="K1033" s="104"/>
      <c r="L1033" s="105"/>
      <c r="M1033" s="106" t="str">
        <f t="shared" si="376"/>
        <v/>
      </c>
    </row>
    <row r="1034" spans="1:14" s="5" customFormat="1" ht="20.100000000000001" customHeight="1" x14ac:dyDescent="0.25">
      <c r="A1034" s="14" t="s">
        <v>16</v>
      </c>
      <c r="B1034" s="16" t="s">
        <v>42</v>
      </c>
      <c r="C1034" s="25" t="s">
        <v>60</v>
      </c>
      <c r="D1034" s="6" t="s">
        <v>1744</v>
      </c>
      <c r="E1034" s="37"/>
      <c r="F1034" s="37"/>
      <c r="G1034" s="37"/>
      <c r="H1034" s="37"/>
      <c r="I1034" s="48"/>
      <c r="J1034" s="103"/>
      <c r="K1034" s="104"/>
      <c r="L1034" s="105"/>
      <c r="M1034" s="106" t="str">
        <f t="shared" si="376"/>
        <v/>
      </c>
      <c r="N1034" s="5" t="s">
        <v>1673</v>
      </c>
    </row>
    <row r="1035" spans="1:14" s="3" customFormat="1" ht="30" customHeight="1" x14ac:dyDescent="0.25">
      <c r="A1035" s="14" t="s">
        <v>16</v>
      </c>
      <c r="B1035" s="16" t="s">
        <v>42</v>
      </c>
      <c r="C1035" s="25" t="s">
        <v>61</v>
      </c>
      <c r="D1035" s="12" t="s">
        <v>43</v>
      </c>
      <c r="E1035" s="38">
        <v>0</v>
      </c>
      <c r="F1035" s="39">
        <v>0</v>
      </c>
      <c r="G1035" s="40">
        <v>0</v>
      </c>
      <c r="H1035" s="41">
        <v>0</v>
      </c>
      <c r="I1035" s="42">
        <f t="shared" ref="I1035:I1044" si="398">SUM(E1035:H1035)</f>
        <v>0</v>
      </c>
      <c r="J1035" s="103" t="str">
        <f t="shared" ref="J1035:J1044" si="399">IFERROR(E1035/$I1035*100,"")</f>
        <v/>
      </c>
      <c r="K1035" s="104" t="str">
        <f t="shared" ref="K1035:K1044" si="400">IFERROR(F1035/$I1035*100,"")</f>
        <v/>
      </c>
      <c r="L1035" s="105" t="str">
        <f t="shared" ref="L1035:L1044" si="401">IFERROR(G1035/$I1035*100,"")</f>
        <v/>
      </c>
      <c r="M1035" s="106" t="str">
        <f t="shared" si="376"/>
        <v/>
      </c>
    </row>
    <row r="1036" spans="1:14" s="3" customFormat="1" ht="30" customHeight="1" x14ac:dyDescent="0.25">
      <c r="A1036" s="14" t="s">
        <v>16</v>
      </c>
      <c r="B1036" s="16" t="s">
        <v>42</v>
      </c>
      <c r="C1036" s="25" t="s">
        <v>61</v>
      </c>
      <c r="D1036" s="12" t="s">
        <v>44</v>
      </c>
      <c r="E1036" s="38">
        <v>0</v>
      </c>
      <c r="F1036" s="39">
        <v>0</v>
      </c>
      <c r="G1036" s="40">
        <v>0</v>
      </c>
      <c r="H1036" s="41">
        <v>0</v>
      </c>
      <c r="I1036" s="42">
        <f t="shared" si="398"/>
        <v>0</v>
      </c>
      <c r="J1036" s="103" t="str">
        <f t="shared" si="399"/>
        <v/>
      </c>
      <c r="K1036" s="104" t="str">
        <f t="shared" si="400"/>
        <v/>
      </c>
      <c r="L1036" s="105" t="str">
        <f t="shared" si="401"/>
        <v/>
      </c>
      <c r="M1036" s="106" t="str">
        <f t="shared" si="376"/>
        <v/>
      </c>
    </row>
    <row r="1037" spans="1:14" s="3" customFormat="1" ht="30" customHeight="1" x14ac:dyDescent="0.25">
      <c r="A1037" s="14" t="s">
        <v>16</v>
      </c>
      <c r="B1037" s="16" t="s">
        <v>42</v>
      </c>
      <c r="C1037" s="25" t="s">
        <v>61</v>
      </c>
      <c r="D1037" s="12" t="s">
        <v>45</v>
      </c>
      <c r="E1037" s="38">
        <v>0</v>
      </c>
      <c r="F1037" s="39">
        <v>0</v>
      </c>
      <c r="G1037" s="40">
        <v>0</v>
      </c>
      <c r="H1037" s="41">
        <v>0</v>
      </c>
      <c r="I1037" s="42">
        <f t="shared" si="398"/>
        <v>0</v>
      </c>
      <c r="J1037" s="103" t="str">
        <f t="shared" si="399"/>
        <v/>
      </c>
      <c r="K1037" s="104" t="str">
        <f t="shared" si="400"/>
        <v/>
      </c>
      <c r="L1037" s="105" t="str">
        <f t="shared" si="401"/>
        <v/>
      </c>
      <c r="M1037" s="106" t="str">
        <f t="shared" ref="M1037:M1100" si="402">IFERROR(H1037/$I1037*100,"")</f>
        <v/>
      </c>
    </row>
    <row r="1038" spans="1:14" s="3" customFormat="1" ht="30" customHeight="1" x14ac:dyDescent="0.25">
      <c r="A1038" s="14" t="s">
        <v>16</v>
      </c>
      <c r="B1038" s="16" t="s">
        <v>42</v>
      </c>
      <c r="C1038" s="25" t="s">
        <v>61</v>
      </c>
      <c r="D1038" s="12" t="s">
        <v>46</v>
      </c>
      <c r="E1038" s="38">
        <v>0</v>
      </c>
      <c r="F1038" s="39">
        <v>0</v>
      </c>
      <c r="G1038" s="40">
        <v>0</v>
      </c>
      <c r="H1038" s="41">
        <v>0</v>
      </c>
      <c r="I1038" s="42">
        <f t="shared" si="398"/>
        <v>0</v>
      </c>
      <c r="J1038" s="103" t="str">
        <f t="shared" si="399"/>
        <v/>
      </c>
      <c r="K1038" s="104" t="str">
        <f t="shared" si="400"/>
        <v/>
      </c>
      <c r="L1038" s="105" t="str">
        <f t="shared" si="401"/>
        <v/>
      </c>
      <c r="M1038" s="106" t="str">
        <f t="shared" si="402"/>
        <v/>
      </c>
    </row>
    <row r="1039" spans="1:14" s="3" customFormat="1" ht="30" customHeight="1" x14ac:dyDescent="0.25">
      <c r="A1039" s="14" t="s">
        <v>16</v>
      </c>
      <c r="B1039" s="16" t="s">
        <v>42</v>
      </c>
      <c r="C1039" s="25" t="s">
        <v>61</v>
      </c>
      <c r="D1039" s="12" t="s">
        <v>51</v>
      </c>
      <c r="E1039" s="38">
        <v>0</v>
      </c>
      <c r="F1039" s="39">
        <v>0</v>
      </c>
      <c r="G1039" s="40">
        <v>0</v>
      </c>
      <c r="H1039" s="41">
        <v>0</v>
      </c>
      <c r="I1039" s="42">
        <f t="shared" si="398"/>
        <v>0</v>
      </c>
      <c r="J1039" s="103" t="str">
        <f t="shared" si="399"/>
        <v/>
      </c>
      <c r="K1039" s="104" t="str">
        <f t="shared" si="400"/>
        <v/>
      </c>
      <c r="L1039" s="105" t="str">
        <f t="shared" si="401"/>
        <v/>
      </c>
      <c r="M1039" s="106" t="str">
        <f t="shared" si="402"/>
        <v/>
      </c>
    </row>
    <row r="1040" spans="1:14" s="3" customFormat="1" ht="30" customHeight="1" x14ac:dyDescent="0.25">
      <c r="A1040" s="14" t="s">
        <v>16</v>
      </c>
      <c r="B1040" s="16" t="s">
        <v>42</v>
      </c>
      <c r="C1040" s="25" t="s">
        <v>61</v>
      </c>
      <c r="D1040" s="12" t="s">
        <v>52</v>
      </c>
      <c r="E1040" s="38">
        <v>0</v>
      </c>
      <c r="F1040" s="39">
        <v>0</v>
      </c>
      <c r="G1040" s="40">
        <v>0</v>
      </c>
      <c r="H1040" s="41">
        <v>0</v>
      </c>
      <c r="I1040" s="42">
        <f t="shared" si="398"/>
        <v>0</v>
      </c>
      <c r="J1040" s="103" t="str">
        <f t="shared" si="399"/>
        <v/>
      </c>
      <c r="K1040" s="104" t="str">
        <f t="shared" si="400"/>
        <v/>
      </c>
      <c r="L1040" s="105" t="str">
        <f t="shared" si="401"/>
        <v/>
      </c>
      <c r="M1040" s="106" t="str">
        <f t="shared" si="402"/>
        <v/>
      </c>
    </row>
    <row r="1041" spans="1:14" s="3" customFormat="1" ht="30" customHeight="1" x14ac:dyDescent="0.25">
      <c r="A1041" s="14" t="s">
        <v>16</v>
      </c>
      <c r="B1041" s="16" t="s">
        <v>42</v>
      </c>
      <c r="C1041" s="25" t="s">
        <v>61</v>
      </c>
      <c r="D1041" s="12" t="s">
        <v>47</v>
      </c>
      <c r="E1041" s="38">
        <v>0</v>
      </c>
      <c r="F1041" s="39">
        <v>0</v>
      </c>
      <c r="G1041" s="40">
        <v>0</v>
      </c>
      <c r="H1041" s="41">
        <v>0</v>
      </c>
      <c r="I1041" s="42">
        <f t="shared" si="398"/>
        <v>0</v>
      </c>
      <c r="J1041" s="103" t="str">
        <f t="shared" si="399"/>
        <v/>
      </c>
      <c r="K1041" s="104" t="str">
        <f t="shared" si="400"/>
        <v/>
      </c>
      <c r="L1041" s="105" t="str">
        <f t="shared" si="401"/>
        <v/>
      </c>
      <c r="M1041" s="106" t="str">
        <f t="shared" si="402"/>
        <v/>
      </c>
    </row>
    <row r="1042" spans="1:14" s="3" customFormat="1" ht="30" customHeight="1" x14ac:dyDescent="0.25">
      <c r="A1042" s="14" t="s">
        <v>16</v>
      </c>
      <c r="B1042" s="16" t="s">
        <v>42</v>
      </c>
      <c r="C1042" s="25" t="s">
        <v>61</v>
      </c>
      <c r="D1042" s="12" t="s">
        <v>48</v>
      </c>
      <c r="E1042" s="38">
        <v>0</v>
      </c>
      <c r="F1042" s="39">
        <v>0</v>
      </c>
      <c r="G1042" s="40">
        <v>0</v>
      </c>
      <c r="H1042" s="41">
        <v>0</v>
      </c>
      <c r="I1042" s="42">
        <f t="shared" si="398"/>
        <v>0</v>
      </c>
      <c r="J1042" s="103" t="str">
        <f t="shared" si="399"/>
        <v/>
      </c>
      <c r="K1042" s="104" t="str">
        <f t="shared" si="400"/>
        <v/>
      </c>
      <c r="L1042" s="105" t="str">
        <f t="shared" si="401"/>
        <v/>
      </c>
      <c r="M1042" s="106" t="str">
        <f t="shared" si="402"/>
        <v/>
      </c>
    </row>
    <row r="1043" spans="1:14" s="3" customFormat="1" ht="30" customHeight="1" x14ac:dyDescent="0.25">
      <c r="A1043" s="14" t="s">
        <v>16</v>
      </c>
      <c r="B1043" s="16" t="s">
        <v>42</v>
      </c>
      <c r="C1043" s="25" t="s">
        <v>61</v>
      </c>
      <c r="D1043" s="12" t="s">
        <v>49</v>
      </c>
      <c r="E1043" s="38">
        <v>0</v>
      </c>
      <c r="F1043" s="39">
        <v>0</v>
      </c>
      <c r="G1043" s="40">
        <v>0</v>
      </c>
      <c r="H1043" s="41">
        <v>0</v>
      </c>
      <c r="I1043" s="42">
        <f t="shared" si="398"/>
        <v>0</v>
      </c>
      <c r="J1043" s="103" t="str">
        <f t="shared" si="399"/>
        <v/>
      </c>
      <c r="K1043" s="104" t="str">
        <f t="shared" si="400"/>
        <v/>
      </c>
      <c r="L1043" s="105" t="str">
        <f t="shared" si="401"/>
        <v/>
      </c>
      <c r="M1043" s="106" t="str">
        <f t="shared" si="402"/>
        <v/>
      </c>
    </row>
    <row r="1044" spans="1:14" s="3" customFormat="1" ht="30" customHeight="1" x14ac:dyDescent="0.25">
      <c r="A1044" s="14" t="s">
        <v>16</v>
      </c>
      <c r="B1044" s="16" t="s">
        <v>42</v>
      </c>
      <c r="C1044" s="25" t="s">
        <v>61</v>
      </c>
      <c r="D1044" s="12" t="s">
        <v>50</v>
      </c>
      <c r="E1044" s="38">
        <v>0</v>
      </c>
      <c r="F1044" s="39">
        <v>0</v>
      </c>
      <c r="G1044" s="40">
        <v>0</v>
      </c>
      <c r="H1044" s="41">
        <v>0</v>
      </c>
      <c r="I1044" s="42">
        <f t="shared" si="398"/>
        <v>0</v>
      </c>
      <c r="J1044" s="103" t="str">
        <f t="shared" si="399"/>
        <v/>
      </c>
      <c r="K1044" s="104" t="str">
        <f t="shared" si="400"/>
        <v/>
      </c>
      <c r="L1044" s="105" t="str">
        <f t="shared" si="401"/>
        <v/>
      </c>
      <c r="M1044" s="106" t="str">
        <f t="shared" si="402"/>
        <v/>
      </c>
    </row>
    <row r="1045" spans="1:14" s="8" customFormat="1" ht="30" customHeight="1" x14ac:dyDescent="0.25">
      <c r="A1045" s="14" t="s">
        <v>16</v>
      </c>
      <c r="B1045" s="16" t="s">
        <v>42</v>
      </c>
      <c r="C1045" s="25"/>
      <c r="D1045" s="9" t="s">
        <v>29</v>
      </c>
      <c r="E1045" s="38">
        <f>SUM(E1035:E1044)</f>
        <v>0</v>
      </c>
      <c r="F1045" s="39">
        <f t="shared" ref="F1045" si="403">SUM(F1035:F1044)</f>
        <v>0</v>
      </c>
      <c r="G1045" s="40">
        <f t="shared" ref="G1045" si="404">SUM(G1035:G1044)</f>
        <v>0</v>
      </c>
      <c r="H1045" s="41">
        <f t="shared" ref="H1045" si="405">SUM(H1035:H1044)</f>
        <v>0</v>
      </c>
      <c r="I1045" s="43">
        <f t="shared" ref="I1045" si="406">SUM(I1035:I1044)</f>
        <v>0</v>
      </c>
      <c r="J1045" s="103" t="str">
        <f>IFERROR(E1045/SUM($E1045:$H1045)*100,"")</f>
        <v/>
      </c>
      <c r="K1045" s="104" t="str">
        <f>IFERROR(F1045/SUM($E1045:$H1045)*100,"")</f>
        <v/>
      </c>
      <c r="L1045" s="105" t="str">
        <f>IFERROR(G1045/SUM($E1045:$H1045)*100,"")</f>
        <v/>
      </c>
      <c r="M1045" s="106" t="str">
        <f t="shared" si="402"/>
        <v/>
      </c>
      <c r="N1045" s="5" t="s">
        <v>1671</v>
      </c>
    </row>
    <row r="1046" spans="1:14" ht="5.0999999999999996" customHeight="1" x14ac:dyDescent="0.25">
      <c r="A1046" s="14" t="s">
        <v>16</v>
      </c>
      <c r="B1046" s="16" t="s">
        <v>42</v>
      </c>
      <c r="C1046"/>
      <c r="E1046" s="59"/>
      <c r="F1046" s="59"/>
      <c r="G1046" s="59"/>
      <c r="H1046" s="59"/>
      <c r="I1046" s="59"/>
      <c r="J1046" s="103"/>
      <c r="K1046" s="104"/>
      <c r="L1046" s="105"/>
      <c r="M1046" s="106" t="str">
        <f t="shared" si="402"/>
        <v/>
      </c>
    </row>
    <row r="1047" spans="1:14" s="7" customFormat="1" ht="20.100000000000001" customHeight="1" x14ac:dyDescent="0.25">
      <c r="A1047" s="14" t="s">
        <v>16</v>
      </c>
      <c r="B1047" s="16" t="s">
        <v>62</v>
      </c>
      <c r="C1047" s="25" t="s">
        <v>60</v>
      </c>
      <c r="D1047" s="62" t="s">
        <v>63</v>
      </c>
      <c r="E1047" s="63"/>
      <c r="F1047" s="63"/>
      <c r="G1047" s="63"/>
      <c r="H1047" s="63"/>
      <c r="I1047" s="64"/>
      <c r="J1047" s="103"/>
      <c r="K1047" s="104"/>
      <c r="L1047" s="105"/>
      <c r="M1047" s="106" t="str">
        <f t="shared" si="402"/>
        <v/>
      </c>
      <c r="N1047" s="5" t="s">
        <v>1673</v>
      </c>
    </row>
    <row r="1048" spans="1:14" s="8" customFormat="1" ht="30" customHeight="1" x14ac:dyDescent="0.25">
      <c r="A1048" s="14" t="s">
        <v>16</v>
      </c>
      <c r="B1048" s="16" t="s">
        <v>62</v>
      </c>
      <c r="C1048" s="25"/>
      <c r="D1048" s="12" t="s">
        <v>29</v>
      </c>
      <c r="E1048" s="38" t="e">
        <f>SUM(E998,E987,E1006,E1045,E1001,E1009,E1018,E1021,E1032,#REF!)</f>
        <v>#REF!</v>
      </c>
      <c r="F1048" s="39" t="e">
        <f>SUM(F998,F987,F1006,F1045,F1001,F1009,F1018,F1021,F1032,#REF!)</f>
        <v>#REF!</v>
      </c>
      <c r="G1048" s="40" t="e">
        <f>SUM(G998,G987,G1006,G1045,G1001,G1009,G1018,G1021,G1032,#REF!)</f>
        <v>#REF!</v>
      </c>
      <c r="H1048" s="41" t="e">
        <f>SUM(H998,H987,H1006,H1045,H1001,H1009,H1018,H1021,H1032,#REF!)</f>
        <v>#REF!</v>
      </c>
      <c r="I1048" s="42" t="e">
        <f>SUM(I998,I987,I1006,I1045,I1001,I1009,I1018,I1021,I1032,#REF!)</f>
        <v>#REF!</v>
      </c>
      <c r="J1048" s="103" t="str">
        <f>IFERROR(E1048/SUM($E1048:$H1048)*100,"")</f>
        <v/>
      </c>
      <c r="K1048" s="104" t="str">
        <f>IFERROR(F1048/SUM($E1048:$H1048)*100,"")</f>
        <v/>
      </c>
      <c r="L1048" s="105" t="str">
        <f>IFERROR(G1048/SUM($E1048:$H1048)*100,"")</f>
        <v/>
      </c>
      <c r="M1048" s="106" t="str">
        <f t="shared" si="402"/>
        <v/>
      </c>
      <c r="N1048" s="5" t="s">
        <v>1671</v>
      </c>
    </row>
    <row r="1049" spans="1:14" s="5" customFormat="1" ht="20.100000000000001" customHeight="1" x14ac:dyDescent="0.25">
      <c r="A1049" s="14" t="s">
        <v>16</v>
      </c>
      <c r="B1049" s="14"/>
      <c r="C1049" s="25" t="s">
        <v>60</v>
      </c>
      <c r="D1049" s="58"/>
      <c r="E1049" s="60"/>
      <c r="F1049" s="60"/>
      <c r="G1049" s="60"/>
      <c r="H1049" s="60"/>
      <c r="I1049" s="60"/>
      <c r="J1049" s="103"/>
      <c r="K1049" s="104"/>
      <c r="L1049" s="105"/>
      <c r="M1049" s="106" t="str">
        <f t="shared" si="402"/>
        <v/>
      </c>
    </row>
    <row r="1050" spans="1:14" s="5" customFormat="1" ht="20.100000000000001" customHeight="1" x14ac:dyDescent="0.25">
      <c r="A1050" s="14" t="s">
        <v>19</v>
      </c>
      <c r="B1050" s="14"/>
      <c r="C1050" s="25" t="s">
        <v>60</v>
      </c>
      <c r="D1050" s="20" t="str">
        <f>IFERROR(A1050&amp;"   ("&amp;COUNTIFS(#REF!,"="&amp;A1050)&amp;")",A1050)</f>
        <v>UTM</v>
      </c>
      <c r="E1050" s="45"/>
      <c r="F1050" s="45"/>
      <c r="G1050" s="45"/>
      <c r="H1050" s="45"/>
      <c r="I1050" s="46"/>
      <c r="J1050" s="103"/>
      <c r="K1050" s="104"/>
      <c r="L1050" s="105"/>
      <c r="M1050" s="106" t="str">
        <f t="shared" si="402"/>
        <v/>
      </c>
      <c r="N1050" s="5" t="s">
        <v>1672</v>
      </c>
    </row>
    <row r="1051" spans="1:14" s="5" customFormat="1" ht="20.100000000000001" customHeight="1" x14ac:dyDescent="0.25">
      <c r="A1051" s="14" t="s">
        <v>19</v>
      </c>
      <c r="B1051" s="16" t="s">
        <v>20</v>
      </c>
      <c r="C1051" s="25" t="s">
        <v>60</v>
      </c>
      <c r="D1051" s="6" t="s">
        <v>20</v>
      </c>
      <c r="E1051" s="37"/>
      <c r="F1051" s="37"/>
      <c r="G1051" s="37"/>
      <c r="H1051" s="37"/>
      <c r="I1051" s="48"/>
      <c r="J1051" s="103"/>
      <c r="K1051" s="104"/>
      <c r="L1051" s="105"/>
      <c r="M1051" s="106" t="str">
        <f t="shared" si="402"/>
        <v/>
      </c>
      <c r="N1051" s="5" t="s">
        <v>1673</v>
      </c>
    </row>
    <row r="1052" spans="1:14" s="5" customFormat="1" ht="30" customHeight="1" x14ac:dyDescent="0.25">
      <c r="A1052" s="14" t="s">
        <v>19</v>
      </c>
      <c r="B1052" s="16" t="s">
        <v>20</v>
      </c>
      <c r="C1052" s="25" t="s">
        <v>61</v>
      </c>
      <c r="D1052" s="12" t="s">
        <v>25</v>
      </c>
      <c r="E1052" s="38">
        <v>0</v>
      </c>
      <c r="F1052" s="39">
        <v>0</v>
      </c>
      <c r="G1052" s="40">
        <v>0</v>
      </c>
      <c r="H1052" s="41">
        <v>0</v>
      </c>
      <c r="I1052" s="42">
        <f>SUM(E1052:H1052)</f>
        <v>0</v>
      </c>
      <c r="J1052" s="103" t="str">
        <f>IFERROR(E1052/$I1052*100,"")</f>
        <v/>
      </c>
      <c r="K1052" s="104" t="str">
        <f>IFERROR(F1052/$I1052*100,"")</f>
        <v/>
      </c>
      <c r="L1052" s="105" t="str">
        <f>IFERROR(G1052/$I1052*100,"")</f>
        <v/>
      </c>
      <c r="M1052" s="106" t="str">
        <f t="shared" si="402"/>
        <v/>
      </c>
      <c r="N1052" s="5" t="s">
        <v>1671</v>
      </c>
    </row>
    <row r="1053" spans="1:14" ht="5.0999999999999996" customHeight="1" x14ac:dyDescent="0.25">
      <c r="A1053" s="14" t="s">
        <v>19</v>
      </c>
      <c r="B1053" s="16" t="s">
        <v>20</v>
      </c>
      <c r="C1053"/>
      <c r="D1053" s="57"/>
      <c r="E1053" s="59"/>
      <c r="F1053" s="59"/>
      <c r="G1053" s="59"/>
      <c r="H1053" s="59"/>
      <c r="I1053" s="59"/>
      <c r="J1053" s="103"/>
      <c r="K1053" s="104"/>
      <c r="L1053" s="105"/>
      <c r="M1053" s="106" t="str">
        <f t="shared" si="402"/>
        <v/>
      </c>
    </row>
    <row r="1054" spans="1:14" s="5" customFormat="1" ht="20.100000000000001" customHeight="1" x14ac:dyDescent="0.25">
      <c r="A1054" s="14" t="s">
        <v>19</v>
      </c>
      <c r="B1054" s="16" t="s">
        <v>26</v>
      </c>
      <c r="C1054" s="25" t="s">
        <v>60</v>
      </c>
      <c r="D1054" s="6" t="s">
        <v>98</v>
      </c>
      <c r="E1054" s="37"/>
      <c r="F1054" s="37"/>
      <c r="G1054" s="37"/>
      <c r="H1054" s="37"/>
      <c r="I1054" s="47"/>
      <c r="J1054" s="103"/>
      <c r="K1054" s="104"/>
      <c r="L1054" s="105"/>
      <c r="M1054" s="106" t="str">
        <f t="shared" si="402"/>
        <v/>
      </c>
      <c r="N1054" s="5" t="s">
        <v>1673</v>
      </c>
    </row>
    <row r="1055" spans="1:14" s="5" customFormat="1" ht="30" customHeight="1" x14ac:dyDescent="0.25">
      <c r="A1055" s="14" t="s">
        <v>19</v>
      </c>
      <c r="B1055" s="16" t="s">
        <v>26</v>
      </c>
      <c r="C1055" s="25" t="s">
        <v>61</v>
      </c>
      <c r="D1055" s="31" t="s">
        <v>21</v>
      </c>
      <c r="E1055" s="38">
        <v>0</v>
      </c>
      <c r="F1055" s="39">
        <v>0</v>
      </c>
      <c r="G1055" s="40">
        <v>0</v>
      </c>
      <c r="H1055" s="41">
        <v>0</v>
      </c>
      <c r="I1055" s="42">
        <f t="shared" ref="I1055:I1062" si="407">SUM(E1055:H1055)</f>
        <v>0</v>
      </c>
      <c r="J1055" s="103" t="str">
        <f t="shared" ref="J1055:L1062" si="408">IFERROR(E1055/$I1055*100,"")</f>
        <v/>
      </c>
      <c r="K1055" s="104" t="str">
        <f t="shared" si="408"/>
        <v/>
      </c>
      <c r="L1055" s="105" t="str">
        <f t="shared" si="408"/>
        <v/>
      </c>
      <c r="M1055" s="106" t="str">
        <f t="shared" si="402"/>
        <v/>
      </c>
    </row>
    <row r="1056" spans="1:14" s="5" customFormat="1" ht="30" customHeight="1" x14ac:dyDescent="0.25">
      <c r="A1056" s="14" t="s">
        <v>19</v>
      </c>
      <c r="B1056" s="16" t="s">
        <v>26</v>
      </c>
      <c r="C1056" s="25" t="s">
        <v>61</v>
      </c>
      <c r="D1056" s="31" t="s">
        <v>22</v>
      </c>
      <c r="E1056" s="38">
        <v>0</v>
      </c>
      <c r="F1056" s="39">
        <v>0</v>
      </c>
      <c r="G1056" s="40">
        <v>0</v>
      </c>
      <c r="H1056" s="41">
        <v>0</v>
      </c>
      <c r="I1056" s="42">
        <f t="shared" si="407"/>
        <v>0</v>
      </c>
      <c r="J1056" s="103" t="str">
        <f t="shared" si="408"/>
        <v/>
      </c>
      <c r="K1056" s="104" t="str">
        <f t="shared" si="408"/>
        <v/>
      </c>
      <c r="L1056" s="105" t="str">
        <f t="shared" si="408"/>
        <v/>
      </c>
      <c r="M1056" s="106" t="str">
        <f t="shared" si="402"/>
        <v/>
      </c>
    </row>
    <row r="1057" spans="1:14" s="5" customFormat="1" ht="30" customHeight="1" x14ac:dyDescent="0.25">
      <c r="A1057" s="14" t="s">
        <v>19</v>
      </c>
      <c r="B1057" s="16" t="s">
        <v>26</v>
      </c>
      <c r="C1057" s="25" t="s">
        <v>61</v>
      </c>
      <c r="D1057" s="31" t="s">
        <v>27</v>
      </c>
      <c r="E1057" s="38">
        <v>0</v>
      </c>
      <c r="F1057" s="39">
        <v>0</v>
      </c>
      <c r="G1057" s="40">
        <v>0</v>
      </c>
      <c r="H1057" s="41">
        <v>0</v>
      </c>
      <c r="I1057" s="42">
        <f t="shared" si="407"/>
        <v>0</v>
      </c>
      <c r="J1057" s="103" t="str">
        <f t="shared" si="408"/>
        <v/>
      </c>
      <c r="K1057" s="104" t="str">
        <f t="shared" si="408"/>
        <v/>
      </c>
      <c r="L1057" s="105" t="str">
        <f t="shared" si="408"/>
        <v/>
      </c>
      <c r="M1057" s="106" t="str">
        <f t="shared" si="402"/>
        <v/>
      </c>
    </row>
    <row r="1058" spans="1:14" s="5" customFormat="1" ht="30" customHeight="1" x14ac:dyDescent="0.25">
      <c r="A1058" s="14" t="s">
        <v>19</v>
      </c>
      <c r="B1058" s="16" t="s">
        <v>26</v>
      </c>
      <c r="C1058" s="25" t="s">
        <v>61</v>
      </c>
      <c r="D1058" s="31" t="s">
        <v>23</v>
      </c>
      <c r="E1058" s="38">
        <v>0</v>
      </c>
      <c r="F1058" s="39">
        <v>0</v>
      </c>
      <c r="G1058" s="40">
        <v>0</v>
      </c>
      <c r="H1058" s="41">
        <v>0</v>
      </c>
      <c r="I1058" s="42">
        <f t="shared" si="407"/>
        <v>0</v>
      </c>
      <c r="J1058" s="103" t="str">
        <f t="shared" si="408"/>
        <v/>
      </c>
      <c r="K1058" s="104" t="str">
        <f t="shared" si="408"/>
        <v/>
      </c>
      <c r="L1058" s="105" t="str">
        <f t="shared" si="408"/>
        <v/>
      </c>
      <c r="M1058" s="106" t="str">
        <f t="shared" si="402"/>
        <v/>
      </c>
    </row>
    <row r="1059" spans="1:14" s="5" customFormat="1" ht="30" customHeight="1" x14ac:dyDescent="0.25">
      <c r="A1059" s="14" t="s">
        <v>19</v>
      </c>
      <c r="B1059" s="16" t="s">
        <v>26</v>
      </c>
      <c r="C1059" s="25" t="s">
        <v>61</v>
      </c>
      <c r="D1059" s="31" t="s">
        <v>24</v>
      </c>
      <c r="E1059" s="38">
        <v>0</v>
      </c>
      <c r="F1059" s="39">
        <v>0</v>
      </c>
      <c r="G1059" s="40">
        <v>0</v>
      </c>
      <c r="H1059" s="41">
        <v>0</v>
      </c>
      <c r="I1059" s="42">
        <f t="shared" si="407"/>
        <v>0</v>
      </c>
      <c r="J1059" s="103" t="str">
        <f t="shared" si="408"/>
        <v/>
      </c>
      <c r="K1059" s="104" t="str">
        <f t="shared" si="408"/>
        <v/>
      </c>
      <c r="L1059" s="105" t="str">
        <f t="shared" si="408"/>
        <v/>
      </c>
      <c r="M1059" s="106" t="str">
        <f t="shared" si="402"/>
        <v/>
      </c>
    </row>
    <row r="1060" spans="1:14" s="3" customFormat="1" ht="30" customHeight="1" x14ac:dyDescent="0.25">
      <c r="A1060" s="14" t="s">
        <v>19</v>
      </c>
      <c r="B1060" s="16" t="s">
        <v>26</v>
      </c>
      <c r="C1060" s="25" t="s">
        <v>61</v>
      </c>
      <c r="D1060" s="31" t="s">
        <v>41</v>
      </c>
      <c r="E1060" s="38">
        <v>0</v>
      </c>
      <c r="F1060" s="39">
        <v>0</v>
      </c>
      <c r="G1060" s="40">
        <v>0</v>
      </c>
      <c r="H1060" s="41">
        <v>0</v>
      </c>
      <c r="I1060" s="42">
        <f t="shared" si="407"/>
        <v>0</v>
      </c>
      <c r="J1060" s="103" t="str">
        <f t="shared" si="408"/>
        <v/>
      </c>
      <c r="K1060" s="104" t="str">
        <f t="shared" si="408"/>
        <v/>
      </c>
      <c r="L1060" s="105" t="str">
        <f t="shared" si="408"/>
        <v/>
      </c>
      <c r="M1060" s="106" t="str">
        <f t="shared" si="402"/>
        <v/>
      </c>
    </row>
    <row r="1061" spans="1:14" s="5" customFormat="1" ht="30" customHeight="1" x14ac:dyDescent="0.25">
      <c r="A1061" s="14" t="s">
        <v>19</v>
      </c>
      <c r="B1061" s="16" t="s">
        <v>26</v>
      </c>
      <c r="C1061" s="25" t="s">
        <v>61</v>
      </c>
      <c r="D1061" s="31" t="s">
        <v>28</v>
      </c>
      <c r="E1061" s="38">
        <v>0</v>
      </c>
      <c r="F1061" s="39">
        <v>0</v>
      </c>
      <c r="G1061" s="40">
        <v>0</v>
      </c>
      <c r="H1061" s="41">
        <v>0</v>
      </c>
      <c r="I1061" s="42">
        <f t="shared" si="407"/>
        <v>0</v>
      </c>
      <c r="J1061" s="103" t="str">
        <f t="shared" si="408"/>
        <v/>
      </c>
      <c r="K1061" s="104" t="str">
        <f t="shared" si="408"/>
        <v/>
      </c>
      <c r="L1061" s="105" t="str">
        <f t="shared" si="408"/>
        <v/>
      </c>
      <c r="M1061" s="106" t="str">
        <f t="shared" si="402"/>
        <v/>
      </c>
    </row>
    <row r="1062" spans="1:14" s="5" customFormat="1" ht="30" customHeight="1" x14ac:dyDescent="0.25">
      <c r="A1062" s="14" t="s">
        <v>19</v>
      </c>
      <c r="B1062" s="16" t="s">
        <v>26</v>
      </c>
      <c r="C1062" s="25" t="s">
        <v>61</v>
      </c>
      <c r="D1062" s="31" t="s">
        <v>40</v>
      </c>
      <c r="E1062" s="38">
        <v>0</v>
      </c>
      <c r="F1062" s="39">
        <v>0</v>
      </c>
      <c r="G1062" s="40">
        <v>0</v>
      </c>
      <c r="H1062" s="41">
        <v>0</v>
      </c>
      <c r="I1062" s="42">
        <f t="shared" si="407"/>
        <v>0</v>
      </c>
      <c r="J1062" s="103" t="str">
        <f t="shared" si="408"/>
        <v/>
      </c>
      <c r="K1062" s="104" t="str">
        <f t="shared" si="408"/>
        <v/>
      </c>
      <c r="L1062" s="105" t="str">
        <f t="shared" si="408"/>
        <v/>
      </c>
      <c r="M1062" s="106" t="str">
        <f t="shared" si="402"/>
        <v/>
      </c>
    </row>
    <row r="1063" spans="1:14" s="5" customFormat="1" ht="30" customHeight="1" x14ac:dyDescent="0.25">
      <c r="A1063" s="14" t="s">
        <v>19</v>
      </c>
      <c r="B1063" s="16" t="s">
        <v>26</v>
      </c>
      <c r="C1063" s="25"/>
      <c r="D1063" s="9" t="s">
        <v>29</v>
      </c>
      <c r="E1063" s="38">
        <f>SUM(E1055:E1062)</f>
        <v>0</v>
      </c>
      <c r="F1063" s="39">
        <f t="shared" ref="F1063" si="409">SUM(F1055:F1062)</f>
        <v>0</v>
      </c>
      <c r="G1063" s="40">
        <f t="shared" ref="G1063" si="410">SUM(G1055:G1062)</f>
        <v>0</v>
      </c>
      <c r="H1063" s="41">
        <f t="shared" ref="H1063" si="411">SUM(H1055:H1062)</f>
        <v>0</v>
      </c>
      <c r="I1063" s="43">
        <f t="shared" ref="I1063" si="412">SUM(I1055:I1062)</f>
        <v>0</v>
      </c>
      <c r="J1063" s="103" t="str">
        <f>IFERROR(E1063/SUM($E1063:$H1063)*100,"")</f>
        <v/>
      </c>
      <c r="K1063" s="104" t="str">
        <f>IFERROR(F1063/SUM($E1063:$H1063)*100,"")</f>
        <v/>
      </c>
      <c r="L1063" s="105" t="str">
        <f>IFERROR(G1063/SUM($E1063:$H1063)*100,"")</f>
        <v/>
      </c>
      <c r="M1063" s="106" t="str">
        <f t="shared" si="402"/>
        <v/>
      </c>
      <c r="N1063" s="5" t="s">
        <v>1671</v>
      </c>
    </row>
    <row r="1064" spans="1:14" ht="5.0999999999999996" customHeight="1" x14ac:dyDescent="0.25">
      <c r="A1064" s="14" t="s">
        <v>19</v>
      </c>
      <c r="B1064" s="16" t="s">
        <v>26</v>
      </c>
      <c r="C1064"/>
      <c r="D1064" s="57"/>
      <c r="E1064" s="59"/>
      <c r="F1064" s="59"/>
      <c r="G1064" s="59"/>
      <c r="H1064" s="59"/>
      <c r="I1064" s="59"/>
      <c r="J1064" s="103"/>
      <c r="K1064" s="104"/>
      <c r="L1064" s="105"/>
      <c r="M1064" s="106" t="str">
        <f t="shared" si="402"/>
        <v/>
      </c>
    </row>
    <row r="1065" spans="1:14" s="5" customFormat="1" ht="20.100000000000001" customHeight="1" x14ac:dyDescent="0.25">
      <c r="A1065" s="14" t="s">
        <v>19</v>
      </c>
      <c r="B1065" s="16" t="s">
        <v>64</v>
      </c>
      <c r="C1065" s="25" t="s">
        <v>60</v>
      </c>
      <c r="D1065" s="6" t="s">
        <v>65</v>
      </c>
      <c r="E1065" s="37"/>
      <c r="F1065" s="37"/>
      <c r="G1065" s="37"/>
      <c r="H1065" s="37"/>
      <c r="I1065" s="48"/>
      <c r="J1065" s="103"/>
      <c r="K1065" s="104"/>
      <c r="L1065" s="105"/>
      <c r="M1065" s="106" t="str">
        <f t="shared" si="402"/>
        <v/>
      </c>
      <c r="N1065" s="5" t="s">
        <v>1673</v>
      </c>
    </row>
    <row r="1066" spans="1:14" s="5" customFormat="1" ht="30" customHeight="1" x14ac:dyDescent="0.25">
      <c r="A1066" s="14" t="s">
        <v>19</v>
      </c>
      <c r="B1066" s="16" t="s">
        <v>64</v>
      </c>
      <c r="C1066" s="25" t="s">
        <v>61</v>
      </c>
      <c r="D1066" s="12" t="s">
        <v>66</v>
      </c>
      <c r="E1066" s="38">
        <v>0</v>
      </c>
      <c r="F1066" s="39">
        <v>0</v>
      </c>
      <c r="G1066" s="40">
        <v>0</v>
      </c>
      <c r="H1066" s="41">
        <v>0</v>
      </c>
      <c r="I1066" s="42">
        <f>SUM(E1066:H1066)</f>
        <v>0</v>
      </c>
      <c r="J1066" s="103" t="str">
        <f>IFERROR(E1066/$I1066*100,"")</f>
        <v/>
      </c>
      <c r="K1066" s="104" t="str">
        <f>IFERROR(F1066/$I1066*100,"")</f>
        <v/>
      </c>
      <c r="L1066" s="105" t="str">
        <f>IFERROR(G1066/$I1066*100,"")</f>
        <v/>
      </c>
      <c r="M1066" s="106" t="str">
        <f t="shared" si="402"/>
        <v/>
      </c>
      <c r="N1066" s="5" t="s">
        <v>1671</v>
      </c>
    </row>
    <row r="1067" spans="1:14" ht="5.0999999999999996" customHeight="1" x14ac:dyDescent="0.25">
      <c r="A1067" s="14" t="s">
        <v>19</v>
      </c>
      <c r="B1067" s="16" t="s">
        <v>64</v>
      </c>
      <c r="C1067"/>
      <c r="D1067" s="57"/>
      <c r="E1067" s="59"/>
      <c r="F1067" s="59"/>
      <c r="G1067" s="59"/>
      <c r="H1067" s="59"/>
      <c r="I1067" s="59"/>
      <c r="J1067" s="103"/>
      <c r="K1067" s="104"/>
      <c r="L1067" s="105"/>
      <c r="M1067" s="106" t="str">
        <f t="shared" si="402"/>
        <v/>
      </c>
    </row>
    <row r="1068" spans="1:14" s="5" customFormat="1" ht="20.100000000000001" customHeight="1" x14ac:dyDescent="0.25">
      <c r="A1068" s="14" t="s">
        <v>19</v>
      </c>
      <c r="B1068" s="16" t="s">
        <v>55</v>
      </c>
      <c r="C1068" s="25" t="s">
        <v>60</v>
      </c>
      <c r="D1068" s="6" t="s">
        <v>55</v>
      </c>
      <c r="E1068" s="37"/>
      <c r="F1068" s="37"/>
      <c r="G1068" s="37"/>
      <c r="H1068" s="37"/>
      <c r="I1068" s="48"/>
      <c r="J1068" s="103"/>
      <c r="K1068" s="104"/>
      <c r="L1068" s="105"/>
      <c r="M1068" s="106" t="str">
        <f t="shared" si="402"/>
        <v/>
      </c>
      <c r="N1068" s="5" t="s">
        <v>1673</v>
      </c>
    </row>
    <row r="1069" spans="1:14" s="3" customFormat="1" ht="30" customHeight="1" x14ac:dyDescent="0.25">
      <c r="A1069" s="14" t="s">
        <v>19</v>
      </c>
      <c r="B1069" s="16" t="s">
        <v>55</v>
      </c>
      <c r="C1069" s="25" t="s">
        <v>61</v>
      </c>
      <c r="D1069" s="12" t="s">
        <v>56</v>
      </c>
      <c r="E1069" s="38">
        <v>0</v>
      </c>
      <c r="F1069" s="39">
        <v>0</v>
      </c>
      <c r="G1069" s="40">
        <v>0</v>
      </c>
      <c r="H1069" s="41">
        <v>0</v>
      </c>
      <c r="I1069" s="42">
        <f>SUM(E1069:H1069)</f>
        <v>0</v>
      </c>
      <c r="J1069" s="103" t="str">
        <f t="shared" ref="J1069:L1071" si="413">IFERROR(E1069/$I1069*100,"")</f>
        <v/>
      </c>
      <c r="K1069" s="104" t="str">
        <f t="shared" si="413"/>
        <v/>
      </c>
      <c r="L1069" s="105" t="str">
        <f t="shared" si="413"/>
        <v/>
      </c>
      <c r="M1069" s="106" t="str">
        <f t="shared" si="402"/>
        <v/>
      </c>
      <c r="N1069" s="5"/>
    </row>
    <row r="1070" spans="1:14" s="3" customFormat="1" ht="30" customHeight="1" x14ac:dyDescent="0.25">
      <c r="A1070" s="14" t="s">
        <v>19</v>
      </c>
      <c r="B1070" s="16" t="s">
        <v>55</v>
      </c>
      <c r="C1070" s="25" t="s">
        <v>61</v>
      </c>
      <c r="D1070" s="12" t="s">
        <v>57</v>
      </c>
      <c r="E1070" s="38">
        <v>0</v>
      </c>
      <c r="F1070" s="39">
        <v>0</v>
      </c>
      <c r="G1070" s="40">
        <v>0</v>
      </c>
      <c r="H1070" s="41">
        <v>0</v>
      </c>
      <c r="I1070" s="42">
        <f>SUM(E1070:H1070)</f>
        <v>0</v>
      </c>
      <c r="J1070" s="103" t="str">
        <f t="shared" si="413"/>
        <v/>
      </c>
      <c r="K1070" s="104" t="str">
        <f t="shared" si="413"/>
        <v/>
      </c>
      <c r="L1070" s="105" t="str">
        <f t="shared" si="413"/>
        <v/>
      </c>
      <c r="M1070" s="106" t="str">
        <f t="shared" si="402"/>
        <v/>
      </c>
    </row>
    <row r="1071" spans="1:14" s="3" customFormat="1" ht="30" customHeight="1" x14ac:dyDescent="0.25">
      <c r="A1071" s="14" t="s">
        <v>19</v>
      </c>
      <c r="B1071" s="16" t="s">
        <v>55</v>
      </c>
      <c r="C1071" s="25"/>
      <c r="D1071" s="91" t="s">
        <v>29</v>
      </c>
      <c r="E1071" s="38">
        <f>SUM(E1069:E1070)</f>
        <v>0</v>
      </c>
      <c r="F1071" s="39">
        <f t="shared" ref="F1071" si="414">SUM(F1069:F1070)</f>
        <v>0</v>
      </c>
      <c r="G1071" s="40">
        <f t="shared" ref="G1071" si="415">SUM(G1069:G1070)</f>
        <v>0</v>
      </c>
      <c r="H1071" s="41">
        <f t="shared" ref="H1071" si="416">SUM(H1069:H1070)</f>
        <v>0</v>
      </c>
      <c r="I1071" s="42">
        <f t="shared" ref="I1071" si="417">SUM(I1069:I1070)</f>
        <v>0</v>
      </c>
      <c r="J1071" s="103" t="str">
        <f t="shared" si="413"/>
        <v/>
      </c>
      <c r="K1071" s="104" t="str">
        <f t="shared" si="413"/>
        <v/>
      </c>
      <c r="L1071" s="105" t="str">
        <f t="shared" si="413"/>
        <v/>
      </c>
      <c r="M1071" s="106" t="str">
        <f t="shared" si="402"/>
        <v/>
      </c>
      <c r="N1071" s="5" t="s">
        <v>1671</v>
      </c>
    </row>
    <row r="1072" spans="1:14" ht="5.0999999999999996" customHeight="1" x14ac:dyDescent="0.25">
      <c r="A1072" s="14" t="s">
        <v>19</v>
      </c>
      <c r="B1072" s="16" t="s">
        <v>55</v>
      </c>
      <c r="C1072"/>
      <c r="D1072" s="57"/>
      <c r="E1072" s="59"/>
      <c r="F1072" s="59"/>
      <c r="G1072" s="59"/>
      <c r="H1072" s="59"/>
      <c r="I1072" s="59"/>
      <c r="J1072" s="103"/>
      <c r="K1072" s="104"/>
      <c r="L1072" s="105"/>
      <c r="M1072" s="106" t="str">
        <f t="shared" si="402"/>
        <v/>
      </c>
    </row>
    <row r="1073" spans="1:14" s="5" customFormat="1" ht="20.100000000000001" customHeight="1" x14ac:dyDescent="0.25">
      <c r="A1073" s="14" t="s">
        <v>19</v>
      </c>
      <c r="B1073" s="16" t="s">
        <v>74</v>
      </c>
      <c r="C1073" s="25" t="s">
        <v>60</v>
      </c>
      <c r="D1073" s="6" t="s">
        <v>75</v>
      </c>
      <c r="E1073" s="37"/>
      <c r="F1073" s="37"/>
      <c r="G1073" s="37"/>
      <c r="H1073" s="37"/>
      <c r="I1073" s="48"/>
      <c r="J1073" s="103"/>
      <c r="K1073" s="104"/>
      <c r="L1073" s="105"/>
      <c r="M1073" s="106" t="str">
        <f t="shared" si="402"/>
        <v/>
      </c>
      <c r="N1073" s="5" t="s">
        <v>1673</v>
      </c>
    </row>
    <row r="1074" spans="1:14" s="3" customFormat="1" ht="30" customHeight="1" x14ac:dyDescent="0.25">
      <c r="A1074" s="14" t="s">
        <v>19</v>
      </c>
      <c r="B1074" s="16" t="s">
        <v>74</v>
      </c>
      <c r="C1074" s="25" t="s">
        <v>61</v>
      </c>
      <c r="D1074" s="12" t="s">
        <v>77</v>
      </c>
      <c r="E1074" s="38">
        <v>0</v>
      </c>
      <c r="F1074" s="39">
        <v>0</v>
      </c>
      <c r="G1074" s="40">
        <v>0</v>
      </c>
      <c r="H1074" s="41">
        <v>0</v>
      </c>
      <c r="I1074" s="42">
        <f>SUM(E1074:H1074)</f>
        <v>0</v>
      </c>
      <c r="J1074" s="103" t="str">
        <f>IFERROR(E1074/$I1074*100,"")</f>
        <v/>
      </c>
      <c r="K1074" s="104" t="str">
        <f>IFERROR(F1074/$I1074*100,"")</f>
        <v/>
      </c>
      <c r="L1074" s="105" t="str">
        <f>IFERROR(G1074/$I1074*100,"")</f>
        <v/>
      </c>
      <c r="M1074" s="106" t="str">
        <f t="shared" si="402"/>
        <v/>
      </c>
      <c r="N1074" s="3" t="s">
        <v>1671</v>
      </c>
    </row>
    <row r="1075" spans="1:14" ht="5.0999999999999996" customHeight="1" x14ac:dyDescent="0.25">
      <c r="A1075" s="14" t="s">
        <v>19</v>
      </c>
      <c r="B1075" s="16" t="s">
        <v>74</v>
      </c>
      <c r="C1075"/>
      <c r="D1075" s="57"/>
      <c r="E1075" s="59"/>
      <c r="F1075" s="59"/>
      <c r="G1075" s="59"/>
      <c r="H1075" s="59"/>
      <c r="I1075" s="59"/>
      <c r="J1075" s="103"/>
      <c r="K1075" s="104"/>
      <c r="L1075" s="105"/>
      <c r="M1075" s="106" t="str">
        <f t="shared" si="402"/>
        <v/>
      </c>
    </row>
    <row r="1076" spans="1:14" s="5" customFormat="1" ht="20.100000000000001" customHeight="1" x14ac:dyDescent="0.25">
      <c r="A1076" s="14" t="s">
        <v>19</v>
      </c>
      <c r="B1076" s="16" t="s">
        <v>78</v>
      </c>
      <c r="C1076" s="25" t="s">
        <v>60</v>
      </c>
      <c r="D1076" s="6" t="s">
        <v>80</v>
      </c>
      <c r="E1076" s="37"/>
      <c r="F1076" s="37"/>
      <c r="G1076" s="37"/>
      <c r="H1076" s="37"/>
      <c r="I1076" s="48"/>
      <c r="J1076" s="103"/>
      <c r="K1076" s="104"/>
      <c r="L1076" s="105"/>
      <c r="M1076" s="106" t="str">
        <f t="shared" si="402"/>
        <v/>
      </c>
      <c r="N1076" s="5" t="s">
        <v>1673</v>
      </c>
    </row>
    <row r="1077" spans="1:14" s="5" customFormat="1" ht="30" customHeight="1" x14ac:dyDescent="0.25">
      <c r="A1077" s="14" t="s">
        <v>19</v>
      </c>
      <c r="B1077" s="16" t="s">
        <v>78</v>
      </c>
      <c r="C1077" s="25" t="s">
        <v>61</v>
      </c>
      <c r="D1077" s="81" t="s">
        <v>81</v>
      </c>
      <c r="E1077" s="38">
        <v>0</v>
      </c>
      <c r="F1077" s="39">
        <v>0</v>
      </c>
      <c r="G1077" s="40">
        <v>0</v>
      </c>
      <c r="H1077" s="41">
        <v>0</v>
      </c>
      <c r="I1077" s="42">
        <f t="shared" ref="I1077:I1083" si="418">SUM(E1077:H1077)</f>
        <v>0</v>
      </c>
      <c r="J1077" s="103" t="str">
        <f t="shared" ref="J1077:L1083" si="419">IFERROR(E1077/$I1077*100,"")</f>
        <v/>
      </c>
      <c r="K1077" s="104" t="str">
        <f t="shared" si="419"/>
        <v/>
      </c>
      <c r="L1077" s="105" t="str">
        <f t="shared" si="419"/>
        <v/>
      </c>
      <c r="M1077" s="106" t="str">
        <f t="shared" si="402"/>
        <v/>
      </c>
    </row>
    <row r="1078" spans="1:14" s="5" customFormat="1" ht="30" customHeight="1" x14ac:dyDescent="0.25">
      <c r="A1078" s="14" t="s">
        <v>19</v>
      </c>
      <c r="B1078" s="16" t="s">
        <v>78</v>
      </c>
      <c r="C1078" s="25" t="s">
        <v>61</v>
      </c>
      <c r="D1078" s="81" t="s">
        <v>82</v>
      </c>
      <c r="E1078" s="38">
        <v>0</v>
      </c>
      <c r="F1078" s="39">
        <v>0</v>
      </c>
      <c r="G1078" s="40">
        <v>0</v>
      </c>
      <c r="H1078" s="41">
        <v>0</v>
      </c>
      <c r="I1078" s="42">
        <f t="shared" si="418"/>
        <v>0</v>
      </c>
      <c r="J1078" s="103" t="str">
        <f t="shared" si="419"/>
        <v/>
      </c>
      <c r="K1078" s="104" t="str">
        <f t="shared" si="419"/>
        <v/>
      </c>
      <c r="L1078" s="105" t="str">
        <f t="shared" si="419"/>
        <v/>
      </c>
      <c r="M1078" s="106" t="str">
        <f t="shared" si="402"/>
        <v/>
      </c>
    </row>
    <row r="1079" spans="1:14" s="5" customFormat="1" ht="30" customHeight="1" x14ac:dyDescent="0.25">
      <c r="A1079" s="14" t="s">
        <v>19</v>
      </c>
      <c r="B1079" s="16" t="s">
        <v>78</v>
      </c>
      <c r="C1079" s="25" t="s">
        <v>61</v>
      </c>
      <c r="D1079" s="81" t="s">
        <v>83</v>
      </c>
      <c r="E1079" s="38">
        <v>0</v>
      </c>
      <c r="F1079" s="39">
        <v>0</v>
      </c>
      <c r="G1079" s="40">
        <v>0</v>
      </c>
      <c r="H1079" s="41">
        <v>0</v>
      </c>
      <c r="I1079" s="42">
        <f t="shared" si="418"/>
        <v>0</v>
      </c>
      <c r="J1079" s="103" t="str">
        <f t="shared" si="419"/>
        <v/>
      </c>
      <c r="K1079" s="104" t="str">
        <f t="shared" si="419"/>
        <v/>
      </c>
      <c r="L1079" s="105" t="str">
        <f t="shared" si="419"/>
        <v/>
      </c>
      <c r="M1079" s="106" t="str">
        <f t="shared" si="402"/>
        <v/>
      </c>
    </row>
    <row r="1080" spans="1:14" s="5" customFormat="1" ht="30" customHeight="1" x14ac:dyDescent="0.25">
      <c r="A1080" s="14" t="s">
        <v>19</v>
      </c>
      <c r="B1080" s="16" t="s">
        <v>78</v>
      </c>
      <c r="C1080" s="25" t="s">
        <v>61</v>
      </c>
      <c r="D1080" s="81" t="s">
        <v>88</v>
      </c>
      <c r="E1080" s="38">
        <v>0</v>
      </c>
      <c r="F1080" s="39">
        <v>0</v>
      </c>
      <c r="G1080" s="40">
        <v>0</v>
      </c>
      <c r="H1080" s="41">
        <v>0</v>
      </c>
      <c r="I1080" s="42">
        <f t="shared" si="418"/>
        <v>0</v>
      </c>
      <c r="J1080" s="103" t="str">
        <f t="shared" si="419"/>
        <v/>
      </c>
      <c r="K1080" s="104" t="str">
        <f t="shared" si="419"/>
        <v/>
      </c>
      <c r="L1080" s="105" t="str">
        <f t="shared" si="419"/>
        <v/>
      </c>
      <c r="M1080" s="106" t="str">
        <f t="shared" si="402"/>
        <v/>
      </c>
    </row>
    <row r="1081" spans="1:14" s="5" customFormat="1" ht="30" customHeight="1" x14ac:dyDescent="0.25">
      <c r="A1081" s="14" t="s">
        <v>19</v>
      </c>
      <c r="B1081" s="16" t="s">
        <v>78</v>
      </c>
      <c r="C1081" s="25" t="s">
        <v>61</v>
      </c>
      <c r="D1081" s="81" t="s">
        <v>87</v>
      </c>
      <c r="E1081" s="38">
        <v>0</v>
      </c>
      <c r="F1081" s="39">
        <v>0</v>
      </c>
      <c r="G1081" s="40">
        <v>0</v>
      </c>
      <c r="H1081" s="41">
        <v>0</v>
      </c>
      <c r="I1081" s="42">
        <f t="shared" si="418"/>
        <v>0</v>
      </c>
      <c r="J1081" s="103" t="str">
        <f t="shared" si="419"/>
        <v/>
      </c>
      <c r="K1081" s="104" t="str">
        <f t="shared" si="419"/>
        <v/>
      </c>
      <c r="L1081" s="105" t="str">
        <f t="shared" si="419"/>
        <v/>
      </c>
      <c r="M1081" s="106" t="str">
        <f t="shared" si="402"/>
        <v/>
      </c>
    </row>
    <row r="1082" spans="1:14" s="5" customFormat="1" ht="30" customHeight="1" x14ac:dyDescent="0.25">
      <c r="A1082" s="14" t="s">
        <v>19</v>
      </c>
      <c r="B1082" s="16" t="s">
        <v>78</v>
      </c>
      <c r="C1082" s="25" t="s">
        <v>61</v>
      </c>
      <c r="D1082" s="81" t="s">
        <v>84</v>
      </c>
      <c r="E1082" s="38">
        <v>0</v>
      </c>
      <c r="F1082" s="39">
        <v>0</v>
      </c>
      <c r="G1082" s="40">
        <v>0</v>
      </c>
      <c r="H1082" s="41">
        <v>0</v>
      </c>
      <c r="I1082" s="42">
        <f t="shared" si="418"/>
        <v>0</v>
      </c>
      <c r="J1082" s="103" t="str">
        <f t="shared" si="419"/>
        <v/>
      </c>
      <c r="K1082" s="104" t="str">
        <f t="shared" si="419"/>
        <v/>
      </c>
      <c r="L1082" s="105" t="str">
        <f t="shared" si="419"/>
        <v/>
      </c>
      <c r="M1082" s="106" t="str">
        <f t="shared" si="402"/>
        <v/>
      </c>
    </row>
    <row r="1083" spans="1:14" s="5" customFormat="1" ht="30" customHeight="1" x14ac:dyDescent="0.25">
      <c r="A1083" s="14" t="s">
        <v>19</v>
      </c>
      <c r="B1083" s="16" t="s">
        <v>78</v>
      </c>
      <c r="C1083" s="25" t="s">
        <v>86</v>
      </c>
      <c r="D1083" s="81" t="s">
        <v>79</v>
      </c>
      <c r="E1083" s="38">
        <v>0</v>
      </c>
      <c r="F1083" s="39">
        <v>0</v>
      </c>
      <c r="G1083" s="40">
        <v>0</v>
      </c>
      <c r="H1083" s="41">
        <v>0</v>
      </c>
      <c r="I1083" s="42">
        <f t="shared" si="418"/>
        <v>0</v>
      </c>
      <c r="J1083" s="103" t="str">
        <f t="shared" si="419"/>
        <v/>
      </c>
      <c r="K1083" s="104" t="str">
        <f t="shared" si="419"/>
        <v/>
      </c>
      <c r="L1083" s="105" t="str">
        <f t="shared" si="419"/>
        <v/>
      </c>
      <c r="M1083" s="106" t="str">
        <f t="shared" si="402"/>
        <v/>
      </c>
      <c r="N1083" s="5" t="s">
        <v>1671</v>
      </c>
    </row>
    <row r="1084" spans="1:14" ht="5.0999999999999996" customHeight="1" x14ac:dyDescent="0.25">
      <c r="A1084" s="14" t="s">
        <v>19</v>
      </c>
      <c r="B1084" s="16" t="s">
        <v>78</v>
      </c>
      <c r="C1084"/>
      <c r="D1084" s="57"/>
      <c r="E1084" s="59"/>
      <c r="F1084" s="59"/>
      <c r="G1084" s="59"/>
      <c r="H1084" s="59"/>
      <c r="I1084" s="59"/>
      <c r="J1084" s="103"/>
      <c r="K1084" s="104"/>
      <c r="L1084" s="105"/>
      <c r="M1084" s="106" t="str">
        <f t="shared" si="402"/>
        <v/>
      </c>
    </row>
    <row r="1085" spans="1:14" s="5" customFormat="1" ht="20.100000000000001" customHeight="1" x14ac:dyDescent="0.25">
      <c r="A1085" s="14" t="s">
        <v>19</v>
      </c>
      <c r="B1085" s="16" t="s">
        <v>91</v>
      </c>
      <c r="C1085" s="25" t="s">
        <v>60</v>
      </c>
      <c r="D1085" s="6" t="s">
        <v>89</v>
      </c>
      <c r="E1085" s="37"/>
      <c r="F1085" s="37"/>
      <c r="G1085" s="37"/>
      <c r="H1085" s="37"/>
      <c r="I1085" s="48"/>
      <c r="J1085" s="103"/>
      <c r="K1085" s="104"/>
      <c r="L1085" s="105"/>
      <c r="M1085" s="106" t="str">
        <f t="shared" si="402"/>
        <v/>
      </c>
      <c r="N1085" s="5" t="s">
        <v>1673</v>
      </c>
    </row>
    <row r="1086" spans="1:14" s="5" customFormat="1" ht="30" customHeight="1" x14ac:dyDescent="0.25">
      <c r="A1086" s="14" t="s">
        <v>19</v>
      </c>
      <c r="B1086" s="16" t="s">
        <v>91</v>
      </c>
      <c r="C1086" s="25" t="s">
        <v>61</v>
      </c>
      <c r="D1086" s="82" t="s">
        <v>90</v>
      </c>
      <c r="E1086" s="38">
        <v>0</v>
      </c>
      <c r="F1086" s="39">
        <v>0</v>
      </c>
      <c r="G1086" s="40">
        <v>0</v>
      </c>
      <c r="H1086" s="41">
        <v>0</v>
      </c>
      <c r="I1086" s="42">
        <f t="shared" ref="I1086" si="420">SUM(E1086:H1086)</f>
        <v>0</v>
      </c>
      <c r="J1086" s="103" t="str">
        <f>IFERROR(E1086/$I1086*100,"")</f>
        <v/>
      </c>
      <c r="K1086" s="104" t="str">
        <f>IFERROR(F1086/$I1086*100,"")</f>
        <v/>
      </c>
      <c r="L1086" s="105" t="str">
        <f>IFERROR(G1086/$I1086*100,"")</f>
        <v/>
      </c>
      <c r="M1086" s="106" t="str">
        <f t="shared" si="402"/>
        <v/>
      </c>
      <c r="N1086" s="5" t="s">
        <v>1671</v>
      </c>
    </row>
    <row r="1087" spans="1:14" ht="5.0999999999999996" customHeight="1" x14ac:dyDescent="0.25">
      <c r="A1087" s="14" t="s">
        <v>19</v>
      </c>
      <c r="B1087" s="16" t="s">
        <v>91</v>
      </c>
      <c r="C1087"/>
      <c r="D1087" s="57"/>
      <c r="E1087" s="59"/>
      <c r="F1087" s="59"/>
      <c r="G1087" s="59"/>
      <c r="H1087" s="59"/>
      <c r="I1087" s="59"/>
      <c r="J1087" s="103"/>
      <c r="K1087" s="104"/>
      <c r="L1087" s="105"/>
      <c r="M1087" s="106" t="str">
        <f t="shared" si="402"/>
        <v/>
      </c>
    </row>
    <row r="1088" spans="1:14" s="5" customFormat="1" ht="20.100000000000001" customHeight="1" x14ac:dyDescent="0.25">
      <c r="A1088" s="14" t="s">
        <v>19</v>
      </c>
      <c r="B1088" s="16" t="s">
        <v>1916</v>
      </c>
      <c r="C1088" s="25" t="s">
        <v>60</v>
      </c>
      <c r="D1088" s="6" t="s">
        <v>1853</v>
      </c>
      <c r="E1088" s="37"/>
      <c r="F1088" s="37"/>
      <c r="G1088" s="37"/>
      <c r="H1088" s="37"/>
      <c r="I1088" s="48"/>
      <c r="J1088" s="103"/>
      <c r="K1088" s="104"/>
      <c r="L1088" s="105"/>
      <c r="M1088" s="106" t="str">
        <f t="shared" si="402"/>
        <v/>
      </c>
      <c r="N1088" s="5" t="s">
        <v>1673</v>
      </c>
    </row>
    <row r="1089" spans="1:14" s="5" customFormat="1" ht="30" customHeight="1" x14ac:dyDescent="0.25">
      <c r="A1089" s="14" t="s">
        <v>19</v>
      </c>
      <c r="B1089" s="16" t="s">
        <v>1916</v>
      </c>
      <c r="C1089" s="25" t="s">
        <v>61</v>
      </c>
      <c r="D1089" s="175" t="s">
        <v>1917</v>
      </c>
      <c r="E1089" s="38">
        <v>0</v>
      </c>
      <c r="F1089" s="39">
        <v>0</v>
      </c>
      <c r="G1089" s="40">
        <v>0</v>
      </c>
      <c r="H1089" s="41">
        <v>0</v>
      </c>
      <c r="I1089" s="42">
        <f t="shared" ref="I1089" si="421">SUM(E1089:H1089)</f>
        <v>0</v>
      </c>
      <c r="J1089" s="103" t="str">
        <f>IFERROR(E1089/$I1089*100,"")</f>
        <v/>
      </c>
      <c r="K1089" s="104" t="str">
        <f>IFERROR(F1089/$I1089*100,"")</f>
        <v/>
      </c>
      <c r="L1089" s="105" t="str">
        <f>IFERROR(G1089/$I1089*100,"")</f>
        <v/>
      </c>
      <c r="M1089" s="106" t="str">
        <f t="shared" si="402"/>
        <v/>
      </c>
      <c r="N1089" s="5" t="s">
        <v>1671</v>
      </c>
    </row>
    <row r="1090" spans="1:14" ht="5.0999999999999996" customHeight="1" x14ac:dyDescent="0.25">
      <c r="A1090" s="14" t="s">
        <v>19</v>
      </c>
      <c r="B1090" s="16" t="s">
        <v>1916</v>
      </c>
      <c r="C1090"/>
      <c r="D1090" s="57"/>
      <c r="E1090" s="59"/>
      <c r="F1090" s="59"/>
      <c r="G1090" s="59"/>
      <c r="H1090" s="59"/>
      <c r="I1090" s="59"/>
      <c r="J1090" s="103"/>
      <c r="K1090" s="104"/>
      <c r="L1090" s="105"/>
      <c r="M1090" s="106" t="str">
        <f t="shared" si="402"/>
        <v/>
      </c>
    </row>
    <row r="1091" spans="1:14" s="5" customFormat="1" ht="20.100000000000001" customHeight="1" x14ac:dyDescent="0.25">
      <c r="A1091" s="14" t="s">
        <v>19</v>
      </c>
      <c r="B1091" s="16" t="s">
        <v>1637</v>
      </c>
      <c r="C1091" s="25" t="s">
        <v>60</v>
      </c>
      <c r="D1091" s="6" t="s">
        <v>1636</v>
      </c>
      <c r="E1091" s="37"/>
      <c r="F1091" s="37"/>
      <c r="G1091" s="37"/>
      <c r="H1091" s="37"/>
      <c r="I1091" s="48"/>
      <c r="J1091" s="103"/>
      <c r="K1091" s="104"/>
      <c r="L1091" s="105"/>
      <c r="M1091" s="106" t="str">
        <f t="shared" si="402"/>
        <v/>
      </c>
      <c r="N1091" s="5" t="s">
        <v>1673</v>
      </c>
    </row>
    <row r="1092" spans="1:14" s="3" customFormat="1" ht="30" customHeight="1" x14ac:dyDescent="0.25">
      <c r="A1092" s="14" t="s">
        <v>19</v>
      </c>
      <c r="B1092" s="16" t="s">
        <v>1637</v>
      </c>
      <c r="C1092" s="25" t="s">
        <v>61</v>
      </c>
      <c r="D1092" s="87" t="s">
        <v>1638</v>
      </c>
      <c r="E1092" s="38">
        <v>0</v>
      </c>
      <c r="F1092" s="39">
        <v>0</v>
      </c>
      <c r="G1092" s="40">
        <v>0</v>
      </c>
      <c r="H1092" s="41">
        <v>0</v>
      </c>
      <c r="I1092" s="42">
        <f t="shared" ref="I1092:I1097" si="422">SUM(E1092:H1092)</f>
        <v>0</v>
      </c>
      <c r="J1092" s="103" t="str">
        <f t="shared" ref="J1092:L1096" si="423">IFERROR(E1092/$I1092*100,"")</f>
        <v/>
      </c>
      <c r="K1092" s="104" t="str">
        <f t="shared" si="423"/>
        <v/>
      </c>
      <c r="L1092" s="105" t="str">
        <f t="shared" si="423"/>
        <v/>
      </c>
      <c r="M1092" s="106" t="str">
        <f t="shared" si="402"/>
        <v/>
      </c>
    </row>
    <row r="1093" spans="1:14" s="3" customFormat="1" ht="30" customHeight="1" x14ac:dyDescent="0.25">
      <c r="A1093" s="14" t="s">
        <v>19</v>
      </c>
      <c r="B1093" s="16" t="s">
        <v>1637</v>
      </c>
      <c r="C1093" s="25" t="s">
        <v>61</v>
      </c>
      <c r="D1093" s="87" t="s">
        <v>1669</v>
      </c>
      <c r="E1093" s="38">
        <v>0</v>
      </c>
      <c r="F1093" s="39">
        <v>0</v>
      </c>
      <c r="G1093" s="40">
        <v>0</v>
      </c>
      <c r="H1093" s="41">
        <v>0</v>
      </c>
      <c r="I1093" s="42">
        <f t="shared" si="422"/>
        <v>0</v>
      </c>
      <c r="J1093" s="103" t="str">
        <f t="shared" si="423"/>
        <v/>
      </c>
      <c r="K1093" s="104" t="str">
        <f t="shared" si="423"/>
        <v/>
      </c>
      <c r="L1093" s="105" t="str">
        <f t="shared" si="423"/>
        <v/>
      </c>
      <c r="M1093" s="106" t="str">
        <f t="shared" si="402"/>
        <v/>
      </c>
    </row>
    <row r="1094" spans="1:14" s="3" customFormat="1" ht="30" customHeight="1" x14ac:dyDescent="0.25">
      <c r="A1094" s="14" t="s">
        <v>19</v>
      </c>
      <c r="B1094" s="16" t="s">
        <v>1637</v>
      </c>
      <c r="C1094" s="25" t="s">
        <v>61</v>
      </c>
      <c r="D1094" s="87" t="s">
        <v>1640</v>
      </c>
      <c r="E1094" s="38">
        <v>0</v>
      </c>
      <c r="F1094" s="39">
        <v>0</v>
      </c>
      <c r="G1094" s="40">
        <v>0</v>
      </c>
      <c r="H1094" s="41">
        <v>0</v>
      </c>
      <c r="I1094" s="42">
        <f t="shared" si="422"/>
        <v>0</v>
      </c>
      <c r="J1094" s="103" t="str">
        <f t="shared" si="423"/>
        <v/>
      </c>
      <c r="K1094" s="104" t="str">
        <f t="shared" si="423"/>
        <v/>
      </c>
      <c r="L1094" s="105" t="str">
        <f t="shared" si="423"/>
        <v/>
      </c>
      <c r="M1094" s="106" t="str">
        <f t="shared" si="402"/>
        <v/>
      </c>
    </row>
    <row r="1095" spans="1:14" s="3" customFormat="1" ht="30" customHeight="1" x14ac:dyDescent="0.25">
      <c r="A1095" s="14" t="s">
        <v>19</v>
      </c>
      <c r="B1095" s="16" t="s">
        <v>1637</v>
      </c>
      <c r="C1095" s="25" t="s">
        <v>61</v>
      </c>
      <c r="D1095" s="87" t="s">
        <v>1639</v>
      </c>
      <c r="E1095" s="38">
        <v>0</v>
      </c>
      <c r="F1095" s="39">
        <v>0</v>
      </c>
      <c r="G1095" s="40">
        <v>0</v>
      </c>
      <c r="H1095" s="41">
        <v>0</v>
      </c>
      <c r="I1095" s="42">
        <f t="shared" si="422"/>
        <v>0</v>
      </c>
      <c r="J1095" s="103" t="str">
        <f t="shared" si="423"/>
        <v/>
      </c>
      <c r="K1095" s="104" t="str">
        <f t="shared" si="423"/>
        <v/>
      </c>
      <c r="L1095" s="105" t="str">
        <f t="shared" si="423"/>
        <v/>
      </c>
      <c r="M1095" s="106" t="str">
        <f t="shared" si="402"/>
        <v/>
      </c>
    </row>
    <row r="1096" spans="1:14" s="3" customFormat="1" ht="30" customHeight="1" x14ac:dyDescent="0.25">
      <c r="A1096" s="14" t="s">
        <v>19</v>
      </c>
      <c r="B1096" s="16" t="s">
        <v>1637</v>
      </c>
      <c r="C1096" s="25" t="s">
        <v>61</v>
      </c>
      <c r="D1096" s="87" t="s">
        <v>1641</v>
      </c>
      <c r="E1096" s="38">
        <v>0</v>
      </c>
      <c r="F1096" s="39">
        <v>0</v>
      </c>
      <c r="G1096" s="40">
        <v>0</v>
      </c>
      <c r="H1096" s="41">
        <v>0</v>
      </c>
      <c r="I1096" s="42">
        <f t="shared" si="422"/>
        <v>0</v>
      </c>
      <c r="J1096" s="103" t="str">
        <f t="shared" si="423"/>
        <v/>
      </c>
      <c r="K1096" s="104" t="str">
        <f t="shared" si="423"/>
        <v/>
      </c>
      <c r="L1096" s="105" t="str">
        <f t="shared" si="423"/>
        <v/>
      </c>
      <c r="M1096" s="106" t="str">
        <f t="shared" si="402"/>
        <v/>
      </c>
    </row>
    <row r="1097" spans="1:14" s="3" customFormat="1" ht="30" customHeight="1" x14ac:dyDescent="0.25">
      <c r="A1097" s="14" t="s">
        <v>19</v>
      </c>
      <c r="B1097" s="16" t="s">
        <v>1637</v>
      </c>
      <c r="C1097" s="25"/>
      <c r="D1097" s="87" t="s">
        <v>29</v>
      </c>
      <c r="E1097" s="38">
        <f>SUM(E1092:E1096)</f>
        <v>0</v>
      </c>
      <c r="F1097" s="39">
        <f>SUM(F1092:F1096)</f>
        <v>0</v>
      </c>
      <c r="G1097" s="40">
        <f>SUM(G1092:G1096)</f>
        <v>0</v>
      </c>
      <c r="H1097" s="41">
        <f>SUM(H1092:H1096)</f>
        <v>0</v>
      </c>
      <c r="I1097" s="42">
        <f t="shared" si="422"/>
        <v>0</v>
      </c>
      <c r="J1097" s="103" t="str">
        <f>IFERROR(E1097/SUM($E1097:$H1097)*100,"")</f>
        <v/>
      </c>
      <c r="K1097" s="104" t="str">
        <f>IFERROR(F1097/SUM($E1097:$H1097)*100,"")</f>
        <v/>
      </c>
      <c r="L1097" s="105" t="str">
        <f>IFERROR(G1097/SUM($E1097:$H1097)*100,"")</f>
        <v/>
      </c>
      <c r="M1097" s="106" t="str">
        <f t="shared" si="402"/>
        <v/>
      </c>
      <c r="N1097" s="5" t="s">
        <v>1671</v>
      </c>
    </row>
    <row r="1098" spans="1:14" ht="5.0999999999999996" customHeight="1" x14ac:dyDescent="0.25">
      <c r="A1098" s="14" t="s">
        <v>19</v>
      </c>
      <c r="B1098" s="16" t="s">
        <v>1637</v>
      </c>
      <c r="C1098"/>
      <c r="J1098" s="103"/>
      <c r="K1098" s="104"/>
      <c r="L1098" s="105"/>
      <c r="M1098" s="106" t="str">
        <f t="shared" si="402"/>
        <v/>
      </c>
    </row>
    <row r="1099" spans="1:14" s="5" customFormat="1" ht="20.100000000000001" customHeight="1" x14ac:dyDescent="0.25">
      <c r="A1099" s="14" t="s">
        <v>19</v>
      </c>
      <c r="B1099" s="16" t="s">
        <v>42</v>
      </c>
      <c r="C1099" s="25" t="s">
        <v>60</v>
      </c>
      <c r="D1099" s="6" t="s">
        <v>1744</v>
      </c>
      <c r="E1099" s="37"/>
      <c r="F1099" s="37"/>
      <c r="G1099" s="37"/>
      <c r="H1099" s="37"/>
      <c r="I1099" s="48"/>
      <c r="J1099" s="103"/>
      <c r="K1099" s="104"/>
      <c r="L1099" s="105"/>
      <c r="M1099" s="106" t="str">
        <f t="shared" si="402"/>
        <v/>
      </c>
      <c r="N1099" s="5" t="s">
        <v>1673</v>
      </c>
    </row>
    <row r="1100" spans="1:14" s="3" customFormat="1" ht="30" customHeight="1" x14ac:dyDescent="0.25">
      <c r="A1100" s="14" t="s">
        <v>19</v>
      </c>
      <c r="B1100" s="16" t="s">
        <v>42</v>
      </c>
      <c r="C1100" s="25" t="s">
        <v>61</v>
      </c>
      <c r="D1100" s="12" t="s">
        <v>43</v>
      </c>
      <c r="E1100" s="38">
        <v>0</v>
      </c>
      <c r="F1100" s="39">
        <v>0</v>
      </c>
      <c r="G1100" s="40">
        <v>0</v>
      </c>
      <c r="H1100" s="41">
        <v>0</v>
      </c>
      <c r="I1100" s="42">
        <f t="shared" ref="I1100:I1109" si="424">SUM(E1100:H1100)</f>
        <v>0</v>
      </c>
      <c r="J1100" s="103" t="str">
        <f t="shared" ref="J1100:J1109" si="425">IFERROR(E1100/$I1100*100,"")</f>
        <v/>
      </c>
      <c r="K1100" s="104" t="str">
        <f t="shared" ref="K1100:K1109" si="426">IFERROR(F1100/$I1100*100,"")</f>
        <v/>
      </c>
      <c r="L1100" s="105" t="str">
        <f t="shared" ref="L1100:L1109" si="427">IFERROR(G1100/$I1100*100,"")</f>
        <v/>
      </c>
      <c r="M1100" s="106" t="str">
        <f t="shared" si="402"/>
        <v/>
      </c>
    </row>
    <row r="1101" spans="1:14" s="3" customFormat="1" ht="30" customHeight="1" x14ac:dyDescent="0.25">
      <c r="A1101" s="14" t="s">
        <v>19</v>
      </c>
      <c r="B1101" s="16" t="s">
        <v>42</v>
      </c>
      <c r="C1101" s="25" t="s">
        <v>61</v>
      </c>
      <c r="D1101" s="12" t="s">
        <v>44</v>
      </c>
      <c r="E1101" s="38">
        <v>0</v>
      </c>
      <c r="F1101" s="39">
        <v>0</v>
      </c>
      <c r="G1101" s="40">
        <v>0</v>
      </c>
      <c r="H1101" s="41">
        <v>0</v>
      </c>
      <c r="I1101" s="42">
        <f t="shared" si="424"/>
        <v>0</v>
      </c>
      <c r="J1101" s="103" t="str">
        <f t="shared" si="425"/>
        <v/>
      </c>
      <c r="K1101" s="104" t="str">
        <f t="shared" si="426"/>
        <v/>
      </c>
      <c r="L1101" s="105" t="str">
        <f t="shared" si="427"/>
        <v/>
      </c>
      <c r="M1101" s="106" t="str">
        <f t="shared" ref="M1101:M1113" si="428">IFERROR(H1101/$I1101*100,"")</f>
        <v/>
      </c>
    </row>
    <row r="1102" spans="1:14" s="3" customFormat="1" ht="30" customHeight="1" x14ac:dyDescent="0.25">
      <c r="A1102" s="14" t="s">
        <v>19</v>
      </c>
      <c r="B1102" s="16" t="s">
        <v>42</v>
      </c>
      <c r="C1102" s="25" t="s">
        <v>61</v>
      </c>
      <c r="D1102" s="12" t="s">
        <v>45</v>
      </c>
      <c r="E1102" s="38">
        <v>0</v>
      </c>
      <c r="F1102" s="39">
        <v>0</v>
      </c>
      <c r="G1102" s="40">
        <v>0</v>
      </c>
      <c r="H1102" s="41">
        <v>0</v>
      </c>
      <c r="I1102" s="42">
        <f t="shared" si="424"/>
        <v>0</v>
      </c>
      <c r="J1102" s="103" t="str">
        <f t="shared" si="425"/>
        <v/>
      </c>
      <c r="K1102" s="104" t="str">
        <f t="shared" si="426"/>
        <v/>
      </c>
      <c r="L1102" s="105" t="str">
        <f t="shared" si="427"/>
        <v/>
      </c>
      <c r="M1102" s="106" t="str">
        <f t="shared" si="428"/>
        <v/>
      </c>
    </row>
    <row r="1103" spans="1:14" s="3" customFormat="1" ht="30" customHeight="1" x14ac:dyDescent="0.25">
      <c r="A1103" s="14" t="s">
        <v>19</v>
      </c>
      <c r="B1103" s="16" t="s">
        <v>42</v>
      </c>
      <c r="C1103" s="25" t="s">
        <v>61</v>
      </c>
      <c r="D1103" s="12" t="s">
        <v>46</v>
      </c>
      <c r="E1103" s="38">
        <v>0</v>
      </c>
      <c r="F1103" s="39">
        <v>0</v>
      </c>
      <c r="G1103" s="40">
        <v>0</v>
      </c>
      <c r="H1103" s="41">
        <v>0</v>
      </c>
      <c r="I1103" s="42">
        <f t="shared" si="424"/>
        <v>0</v>
      </c>
      <c r="J1103" s="103" t="str">
        <f t="shared" si="425"/>
        <v/>
      </c>
      <c r="K1103" s="104" t="str">
        <f t="shared" si="426"/>
        <v/>
      </c>
      <c r="L1103" s="105" t="str">
        <f t="shared" si="427"/>
        <v/>
      </c>
      <c r="M1103" s="106" t="str">
        <f t="shared" si="428"/>
        <v/>
      </c>
    </row>
    <row r="1104" spans="1:14" s="3" customFormat="1" ht="30" customHeight="1" x14ac:dyDescent="0.25">
      <c r="A1104" s="14" t="s">
        <v>19</v>
      </c>
      <c r="B1104" s="16" t="s">
        <v>42</v>
      </c>
      <c r="C1104" s="25" t="s">
        <v>61</v>
      </c>
      <c r="D1104" s="12" t="s">
        <v>51</v>
      </c>
      <c r="E1104" s="38">
        <v>0</v>
      </c>
      <c r="F1104" s="39">
        <v>0</v>
      </c>
      <c r="G1104" s="40">
        <v>0</v>
      </c>
      <c r="H1104" s="41">
        <v>0</v>
      </c>
      <c r="I1104" s="42">
        <f t="shared" si="424"/>
        <v>0</v>
      </c>
      <c r="J1104" s="103" t="str">
        <f t="shared" si="425"/>
        <v/>
      </c>
      <c r="K1104" s="104" t="str">
        <f t="shared" si="426"/>
        <v/>
      </c>
      <c r="L1104" s="105" t="str">
        <f t="shared" si="427"/>
        <v/>
      </c>
      <c r="M1104" s="106" t="str">
        <f t="shared" si="428"/>
        <v/>
      </c>
    </row>
    <row r="1105" spans="1:14" s="3" customFormat="1" ht="30" customHeight="1" x14ac:dyDescent="0.25">
      <c r="A1105" s="14" t="s">
        <v>19</v>
      </c>
      <c r="B1105" s="16" t="s">
        <v>42</v>
      </c>
      <c r="C1105" s="25" t="s">
        <v>61</v>
      </c>
      <c r="D1105" s="12" t="s">
        <v>52</v>
      </c>
      <c r="E1105" s="38">
        <v>0</v>
      </c>
      <c r="F1105" s="39">
        <v>0</v>
      </c>
      <c r="G1105" s="40">
        <v>0</v>
      </c>
      <c r="H1105" s="41">
        <v>0</v>
      </c>
      <c r="I1105" s="42">
        <f t="shared" si="424"/>
        <v>0</v>
      </c>
      <c r="J1105" s="103" t="str">
        <f t="shared" si="425"/>
        <v/>
      </c>
      <c r="K1105" s="104" t="str">
        <f t="shared" si="426"/>
        <v/>
      </c>
      <c r="L1105" s="105" t="str">
        <f t="shared" si="427"/>
        <v/>
      </c>
      <c r="M1105" s="106" t="str">
        <f t="shared" si="428"/>
        <v/>
      </c>
    </row>
    <row r="1106" spans="1:14" s="3" customFormat="1" ht="30" customHeight="1" x14ac:dyDescent="0.25">
      <c r="A1106" s="14" t="s">
        <v>19</v>
      </c>
      <c r="B1106" s="16" t="s">
        <v>42</v>
      </c>
      <c r="C1106" s="25" t="s">
        <v>61</v>
      </c>
      <c r="D1106" s="12" t="s">
        <v>47</v>
      </c>
      <c r="E1106" s="38">
        <v>0</v>
      </c>
      <c r="F1106" s="39">
        <v>0</v>
      </c>
      <c r="G1106" s="40">
        <v>0</v>
      </c>
      <c r="H1106" s="41">
        <v>0</v>
      </c>
      <c r="I1106" s="42">
        <f t="shared" si="424"/>
        <v>0</v>
      </c>
      <c r="J1106" s="103" t="str">
        <f t="shared" si="425"/>
        <v/>
      </c>
      <c r="K1106" s="104" t="str">
        <f t="shared" si="426"/>
        <v/>
      </c>
      <c r="L1106" s="105" t="str">
        <f t="shared" si="427"/>
        <v/>
      </c>
      <c r="M1106" s="106" t="str">
        <f t="shared" si="428"/>
        <v/>
      </c>
    </row>
    <row r="1107" spans="1:14" s="3" customFormat="1" ht="30" customHeight="1" x14ac:dyDescent="0.25">
      <c r="A1107" s="14" t="s">
        <v>19</v>
      </c>
      <c r="B1107" s="16" t="s">
        <v>42</v>
      </c>
      <c r="C1107" s="25" t="s">
        <v>61</v>
      </c>
      <c r="D1107" s="12" t="s">
        <v>48</v>
      </c>
      <c r="E1107" s="38">
        <v>0</v>
      </c>
      <c r="F1107" s="39">
        <v>0</v>
      </c>
      <c r="G1107" s="40">
        <v>0</v>
      </c>
      <c r="H1107" s="41">
        <v>0</v>
      </c>
      <c r="I1107" s="42">
        <f t="shared" si="424"/>
        <v>0</v>
      </c>
      <c r="J1107" s="103" t="str">
        <f t="shared" si="425"/>
        <v/>
      </c>
      <c r="K1107" s="104" t="str">
        <f t="shared" si="426"/>
        <v/>
      </c>
      <c r="L1107" s="105" t="str">
        <f t="shared" si="427"/>
        <v/>
      </c>
      <c r="M1107" s="106" t="str">
        <f t="shared" si="428"/>
        <v/>
      </c>
    </row>
    <row r="1108" spans="1:14" s="3" customFormat="1" ht="30" customHeight="1" x14ac:dyDescent="0.25">
      <c r="A1108" s="14" t="s">
        <v>19</v>
      </c>
      <c r="B1108" s="16" t="s">
        <v>42</v>
      </c>
      <c r="C1108" s="25" t="s">
        <v>61</v>
      </c>
      <c r="D1108" s="12" t="s">
        <v>49</v>
      </c>
      <c r="E1108" s="38">
        <v>0</v>
      </c>
      <c r="F1108" s="39">
        <v>0</v>
      </c>
      <c r="G1108" s="40">
        <v>0</v>
      </c>
      <c r="H1108" s="41">
        <v>0</v>
      </c>
      <c r="I1108" s="42">
        <f t="shared" si="424"/>
        <v>0</v>
      </c>
      <c r="J1108" s="103" t="str">
        <f t="shared" si="425"/>
        <v/>
      </c>
      <c r="K1108" s="104" t="str">
        <f t="shared" si="426"/>
        <v/>
      </c>
      <c r="L1108" s="105" t="str">
        <f t="shared" si="427"/>
        <v/>
      </c>
      <c r="M1108" s="106" t="str">
        <f t="shared" si="428"/>
        <v/>
      </c>
    </row>
    <row r="1109" spans="1:14" s="3" customFormat="1" ht="30" customHeight="1" x14ac:dyDescent="0.25">
      <c r="A1109" s="14" t="s">
        <v>19</v>
      </c>
      <c r="B1109" s="16" t="s">
        <v>42</v>
      </c>
      <c r="C1109" s="25" t="s">
        <v>61</v>
      </c>
      <c r="D1109" s="12" t="s">
        <v>50</v>
      </c>
      <c r="E1109" s="38">
        <v>0</v>
      </c>
      <c r="F1109" s="39">
        <v>0</v>
      </c>
      <c r="G1109" s="40">
        <v>0</v>
      </c>
      <c r="H1109" s="41">
        <v>0</v>
      </c>
      <c r="I1109" s="42">
        <f t="shared" si="424"/>
        <v>0</v>
      </c>
      <c r="J1109" s="103" t="str">
        <f t="shared" si="425"/>
        <v/>
      </c>
      <c r="K1109" s="104" t="str">
        <f t="shared" si="426"/>
        <v/>
      </c>
      <c r="L1109" s="105" t="str">
        <f t="shared" si="427"/>
        <v/>
      </c>
      <c r="M1109" s="106" t="str">
        <f t="shared" si="428"/>
        <v/>
      </c>
    </row>
    <row r="1110" spans="1:14" s="8" customFormat="1" ht="30" customHeight="1" x14ac:dyDescent="0.25">
      <c r="A1110" s="14" t="s">
        <v>19</v>
      </c>
      <c r="B1110" s="16" t="s">
        <v>42</v>
      </c>
      <c r="C1110" s="25"/>
      <c r="D1110" s="9" t="s">
        <v>29</v>
      </c>
      <c r="E1110" s="38">
        <f>SUM(E1100:E1109)</f>
        <v>0</v>
      </c>
      <c r="F1110" s="39">
        <f t="shared" ref="F1110" si="429">SUM(F1100:F1109)</f>
        <v>0</v>
      </c>
      <c r="G1110" s="40">
        <f t="shared" ref="G1110" si="430">SUM(G1100:G1109)</f>
        <v>0</v>
      </c>
      <c r="H1110" s="41">
        <f t="shared" ref="H1110" si="431">SUM(H1100:H1109)</f>
        <v>0</v>
      </c>
      <c r="I1110" s="43">
        <f t="shared" ref="I1110" si="432">SUM(I1100:I1109)</f>
        <v>0</v>
      </c>
      <c r="J1110" s="103" t="str">
        <f>IFERROR(E1110/SUM($E1110:$H1110)*100,"")</f>
        <v/>
      </c>
      <c r="K1110" s="104" t="str">
        <f>IFERROR(F1110/SUM($E1110:$H1110)*100,"")</f>
        <v/>
      </c>
      <c r="L1110" s="105" t="str">
        <f>IFERROR(G1110/SUM($E1110:$H1110)*100,"")</f>
        <v/>
      </c>
      <c r="M1110" s="106" t="str">
        <f t="shared" si="428"/>
        <v/>
      </c>
      <c r="N1110" s="5" t="s">
        <v>1671</v>
      </c>
    </row>
    <row r="1111" spans="1:14" ht="5.0999999999999996" customHeight="1" x14ac:dyDescent="0.25">
      <c r="A1111" s="14" t="s">
        <v>19</v>
      </c>
      <c r="B1111" s="16" t="s">
        <v>42</v>
      </c>
      <c r="C1111"/>
      <c r="D1111" s="57"/>
      <c r="E1111" s="59"/>
      <c r="F1111" s="59"/>
      <c r="G1111" s="59"/>
      <c r="H1111" s="59"/>
      <c r="I1111" s="59"/>
      <c r="J1111" s="103"/>
      <c r="K1111" s="104"/>
      <c r="L1111" s="105"/>
      <c r="M1111" s="106" t="str">
        <f t="shared" si="428"/>
        <v/>
      </c>
    </row>
    <row r="1112" spans="1:14" s="7" customFormat="1" ht="20.100000000000001" customHeight="1" x14ac:dyDescent="0.25">
      <c r="A1112" s="14" t="s">
        <v>19</v>
      </c>
      <c r="B1112" s="16" t="s">
        <v>62</v>
      </c>
      <c r="C1112" s="25" t="s">
        <v>60</v>
      </c>
      <c r="D1112" s="62" t="s">
        <v>63</v>
      </c>
      <c r="E1112" s="63"/>
      <c r="F1112" s="63"/>
      <c r="G1112" s="63"/>
      <c r="H1112" s="63"/>
      <c r="I1112" s="64"/>
      <c r="J1112" s="103"/>
      <c r="K1112" s="104"/>
      <c r="L1112" s="105"/>
      <c r="M1112" s="106" t="str">
        <f t="shared" si="428"/>
        <v/>
      </c>
      <c r="N1112" s="5" t="s">
        <v>1673</v>
      </c>
    </row>
    <row r="1113" spans="1:14" s="8" customFormat="1" ht="30" customHeight="1" x14ac:dyDescent="0.25">
      <c r="A1113" s="14" t="s">
        <v>19</v>
      </c>
      <c r="B1113" s="16" t="s">
        <v>62</v>
      </c>
      <c r="C1113" s="25"/>
      <c r="D1113" s="12" t="s">
        <v>29</v>
      </c>
      <c r="E1113" s="38" t="e">
        <f>SUM(E1063,E1052,E1071,E1110,E1066,E1074,E1083,E1086,E1097,#REF!)</f>
        <v>#REF!</v>
      </c>
      <c r="F1113" s="39" t="e">
        <f>SUM(F1063,F1052,F1071,F1110,F1066,F1074,F1083,F1086,F1097,#REF!)</f>
        <v>#REF!</v>
      </c>
      <c r="G1113" s="40" t="e">
        <f>SUM(G1063,G1052,G1071,G1110,G1066,G1074,G1083,G1086,G1097,#REF!)</f>
        <v>#REF!</v>
      </c>
      <c r="H1113" s="41" t="e">
        <f>SUM(H1063,H1052,H1071,H1110,H1066,H1074,H1083,H1086,H1097,#REF!)</f>
        <v>#REF!</v>
      </c>
      <c r="I1113" s="42" t="e">
        <f>SUM(I1063,I1052,I1071,I1110,I1066,I1074,I1083,I1086,I1097,#REF!)</f>
        <v>#REF!</v>
      </c>
      <c r="J1113" s="103" t="str">
        <f>IFERROR(E1113/SUM($E1113:$H1113)*100,"")</f>
        <v/>
      </c>
      <c r="K1113" s="104" t="str">
        <f>IFERROR(F1113/SUM($E1113:$H1113)*100,"")</f>
        <v/>
      </c>
      <c r="L1113" s="105" t="str">
        <f>IFERROR(G1113/SUM($E1113:$H1113)*100,"")</f>
        <v/>
      </c>
      <c r="M1113" s="106" t="str">
        <f t="shared" si="428"/>
        <v/>
      </c>
      <c r="N1113" s="5" t="s">
        <v>1671</v>
      </c>
    </row>
    <row r="1114" spans="1:14" s="5" customFormat="1" ht="20.100000000000001" customHeight="1" x14ac:dyDescent="0.25">
      <c r="A1114" s="14" t="s">
        <v>19</v>
      </c>
      <c r="B1114" s="14"/>
      <c r="C1114" s="25" t="s">
        <v>60</v>
      </c>
      <c r="D1114" s="58"/>
      <c r="E1114" s="60"/>
      <c r="F1114" s="60"/>
      <c r="G1114" s="60"/>
      <c r="H1114" s="60"/>
      <c r="I1114" s="60"/>
      <c r="J1114" s="103"/>
      <c r="K1114" s="104"/>
      <c r="L1114" s="105"/>
      <c r="M1114" s="106"/>
    </row>
  </sheetData>
  <mergeCells count="5">
    <mergeCell ref="H1:I1"/>
    <mergeCell ref="D5:D6"/>
    <mergeCell ref="D2:I2"/>
    <mergeCell ref="D4:I4"/>
    <mergeCell ref="D3:I3"/>
  </mergeCells>
  <pageMargins left="0" right="0" top="0" bottom="0" header="0" footer="0"/>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63"/>
  <sheetViews>
    <sheetView showGridLines="0" zoomScale="85" zoomScaleNormal="85" workbookViewId="0">
      <pane ySplit="5" topLeftCell="A30" activePane="bottomLeft" state="frozen"/>
      <selection pane="bottomLeft" activeCell="D43" sqref="D43:E43"/>
    </sheetView>
  </sheetViews>
  <sheetFormatPr defaultRowHeight="15" x14ac:dyDescent="0.25"/>
  <cols>
    <col min="1" max="1" width="9.140625" style="13"/>
    <col min="2" max="2" width="8" style="13" bestFit="1" customWidth="1"/>
    <col min="3" max="3" width="0.85546875" style="13" customWidth="1"/>
    <col min="4" max="4" width="40.7109375" style="19" customWidth="1"/>
    <col min="5" max="5" width="11.85546875" style="19" customWidth="1"/>
    <col min="6" max="6" width="11.85546875" style="78" customWidth="1"/>
    <col min="7" max="8" width="12.7109375" style="19" customWidth="1"/>
  </cols>
  <sheetData>
    <row r="1" spans="1:9" ht="39.950000000000003" customHeight="1" x14ac:dyDescent="0.25">
      <c r="D1" s="197" t="s">
        <v>73</v>
      </c>
      <c r="E1" s="197"/>
      <c r="F1" s="197"/>
      <c r="G1" s="180"/>
      <c r="H1" s="180"/>
    </row>
    <row r="2" spans="1:9" s="5" customFormat="1" ht="5.0999999999999996" customHeight="1" x14ac:dyDescent="0.25">
      <c r="A2" s="14"/>
      <c r="B2" s="14"/>
      <c r="C2" s="14"/>
      <c r="D2" s="11"/>
      <c r="E2" s="7"/>
      <c r="F2" s="67"/>
      <c r="G2" s="7"/>
      <c r="H2" s="10"/>
      <c r="I2" s="10"/>
    </row>
    <row r="3" spans="1:9" s="2" customFormat="1" ht="15" customHeight="1" x14ac:dyDescent="0.25">
      <c r="A3" s="15"/>
      <c r="B3" s="15"/>
      <c r="C3" s="15"/>
      <c r="D3" s="198" t="s">
        <v>72</v>
      </c>
      <c r="E3" s="198"/>
      <c r="F3" s="201" t="s">
        <v>58</v>
      </c>
      <c r="G3" s="27" t="s">
        <v>30</v>
      </c>
      <c r="H3" s="28" t="s">
        <v>32</v>
      </c>
    </row>
    <row r="4" spans="1:9" s="2" customFormat="1" ht="15" customHeight="1" x14ac:dyDescent="0.25">
      <c r="A4" s="15"/>
      <c r="B4" s="15"/>
      <c r="C4" s="15"/>
      <c r="D4" s="198"/>
      <c r="E4" s="198"/>
      <c r="F4" s="201"/>
      <c r="G4" s="29" t="s">
        <v>54</v>
      </c>
      <c r="H4" s="30" t="s">
        <v>59</v>
      </c>
    </row>
    <row r="5" spans="1:9" s="13" customFormat="1" ht="5.0999999999999996" customHeight="1" x14ac:dyDescent="0.25">
      <c r="D5" s="19"/>
      <c r="E5" s="19"/>
      <c r="F5" s="4"/>
      <c r="G5" s="19"/>
      <c r="H5" s="19"/>
    </row>
    <row r="6" spans="1:9" s="5" customFormat="1" ht="20.100000000000001" customHeight="1" x14ac:dyDescent="0.25">
      <c r="A6" s="14" t="s">
        <v>53</v>
      </c>
      <c r="B6" s="16" t="s">
        <v>20</v>
      </c>
      <c r="C6" s="16"/>
      <c r="D6" s="6" t="s">
        <v>20</v>
      </c>
      <c r="E6" s="73"/>
      <c r="F6" s="74"/>
      <c r="G6" s="73"/>
      <c r="H6" s="48"/>
      <c r="I6" s="65"/>
    </row>
    <row r="7" spans="1:9" s="3" customFormat="1" ht="30" customHeight="1" x14ac:dyDescent="0.25">
      <c r="A7" s="14" t="s">
        <v>53</v>
      </c>
      <c r="B7" s="16" t="s">
        <v>20</v>
      </c>
      <c r="C7" s="16"/>
      <c r="D7" s="194" t="s">
        <v>25</v>
      </c>
      <c r="E7" s="194"/>
      <c r="F7" s="75"/>
      <c r="G7" s="191"/>
      <c r="H7" s="191"/>
    </row>
    <row r="8" spans="1:9" ht="9.9499999999999993" customHeight="1" x14ac:dyDescent="0.25">
      <c r="A8" s="14" t="s">
        <v>53</v>
      </c>
      <c r="B8" s="16" t="s">
        <v>20</v>
      </c>
      <c r="D8" s="57"/>
      <c r="E8" s="57"/>
      <c r="F8" s="72"/>
      <c r="G8" s="57"/>
      <c r="H8" s="57"/>
    </row>
    <row r="9" spans="1:9" s="5" customFormat="1" ht="20.100000000000001" customHeight="1" x14ac:dyDescent="0.25">
      <c r="A9" s="14" t="s">
        <v>53</v>
      </c>
      <c r="B9" s="16" t="s">
        <v>26</v>
      </c>
      <c r="C9" s="16"/>
      <c r="D9" s="17" t="s">
        <v>98</v>
      </c>
      <c r="E9" s="68"/>
      <c r="F9" s="69"/>
      <c r="G9" s="68"/>
      <c r="H9" s="55"/>
    </row>
    <row r="10" spans="1:9" s="3" customFormat="1" ht="30" customHeight="1" x14ac:dyDescent="0.25">
      <c r="A10" s="14" t="s">
        <v>53</v>
      </c>
      <c r="B10" s="16" t="s">
        <v>26</v>
      </c>
      <c r="C10" s="16"/>
      <c r="D10" s="202" t="s">
        <v>21</v>
      </c>
      <c r="E10" s="203"/>
      <c r="F10" s="70"/>
      <c r="G10" s="191"/>
      <c r="H10" s="191"/>
    </row>
    <row r="11" spans="1:9" s="3" customFormat="1" ht="30" customHeight="1" x14ac:dyDescent="0.25">
      <c r="A11" s="14" t="s">
        <v>53</v>
      </c>
      <c r="B11" s="16" t="s">
        <v>26</v>
      </c>
      <c r="C11" s="16"/>
      <c r="D11" s="202" t="s">
        <v>22</v>
      </c>
      <c r="E11" s="203"/>
      <c r="F11" s="70"/>
      <c r="G11" s="200"/>
      <c r="H11" s="191"/>
    </row>
    <row r="12" spans="1:9" s="3" customFormat="1" ht="30" customHeight="1" x14ac:dyDescent="0.25">
      <c r="A12" s="14" t="s">
        <v>53</v>
      </c>
      <c r="B12" s="16" t="s">
        <v>26</v>
      </c>
      <c r="C12" s="16"/>
      <c r="D12" s="202" t="s">
        <v>27</v>
      </c>
      <c r="E12" s="203"/>
      <c r="F12" s="70"/>
      <c r="G12" s="200"/>
      <c r="H12" s="191"/>
    </row>
    <row r="13" spans="1:9" s="3" customFormat="1" ht="30" customHeight="1" x14ac:dyDescent="0.25">
      <c r="A13" s="14" t="s">
        <v>53</v>
      </c>
      <c r="B13" s="16" t="s">
        <v>26</v>
      </c>
      <c r="C13" s="16"/>
      <c r="D13" s="202" t="s">
        <v>23</v>
      </c>
      <c r="E13" s="203"/>
      <c r="F13" s="70"/>
      <c r="G13" s="200"/>
      <c r="H13" s="191"/>
    </row>
    <row r="14" spans="1:9" s="3" customFormat="1" ht="30" customHeight="1" x14ac:dyDescent="0.25">
      <c r="A14" s="14" t="s">
        <v>53</v>
      </c>
      <c r="B14" s="16" t="s">
        <v>26</v>
      </c>
      <c r="C14" s="16"/>
      <c r="D14" s="202" t="s">
        <v>24</v>
      </c>
      <c r="E14" s="203"/>
      <c r="F14" s="70"/>
      <c r="G14" s="200"/>
      <c r="H14" s="191"/>
    </row>
    <row r="15" spans="1:9" s="3" customFormat="1" ht="30" customHeight="1" x14ac:dyDescent="0.25">
      <c r="A15" s="14" t="s">
        <v>53</v>
      </c>
      <c r="B15" s="16" t="s">
        <v>26</v>
      </c>
      <c r="C15" s="16"/>
      <c r="D15" s="205" t="s">
        <v>41</v>
      </c>
      <c r="E15" s="206"/>
      <c r="F15" s="70"/>
      <c r="G15" s="200"/>
      <c r="H15" s="191"/>
    </row>
    <row r="16" spans="1:9" s="3" customFormat="1" ht="30" customHeight="1" x14ac:dyDescent="0.25">
      <c r="A16" s="14" t="s">
        <v>53</v>
      </c>
      <c r="B16" s="16" t="s">
        <v>26</v>
      </c>
      <c r="C16" s="16"/>
      <c r="D16" s="202" t="s">
        <v>28</v>
      </c>
      <c r="E16" s="203"/>
      <c r="F16" s="70"/>
      <c r="G16" s="200"/>
      <c r="H16" s="191"/>
    </row>
    <row r="17" spans="1:9" s="3" customFormat="1" ht="30" customHeight="1" x14ac:dyDescent="0.25">
      <c r="A17" s="14" t="s">
        <v>53</v>
      </c>
      <c r="B17" s="16" t="s">
        <v>26</v>
      </c>
      <c r="C17" s="16"/>
      <c r="D17" s="204" t="s">
        <v>40</v>
      </c>
      <c r="E17" s="204"/>
      <c r="F17" s="71"/>
      <c r="G17" s="191"/>
      <c r="H17" s="191"/>
      <c r="I17" s="18"/>
    </row>
    <row r="18" spans="1:9" ht="9.9499999999999993" customHeight="1" x14ac:dyDescent="0.25">
      <c r="A18" s="14" t="s">
        <v>53</v>
      </c>
      <c r="B18" s="16" t="s">
        <v>26</v>
      </c>
      <c r="D18" s="57"/>
      <c r="E18" s="57"/>
      <c r="F18" s="72"/>
      <c r="G18" s="57"/>
      <c r="H18" s="57"/>
    </row>
    <row r="19" spans="1:9" s="5" customFormat="1" ht="20.100000000000001" customHeight="1" x14ac:dyDescent="0.25">
      <c r="A19" s="14" t="s">
        <v>53</v>
      </c>
      <c r="B19" s="16" t="s">
        <v>64</v>
      </c>
      <c r="C19" s="16"/>
      <c r="D19" s="6" t="s">
        <v>65</v>
      </c>
      <c r="E19" s="73"/>
      <c r="F19" s="74"/>
      <c r="G19" s="73"/>
      <c r="H19" s="48"/>
    </row>
    <row r="20" spans="1:9" s="3" customFormat="1" ht="30" customHeight="1" x14ac:dyDescent="0.25">
      <c r="A20" s="14" t="s">
        <v>53</v>
      </c>
      <c r="B20" s="16" t="s">
        <v>64</v>
      </c>
      <c r="C20" s="16"/>
      <c r="D20" s="195" t="s">
        <v>66</v>
      </c>
      <c r="E20" s="196"/>
      <c r="F20" s="88"/>
      <c r="G20" s="191"/>
      <c r="H20" s="199"/>
      <c r="I20" s="18"/>
    </row>
    <row r="21" spans="1:9" ht="9.9499999999999993" customHeight="1" x14ac:dyDescent="0.25">
      <c r="A21" s="14" t="s">
        <v>53</v>
      </c>
      <c r="B21" s="16" t="s">
        <v>64</v>
      </c>
      <c r="D21" s="90"/>
      <c r="E21" s="90"/>
      <c r="F21" s="89"/>
      <c r="G21" s="57"/>
      <c r="H21" s="57"/>
    </row>
    <row r="22" spans="1:9" s="5" customFormat="1" ht="20.100000000000001" customHeight="1" x14ac:dyDescent="0.25">
      <c r="A22" s="14" t="s">
        <v>53</v>
      </c>
      <c r="B22" s="16" t="s">
        <v>55</v>
      </c>
      <c r="C22" s="16"/>
      <c r="D22" s="54" t="s">
        <v>55</v>
      </c>
      <c r="E22" s="76"/>
      <c r="F22" s="77"/>
      <c r="G22" s="76"/>
      <c r="H22" s="56"/>
    </row>
    <row r="23" spans="1:9" s="3" customFormat="1" ht="30" customHeight="1" x14ac:dyDescent="0.25">
      <c r="A23" s="14" t="s">
        <v>53</v>
      </c>
      <c r="B23" s="16" t="s">
        <v>55</v>
      </c>
      <c r="C23" s="16"/>
      <c r="D23" s="194" t="s">
        <v>56</v>
      </c>
      <c r="E23" s="194"/>
      <c r="F23" s="75"/>
      <c r="G23" s="191"/>
      <c r="H23" s="191"/>
    </row>
    <row r="24" spans="1:9" s="3" customFormat="1" ht="30" customHeight="1" x14ac:dyDescent="0.25">
      <c r="A24" s="14" t="s">
        <v>53</v>
      </c>
      <c r="B24" s="16" t="s">
        <v>55</v>
      </c>
      <c r="C24" s="16"/>
      <c r="D24" s="194" t="s">
        <v>57</v>
      </c>
      <c r="E24" s="194"/>
      <c r="F24" s="75"/>
      <c r="G24" s="191"/>
      <c r="H24" s="191"/>
    </row>
    <row r="25" spans="1:9" ht="9.9499999999999993" customHeight="1" x14ac:dyDescent="0.25">
      <c r="A25" s="14" t="s">
        <v>53</v>
      </c>
      <c r="B25" s="16" t="s">
        <v>55</v>
      </c>
      <c r="D25" s="57"/>
      <c r="E25" s="57"/>
      <c r="F25" s="72"/>
      <c r="G25" s="57"/>
      <c r="H25" s="57"/>
    </row>
    <row r="26" spans="1:9" s="5" customFormat="1" ht="20.100000000000001" customHeight="1" x14ac:dyDescent="0.25">
      <c r="A26" s="14" t="s">
        <v>53</v>
      </c>
      <c r="B26" s="16" t="s">
        <v>74</v>
      </c>
      <c r="C26" s="16"/>
      <c r="D26" s="6" t="s">
        <v>75</v>
      </c>
      <c r="E26" s="73"/>
      <c r="F26" s="74"/>
      <c r="G26" s="73"/>
      <c r="H26" s="48"/>
    </row>
    <row r="27" spans="1:9" s="3" customFormat="1" ht="30" customHeight="1" x14ac:dyDescent="0.25">
      <c r="A27" s="14" t="s">
        <v>53</v>
      </c>
      <c r="B27" s="16" t="s">
        <v>74</v>
      </c>
      <c r="C27" s="16"/>
      <c r="D27" s="207" t="s">
        <v>77</v>
      </c>
      <c r="E27" s="207"/>
      <c r="F27" s="75"/>
      <c r="G27" s="191"/>
      <c r="H27" s="191"/>
      <c r="I27" s="66"/>
    </row>
    <row r="28" spans="1:9" ht="9.9499999999999993" customHeight="1" x14ac:dyDescent="0.25">
      <c r="A28" s="14" t="s">
        <v>53</v>
      </c>
      <c r="B28" s="16" t="s">
        <v>74</v>
      </c>
      <c r="D28" s="57"/>
      <c r="E28" s="57"/>
      <c r="F28" s="72"/>
      <c r="G28" s="57"/>
      <c r="H28" s="57"/>
    </row>
    <row r="29" spans="1:9" s="5" customFormat="1" ht="20.100000000000001" customHeight="1" x14ac:dyDescent="0.25">
      <c r="A29" s="14" t="s">
        <v>53</v>
      </c>
      <c r="B29" s="16" t="s">
        <v>78</v>
      </c>
      <c r="C29" s="16"/>
      <c r="D29" s="6" t="s">
        <v>80</v>
      </c>
      <c r="E29" s="73"/>
      <c r="F29" s="74"/>
      <c r="G29" s="73"/>
      <c r="H29" s="48"/>
    </row>
    <row r="30" spans="1:9" s="3" customFormat="1" ht="30" customHeight="1" x14ac:dyDescent="0.25">
      <c r="A30" s="14" t="s">
        <v>53</v>
      </c>
      <c r="B30" s="16" t="s">
        <v>78</v>
      </c>
      <c r="C30" s="16"/>
      <c r="D30" s="207" t="s">
        <v>81</v>
      </c>
      <c r="E30" s="207"/>
      <c r="F30" s="75"/>
      <c r="G30" s="191"/>
      <c r="H30" s="191"/>
      <c r="I30" s="66"/>
    </row>
    <row r="31" spans="1:9" s="3" customFormat="1" ht="30" customHeight="1" x14ac:dyDescent="0.25">
      <c r="A31" s="14" t="s">
        <v>53</v>
      </c>
      <c r="B31" s="16" t="s">
        <v>78</v>
      </c>
      <c r="C31" s="16"/>
      <c r="D31" s="207" t="s">
        <v>82</v>
      </c>
      <c r="E31" s="207"/>
      <c r="F31" s="75"/>
      <c r="G31" s="191"/>
      <c r="H31" s="191"/>
      <c r="I31" s="66"/>
    </row>
    <row r="32" spans="1:9" s="3" customFormat="1" ht="30" customHeight="1" x14ac:dyDescent="0.25">
      <c r="A32" s="14" t="s">
        <v>53</v>
      </c>
      <c r="B32" s="16" t="s">
        <v>78</v>
      </c>
      <c r="C32" s="16"/>
      <c r="D32" s="207" t="s">
        <v>83</v>
      </c>
      <c r="E32" s="207"/>
      <c r="F32" s="75"/>
      <c r="G32" s="191"/>
      <c r="H32" s="191"/>
      <c r="I32" s="66"/>
    </row>
    <row r="33" spans="1:9" s="3" customFormat="1" ht="30" customHeight="1" x14ac:dyDescent="0.25">
      <c r="A33" s="14" t="s">
        <v>53</v>
      </c>
      <c r="B33" s="16" t="s">
        <v>78</v>
      </c>
      <c r="C33" s="16"/>
      <c r="D33" s="209" t="s">
        <v>88</v>
      </c>
      <c r="E33" s="207"/>
      <c r="F33" s="75"/>
      <c r="G33" s="191"/>
      <c r="H33" s="191"/>
      <c r="I33" s="66"/>
    </row>
    <row r="34" spans="1:9" s="3" customFormat="1" ht="30" customHeight="1" x14ac:dyDescent="0.25">
      <c r="A34" s="14" t="s">
        <v>53</v>
      </c>
      <c r="B34" s="16" t="s">
        <v>78</v>
      </c>
      <c r="C34" s="16"/>
      <c r="D34" s="207" t="s">
        <v>87</v>
      </c>
      <c r="E34" s="207"/>
      <c r="F34" s="75"/>
      <c r="G34" s="191"/>
      <c r="H34" s="191"/>
      <c r="I34" s="66"/>
    </row>
    <row r="35" spans="1:9" s="3" customFormat="1" ht="30" customHeight="1" x14ac:dyDescent="0.25">
      <c r="A35" s="14" t="s">
        <v>53</v>
      </c>
      <c r="B35" s="16" t="s">
        <v>78</v>
      </c>
      <c r="C35" s="16"/>
      <c r="D35" s="207" t="s">
        <v>84</v>
      </c>
      <c r="E35" s="207"/>
      <c r="F35" s="75"/>
      <c r="G35" s="191"/>
      <c r="H35" s="191"/>
      <c r="I35" s="66"/>
    </row>
    <row r="36" spans="1:9" s="3" customFormat="1" ht="30" customHeight="1" x14ac:dyDescent="0.25">
      <c r="A36" s="14" t="s">
        <v>53</v>
      </c>
      <c r="B36" s="16" t="s">
        <v>78</v>
      </c>
      <c r="C36" s="16"/>
      <c r="D36" s="207" t="s">
        <v>79</v>
      </c>
      <c r="E36" s="207"/>
      <c r="F36" s="75"/>
      <c r="G36" s="191"/>
      <c r="H36" s="191"/>
      <c r="I36" s="66"/>
    </row>
    <row r="37" spans="1:9" s="3" customFormat="1" ht="30" customHeight="1" x14ac:dyDescent="0.25">
      <c r="A37" s="14" t="s">
        <v>53</v>
      </c>
      <c r="B37" s="16" t="s">
        <v>78</v>
      </c>
      <c r="C37" s="16"/>
      <c r="D37" s="207" t="s">
        <v>85</v>
      </c>
      <c r="E37" s="207"/>
      <c r="F37" s="75"/>
      <c r="G37" s="191"/>
      <c r="H37" s="191"/>
      <c r="I37" s="66"/>
    </row>
    <row r="38" spans="1:9" ht="9.9499999999999993" customHeight="1" x14ac:dyDescent="0.25">
      <c r="A38" s="14" t="s">
        <v>53</v>
      </c>
      <c r="B38" s="16" t="s">
        <v>78</v>
      </c>
      <c r="D38" s="57"/>
      <c r="E38" s="57"/>
      <c r="F38" s="72"/>
      <c r="G38" s="57"/>
      <c r="H38" s="57"/>
    </row>
    <row r="39" spans="1:9" s="5" customFormat="1" ht="20.100000000000001" customHeight="1" x14ac:dyDescent="0.25">
      <c r="A39" s="14" t="s">
        <v>53</v>
      </c>
      <c r="B39" s="16" t="s">
        <v>91</v>
      </c>
      <c r="C39" s="16"/>
      <c r="D39" s="6" t="s">
        <v>89</v>
      </c>
      <c r="E39" s="73"/>
      <c r="F39" s="74"/>
      <c r="G39" s="73"/>
      <c r="H39" s="48"/>
    </row>
    <row r="40" spans="1:9" s="3" customFormat="1" ht="30" customHeight="1" x14ac:dyDescent="0.25">
      <c r="A40" s="14" t="s">
        <v>53</v>
      </c>
      <c r="B40" s="16" t="s">
        <v>91</v>
      </c>
      <c r="C40" s="16"/>
      <c r="D40" s="189" t="s">
        <v>90</v>
      </c>
      <c r="E40" s="190"/>
      <c r="F40" s="75"/>
      <c r="G40" s="191"/>
      <c r="H40" s="191"/>
      <c r="I40" s="66"/>
    </row>
    <row r="41" spans="1:9" ht="9.9499999999999993" customHeight="1" x14ac:dyDescent="0.25">
      <c r="A41" s="14" t="s">
        <v>53</v>
      </c>
      <c r="B41" s="16" t="s">
        <v>91</v>
      </c>
      <c r="D41" s="57"/>
      <c r="E41" s="57"/>
      <c r="F41" s="72"/>
      <c r="G41" s="57"/>
      <c r="H41" s="57"/>
    </row>
    <row r="42" spans="1:9" s="5" customFormat="1" ht="20.100000000000001" customHeight="1" x14ac:dyDescent="0.25">
      <c r="A42" s="14" t="s">
        <v>53</v>
      </c>
      <c r="B42" s="16" t="s">
        <v>1916</v>
      </c>
      <c r="C42" s="16"/>
      <c r="D42" s="6" t="s">
        <v>1853</v>
      </c>
      <c r="E42" s="73"/>
      <c r="F42" s="74"/>
      <c r="G42" s="73"/>
      <c r="H42" s="48"/>
    </row>
    <row r="43" spans="1:9" s="3" customFormat="1" ht="30" customHeight="1" x14ac:dyDescent="0.25">
      <c r="A43" s="14" t="s">
        <v>53</v>
      </c>
      <c r="B43" s="16" t="s">
        <v>1916</v>
      </c>
      <c r="C43" s="16"/>
      <c r="D43" s="195" t="s">
        <v>1917</v>
      </c>
      <c r="E43" s="196"/>
      <c r="F43" s="75"/>
      <c r="G43" s="191"/>
      <c r="H43" s="191"/>
      <c r="I43" s="66"/>
    </row>
    <row r="44" spans="1:9" ht="9.9499999999999993" customHeight="1" x14ac:dyDescent="0.25">
      <c r="A44" s="14" t="s">
        <v>53</v>
      </c>
      <c r="B44" s="16" t="s">
        <v>1916</v>
      </c>
      <c r="D44" s="57"/>
      <c r="E44" s="57"/>
      <c r="F44" s="72"/>
      <c r="G44" s="57"/>
      <c r="H44" s="57"/>
    </row>
    <row r="45" spans="1:9" s="5" customFormat="1" ht="20.100000000000001" customHeight="1" x14ac:dyDescent="0.25">
      <c r="A45" s="14" t="s">
        <v>53</v>
      </c>
      <c r="B45" s="16" t="s">
        <v>1637</v>
      </c>
      <c r="C45" s="16"/>
      <c r="D45" s="6" t="s">
        <v>1636</v>
      </c>
      <c r="E45" s="73"/>
      <c r="F45" s="74"/>
      <c r="G45" s="73"/>
      <c r="H45" s="48"/>
    </row>
    <row r="46" spans="1:9" s="3" customFormat="1" ht="30" customHeight="1" x14ac:dyDescent="0.25">
      <c r="A46" s="14" t="s">
        <v>53</v>
      </c>
      <c r="B46" s="16" t="s">
        <v>1637</v>
      </c>
      <c r="C46" s="16"/>
      <c r="D46" s="194" t="s">
        <v>1638</v>
      </c>
      <c r="E46" s="194"/>
      <c r="F46" s="75"/>
      <c r="G46" s="191"/>
      <c r="H46" s="191"/>
    </row>
    <row r="47" spans="1:9" s="3" customFormat="1" ht="30" customHeight="1" x14ac:dyDescent="0.25">
      <c r="A47" s="14" t="s">
        <v>53</v>
      </c>
      <c r="B47" s="16" t="s">
        <v>1637</v>
      </c>
      <c r="C47" s="16"/>
      <c r="D47" s="194" t="s">
        <v>1669</v>
      </c>
      <c r="E47" s="194"/>
      <c r="F47" s="75"/>
      <c r="G47" s="191"/>
      <c r="H47" s="191"/>
    </row>
    <row r="48" spans="1:9" s="3" customFormat="1" ht="30" customHeight="1" x14ac:dyDescent="0.25">
      <c r="A48" s="14" t="s">
        <v>53</v>
      </c>
      <c r="B48" s="16" t="s">
        <v>1637</v>
      </c>
      <c r="C48" s="16"/>
      <c r="D48" s="192" t="s">
        <v>1640</v>
      </c>
      <c r="E48" s="193"/>
      <c r="F48" s="75"/>
      <c r="G48" s="191"/>
      <c r="H48" s="191"/>
    </row>
    <row r="49" spans="1:8" s="3" customFormat="1" ht="30" customHeight="1" x14ac:dyDescent="0.25">
      <c r="A49" s="14" t="s">
        <v>53</v>
      </c>
      <c r="B49" s="16" t="s">
        <v>1637</v>
      </c>
      <c r="C49" s="16"/>
      <c r="D49" s="192" t="s">
        <v>1639</v>
      </c>
      <c r="E49" s="193"/>
      <c r="F49" s="75"/>
      <c r="G49" s="191"/>
      <c r="H49" s="191"/>
    </row>
    <row r="50" spans="1:8" s="3" customFormat="1" ht="30" customHeight="1" x14ac:dyDescent="0.25">
      <c r="A50" s="14" t="s">
        <v>53</v>
      </c>
      <c r="B50" s="16" t="s">
        <v>1637</v>
      </c>
      <c r="C50" s="16"/>
      <c r="D50" s="194" t="s">
        <v>1641</v>
      </c>
      <c r="E50" s="194"/>
      <c r="F50" s="75"/>
      <c r="G50" s="191"/>
      <c r="H50" s="191"/>
    </row>
    <row r="51" spans="1:8" ht="9.9499999999999993" customHeight="1" x14ac:dyDescent="0.25">
      <c r="A51" s="14" t="s">
        <v>53</v>
      </c>
      <c r="B51" s="16" t="s">
        <v>1637</v>
      </c>
      <c r="D51" s="57"/>
      <c r="E51" s="57"/>
      <c r="F51" s="72"/>
      <c r="G51" s="57"/>
      <c r="H51" s="57"/>
    </row>
    <row r="52" spans="1:8" s="5" customFormat="1" ht="20.100000000000001" customHeight="1" x14ac:dyDescent="0.25">
      <c r="A52" s="14" t="s">
        <v>53</v>
      </c>
      <c r="B52" s="16" t="s">
        <v>42</v>
      </c>
      <c r="C52" s="16"/>
      <c r="D52" s="6" t="s">
        <v>1744</v>
      </c>
      <c r="E52" s="73"/>
      <c r="F52" s="74"/>
      <c r="G52" s="73"/>
      <c r="H52" s="48"/>
    </row>
    <row r="53" spans="1:8" s="3" customFormat="1" ht="30" customHeight="1" x14ac:dyDescent="0.25">
      <c r="A53" s="14" t="s">
        <v>53</v>
      </c>
      <c r="B53" s="16" t="s">
        <v>42</v>
      </c>
      <c r="C53" s="16"/>
      <c r="D53" s="208" t="s">
        <v>43</v>
      </c>
      <c r="E53" s="208"/>
      <c r="F53" s="75"/>
      <c r="G53" s="191"/>
      <c r="H53" s="191"/>
    </row>
    <row r="54" spans="1:8" s="3" customFormat="1" ht="30" customHeight="1" x14ac:dyDescent="0.25">
      <c r="A54" s="14" t="s">
        <v>53</v>
      </c>
      <c r="B54" s="16" t="s">
        <v>42</v>
      </c>
      <c r="C54" s="16"/>
      <c r="D54" s="208" t="s">
        <v>44</v>
      </c>
      <c r="E54" s="208"/>
      <c r="F54" s="75"/>
      <c r="G54" s="191"/>
      <c r="H54" s="191"/>
    </row>
    <row r="55" spans="1:8" s="3" customFormat="1" ht="30" customHeight="1" x14ac:dyDescent="0.25">
      <c r="A55" s="14" t="s">
        <v>53</v>
      </c>
      <c r="B55" s="16" t="s">
        <v>42</v>
      </c>
      <c r="C55" s="16"/>
      <c r="D55" s="208" t="s">
        <v>45</v>
      </c>
      <c r="E55" s="208"/>
      <c r="F55" s="75"/>
      <c r="G55" s="191"/>
      <c r="H55" s="191"/>
    </row>
    <row r="56" spans="1:8" s="3" customFormat="1" ht="30" customHeight="1" x14ac:dyDescent="0.25">
      <c r="A56" s="14" t="s">
        <v>53</v>
      </c>
      <c r="B56" s="16" t="s">
        <v>42</v>
      </c>
      <c r="C56" s="16"/>
      <c r="D56" s="208" t="s">
        <v>46</v>
      </c>
      <c r="E56" s="208"/>
      <c r="F56" s="75"/>
      <c r="G56" s="191"/>
      <c r="H56" s="191"/>
    </row>
    <row r="57" spans="1:8" s="3" customFormat="1" ht="30" customHeight="1" x14ac:dyDescent="0.25">
      <c r="A57" s="14" t="s">
        <v>53</v>
      </c>
      <c r="B57" s="16" t="s">
        <v>42</v>
      </c>
      <c r="C57" s="16"/>
      <c r="D57" s="208" t="s">
        <v>51</v>
      </c>
      <c r="E57" s="208"/>
      <c r="F57" s="75"/>
      <c r="G57" s="191"/>
      <c r="H57" s="191"/>
    </row>
    <row r="58" spans="1:8" s="3" customFormat="1" ht="30" customHeight="1" x14ac:dyDescent="0.25">
      <c r="A58" s="14" t="s">
        <v>53</v>
      </c>
      <c r="B58" s="16" t="s">
        <v>42</v>
      </c>
      <c r="C58" s="16"/>
      <c r="D58" s="208" t="s">
        <v>52</v>
      </c>
      <c r="E58" s="208"/>
      <c r="F58" s="75"/>
      <c r="G58" s="191"/>
      <c r="H58" s="191"/>
    </row>
    <row r="59" spans="1:8" s="3" customFormat="1" ht="30" customHeight="1" x14ac:dyDescent="0.25">
      <c r="A59" s="14" t="s">
        <v>53</v>
      </c>
      <c r="B59" s="16" t="s">
        <v>42</v>
      </c>
      <c r="C59" s="16"/>
      <c r="D59" s="208" t="s">
        <v>47</v>
      </c>
      <c r="E59" s="208"/>
      <c r="F59" s="75"/>
      <c r="G59" s="191"/>
      <c r="H59" s="191"/>
    </row>
    <row r="60" spans="1:8" s="3" customFormat="1" ht="30" customHeight="1" x14ac:dyDescent="0.25">
      <c r="A60" s="14" t="s">
        <v>53</v>
      </c>
      <c r="B60" s="16" t="s">
        <v>42</v>
      </c>
      <c r="C60" s="16"/>
      <c r="D60" s="208" t="s">
        <v>48</v>
      </c>
      <c r="E60" s="208"/>
      <c r="F60" s="75"/>
      <c r="G60" s="191"/>
      <c r="H60" s="191"/>
    </row>
    <row r="61" spans="1:8" s="3" customFormat="1" ht="30" customHeight="1" x14ac:dyDescent="0.25">
      <c r="A61" s="14" t="s">
        <v>53</v>
      </c>
      <c r="B61" s="16" t="s">
        <v>42</v>
      </c>
      <c r="C61" s="16"/>
      <c r="D61" s="208" t="s">
        <v>49</v>
      </c>
      <c r="E61" s="208"/>
      <c r="F61" s="75"/>
      <c r="G61" s="191"/>
      <c r="H61" s="191"/>
    </row>
    <row r="62" spans="1:8" s="3" customFormat="1" ht="30" customHeight="1" x14ac:dyDescent="0.25">
      <c r="A62" s="14" t="s">
        <v>53</v>
      </c>
      <c r="B62" s="16" t="s">
        <v>42</v>
      </c>
      <c r="C62" s="16"/>
      <c r="D62" s="208" t="s">
        <v>50</v>
      </c>
      <c r="E62" s="208"/>
      <c r="F62" s="75"/>
      <c r="G62" s="191"/>
      <c r="H62" s="191"/>
    </row>
    <row r="63" spans="1:8" ht="9.9499999999999993" customHeight="1" x14ac:dyDescent="0.25">
      <c r="A63" s="14" t="s">
        <v>53</v>
      </c>
      <c r="B63" s="16" t="s">
        <v>42</v>
      </c>
    </row>
  </sheetData>
  <mergeCells count="80">
    <mergeCell ref="D33:E33"/>
    <mergeCell ref="G33:H33"/>
    <mergeCell ref="D37:E37"/>
    <mergeCell ref="G37:H37"/>
    <mergeCell ref="D30:E30"/>
    <mergeCell ref="G30:H30"/>
    <mergeCell ref="D31:E31"/>
    <mergeCell ref="G31:H31"/>
    <mergeCell ref="D32:E32"/>
    <mergeCell ref="G32:H32"/>
    <mergeCell ref="D36:E36"/>
    <mergeCell ref="G36:H36"/>
    <mergeCell ref="D34:E34"/>
    <mergeCell ref="G34:H34"/>
    <mergeCell ref="D35:E35"/>
    <mergeCell ref="G35:H35"/>
    <mergeCell ref="D27:E27"/>
    <mergeCell ref="G27:H27"/>
    <mergeCell ref="D53:E53"/>
    <mergeCell ref="D62:E62"/>
    <mergeCell ref="D61:E61"/>
    <mergeCell ref="D60:E60"/>
    <mergeCell ref="D59:E59"/>
    <mergeCell ref="D58:E58"/>
    <mergeCell ref="D57:E57"/>
    <mergeCell ref="D56:E56"/>
    <mergeCell ref="D55:E55"/>
    <mergeCell ref="D54:E54"/>
    <mergeCell ref="G61:H61"/>
    <mergeCell ref="G62:H62"/>
    <mergeCell ref="G55:H55"/>
    <mergeCell ref="G56:H56"/>
    <mergeCell ref="G57:H57"/>
    <mergeCell ref="G58:H58"/>
    <mergeCell ref="G59:H59"/>
    <mergeCell ref="G60:H60"/>
    <mergeCell ref="G53:H53"/>
    <mergeCell ref="G54:H54"/>
    <mergeCell ref="D24:E24"/>
    <mergeCell ref="G24:H24"/>
    <mergeCell ref="F3:F4"/>
    <mergeCell ref="D7:E7"/>
    <mergeCell ref="D10:E10"/>
    <mergeCell ref="D12:E12"/>
    <mergeCell ref="D11:E11"/>
    <mergeCell ref="D17:E17"/>
    <mergeCell ref="D16:E16"/>
    <mergeCell ref="D15:E15"/>
    <mergeCell ref="D14:E14"/>
    <mergeCell ref="D13:E13"/>
    <mergeCell ref="G16:H16"/>
    <mergeCell ref="G17:H17"/>
    <mergeCell ref="G7:H7"/>
    <mergeCell ref="G15:H15"/>
    <mergeCell ref="D20:E20"/>
    <mergeCell ref="G1:H1"/>
    <mergeCell ref="D23:E23"/>
    <mergeCell ref="G23:H23"/>
    <mergeCell ref="D1:F1"/>
    <mergeCell ref="D3:E4"/>
    <mergeCell ref="G20:H20"/>
    <mergeCell ref="G10:H10"/>
    <mergeCell ref="G11:H11"/>
    <mergeCell ref="G12:H12"/>
    <mergeCell ref="G13:H13"/>
    <mergeCell ref="G14:H14"/>
    <mergeCell ref="D40:E40"/>
    <mergeCell ref="G40:H40"/>
    <mergeCell ref="D49:E49"/>
    <mergeCell ref="G49:H49"/>
    <mergeCell ref="D50:E50"/>
    <mergeCell ref="G50:H50"/>
    <mergeCell ref="D46:E46"/>
    <mergeCell ref="G46:H46"/>
    <mergeCell ref="D47:E47"/>
    <mergeCell ref="G47:H47"/>
    <mergeCell ref="D48:E48"/>
    <mergeCell ref="G48:H48"/>
    <mergeCell ref="D43:E43"/>
    <mergeCell ref="G43:H43"/>
  </mergeCells>
  <hyperlinks>
    <hyperlink ref="D16:E16" r:id="rId1" display="Religious Freedom Trng (Formerly Free Ex of Religion)"/>
    <hyperlink ref="D7:E7" r:id="rId2" display="Last Checked Date"/>
    <hyperlink ref="D23:E24" r:id="rId3" display="GTC Expiration Date"/>
    <hyperlink ref="D20:E20" r:id="rId4" display="Account is active and linked to unit?"/>
    <hyperlink ref="D27:E27" r:id="rId5" display="GTC Expiration Date"/>
    <hyperlink ref="D36:E36" r:id="rId6" display="Overall Status"/>
    <hyperlink ref="D35:E35" r:id="rId7" display="Overall Status"/>
    <hyperlink ref="D34:E34" r:id="rId8" display="Overall Status"/>
    <hyperlink ref="D33:E33" r:id="rId9" display="Overall Status"/>
    <hyperlink ref="D32:E32" r:id="rId10" display="Overall Status"/>
    <hyperlink ref="D31:E31" r:id="rId11" display="Overall Status"/>
    <hyperlink ref="D30:E30" r:id="rId12" display="Overall Status"/>
    <hyperlink ref="D37:E37" r:id="rId13" display="Overall Status"/>
    <hyperlink ref="D10:E14" r:id="rId14" display="DoD IAA Cyber Awareness Challenge"/>
    <hyperlink ref="D48:E48" r:id="rId15" display="Risk Management"/>
    <hyperlink ref="D49:E49" r:id="rId16" display="SST CBT"/>
    <hyperlink ref="D46:E46" r:id="rId17" display="Initial JSTO"/>
    <hyperlink ref="D47:E47" r:id="rId18" display="JSTO - 2018 Job Safety"/>
    <hyperlink ref="D50:E50" r:id="rId19" display="SST In Person"/>
    <hyperlink ref="D43:E43" r:id="rId20" display="Signature Required"/>
  </hyperlinks>
  <pageMargins left="0" right="0" top="0" bottom="0" header="0" footer="0"/>
  <pageSetup orientation="portrait" r:id="rId21"/>
  <legacyDrawing r:id="rId2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K227"/>
  <sheetViews>
    <sheetView showGridLines="0" showRowColHeaders="0" zoomScale="87" zoomScaleNormal="87" workbookViewId="0">
      <pane ySplit="6" topLeftCell="A149" activePane="bottomLeft" state="frozen"/>
      <selection pane="bottomLeft" activeCell="D151" sqref="D151"/>
    </sheetView>
  </sheetViews>
  <sheetFormatPr defaultRowHeight="15" x14ac:dyDescent="0.25"/>
  <cols>
    <col min="1" max="2" width="9.140625" style="19"/>
    <col min="3" max="3" width="0.85546875" style="143" customWidth="1"/>
    <col min="4" max="4" width="4.7109375" style="115" customWidth="1"/>
    <col min="5" max="5" width="13.7109375" style="44" customWidth="1"/>
    <col min="6" max="9" width="12.7109375" style="130" hidden="1" customWidth="1"/>
    <col min="10" max="13" width="12.7109375" style="130" customWidth="1"/>
    <col min="14" max="14" width="12.7109375" style="57" customWidth="1"/>
    <col min="15" max="114" width="0.5703125" style="19" customWidth="1"/>
    <col min="115" max="115" width="9.140625" style="19" hidden="1" customWidth="1"/>
    <col min="116" max="116" width="9.140625" style="19" customWidth="1"/>
    <col min="117" max="16384" width="9.140625" style="19"/>
  </cols>
  <sheetData>
    <row r="1" spans="1:115" ht="39.950000000000003" customHeight="1" x14ac:dyDescent="0.25">
      <c r="D1" s="118" t="s">
        <v>1675</v>
      </c>
      <c r="E1" s="32"/>
      <c r="F1" s="128"/>
      <c r="G1" s="128"/>
      <c r="H1" s="128"/>
      <c r="I1" s="129"/>
      <c r="J1" s="129"/>
      <c r="K1" s="129"/>
      <c r="L1" s="129"/>
      <c r="M1" s="129"/>
      <c r="N1" s="127"/>
      <c r="O1" s="210" t="s">
        <v>71</v>
      </c>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1"/>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c r="DA1" s="211"/>
      <c r="DB1" s="211"/>
      <c r="DC1" s="211"/>
      <c r="DD1" s="211"/>
      <c r="DE1" s="211"/>
      <c r="DF1" s="211"/>
      <c r="DG1" s="211"/>
      <c r="DH1" s="211"/>
      <c r="DI1" s="211"/>
      <c r="DJ1" s="211"/>
    </row>
    <row r="2" spans="1:115" s="93" customFormat="1" ht="30" customHeight="1" x14ac:dyDescent="0.25">
      <c r="C2" s="94"/>
      <c r="D2" s="183" t="s">
        <v>69</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5"/>
    </row>
    <row r="3" spans="1:115" s="14" customFormat="1" x14ac:dyDescent="0.25">
      <c r="C3" s="23"/>
      <c r="D3" s="186" t="s">
        <v>68</v>
      </c>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8"/>
    </row>
    <row r="4" spans="1:115" s="14" customFormat="1" x14ac:dyDescent="0.25">
      <c r="C4" s="23"/>
      <c r="D4" s="212" t="s">
        <v>70</v>
      </c>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3"/>
      <c r="DD4" s="213"/>
      <c r="DE4" s="213"/>
      <c r="DF4" s="213"/>
      <c r="DG4" s="213"/>
      <c r="DH4" s="213"/>
      <c r="DI4" s="213"/>
      <c r="DJ4" s="214"/>
    </row>
    <row r="5" spans="1:115" ht="5.0999999999999996" customHeight="1" x14ac:dyDescent="0.25"/>
    <row r="6" spans="1:115" s="13" customFormat="1" ht="15" customHeight="1" x14ac:dyDescent="0.25">
      <c r="C6" s="22"/>
      <c r="D6" s="138"/>
      <c r="E6" s="156"/>
      <c r="F6" s="145" t="s">
        <v>32</v>
      </c>
      <c r="G6" s="29" t="s">
        <v>54</v>
      </c>
      <c r="H6" s="30" t="s">
        <v>59</v>
      </c>
      <c r="I6" s="21" t="s">
        <v>31</v>
      </c>
      <c r="J6" s="27" t="s">
        <v>30</v>
      </c>
      <c r="K6" s="28" t="s">
        <v>32</v>
      </c>
      <c r="L6" s="29" t="s">
        <v>54</v>
      </c>
      <c r="M6" s="30" t="s">
        <v>59</v>
      </c>
      <c r="N6" s="21" t="s">
        <v>31</v>
      </c>
    </row>
    <row r="7" spans="1:115" s="146" customFormat="1" ht="5.0999999999999996" customHeight="1" x14ac:dyDescent="0.25">
      <c r="C7" s="147"/>
      <c r="D7" s="148"/>
      <c r="E7" s="156"/>
      <c r="F7" s="149"/>
      <c r="G7" s="150"/>
      <c r="H7" s="151"/>
      <c r="I7" s="150"/>
      <c r="J7" s="152"/>
      <c r="K7" s="153"/>
      <c r="L7" s="152"/>
      <c r="M7" s="154"/>
    </row>
    <row r="8" spans="1:115" s="7" customFormat="1" ht="20.100000000000001" customHeight="1" x14ac:dyDescent="0.25">
      <c r="B8" s="7" t="s">
        <v>20</v>
      </c>
      <c r="C8" s="144"/>
      <c r="D8" s="125" t="s">
        <v>20</v>
      </c>
      <c r="E8" s="157"/>
      <c r="F8" s="131"/>
      <c r="G8" s="131"/>
      <c r="H8" s="131"/>
      <c r="I8" s="131"/>
      <c r="J8" s="131"/>
      <c r="K8" s="131"/>
      <c r="L8" s="131"/>
      <c r="M8" s="131"/>
      <c r="N8" s="12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c r="BA8" s="217"/>
      <c r="BB8" s="217"/>
      <c r="BC8" s="217"/>
      <c r="BD8" s="217"/>
      <c r="BE8" s="217"/>
      <c r="BF8" s="217"/>
      <c r="BG8" s="217"/>
      <c r="BH8" s="217"/>
      <c r="BI8" s="217"/>
      <c r="BJ8" s="217"/>
      <c r="BK8" s="217"/>
      <c r="BL8" s="217"/>
      <c r="BM8" s="217"/>
      <c r="BN8" s="217"/>
      <c r="BO8" s="217"/>
      <c r="BP8" s="217"/>
      <c r="BQ8" s="217"/>
      <c r="BR8" s="217"/>
      <c r="BS8" s="217"/>
      <c r="BT8" s="217"/>
      <c r="BU8" s="217"/>
      <c r="BV8" s="217"/>
      <c r="BW8" s="217"/>
      <c r="BX8" s="217"/>
      <c r="BY8" s="217"/>
      <c r="BZ8" s="217"/>
      <c r="CA8" s="217"/>
      <c r="CB8" s="217"/>
      <c r="CC8" s="217"/>
      <c r="CD8" s="217"/>
      <c r="CE8" s="217"/>
      <c r="CF8" s="217"/>
      <c r="CG8" s="217"/>
      <c r="CH8" s="217"/>
      <c r="CI8" s="217"/>
      <c r="CJ8" s="217"/>
      <c r="CK8" s="217"/>
      <c r="CL8" s="217"/>
      <c r="CM8" s="217"/>
      <c r="CN8" s="217"/>
      <c r="CO8" s="217"/>
      <c r="CP8" s="217"/>
      <c r="CQ8" s="217"/>
      <c r="CR8" s="217"/>
      <c r="CS8" s="217"/>
      <c r="CT8" s="217"/>
      <c r="CU8" s="217"/>
      <c r="CV8" s="217"/>
      <c r="CW8" s="217"/>
      <c r="CX8" s="217"/>
      <c r="CY8" s="217"/>
      <c r="CZ8" s="217"/>
      <c r="DA8" s="217"/>
      <c r="DB8" s="217"/>
      <c r="DC8" s="217"/>
      <c r="DD8" s="217"/>
      <c r="DE8" s="217"/>
      <c r="DF8" s="217"/>
      <c r="DG8" s="217"/>
      <c r="DH8" s="217"/>
      <c r="DI8" s="217"/>
      <c r="DJ8" s="218"/>
    </row>
    <row r="9" spans="1:115" s="7" customFormat="1" ht="30" customHeight="1" x14ac:dyDescent="0.25">
      <c r="A9" s="7" t="s">
        <v>4</v>
      </c>
      <c r="B9" s="7" t="s">
        <v>20</v>
      </c>
      <c r="C9" s="144"/>
      <c r="D9" s="120"/>
      <c r="E9" s="155" t="str">
        <f>IFERROR(A9&amp;"   ("&amp;COUNTIFS(#REF!,"="&amp;A9)&amp;")",A9)</f>
        <v>11 SOIS</v>
      </c>
      <c r="F9" s="132"/>
      <c r="G9" s="133"/>
      <c r="H9" s="134"/>
      <c r="I9" s="135"/>
      <c r="J9" s="132"/>
      <c r="K9" s="133"/>
      <c r="L9" s="134"/>
      <c r="M9" s="139"/>
      <c r="N9" s="142"/>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c r="CA9" s="119"/>
      <c r="CB9" s="119"/>
      <c r="CC9" s="119"/>
      <c r="CD9" s="119"/>
      <c r="CE9" s="119"/>
      <c r="CF9" s="119"/>
      <c r="CG9" s="119"/>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14"/>
    </row>
    <row r="10" spans="1:115" s="7" customFormat="1" ht="9.9499999999999993" customHeight="1" x14ac:dyDescent="0.25">
      <c r="A10" s="7" t="s">
        <v>4</v>
      </c>
      <c r="B10" s="7" t="s">
        <v>20</v>
      </c>
      <c r="C10" s="144"/>
      <c r="D10" s="124"/>
      <c r="E10" s="158"/>
      <c r="F10" s="136"/>
      <c r="G10" s="136"/>
      <c r="H10" s="136"/>
      <c r="I10" s="136"/>
      <c r="J10" s="136"/>
      <c r="K10" s="136"/>
      <c r="L10" s="136"/>
      <c r="M10" s="136"/>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row>
    <row r="11" spans="1:115" s="7" customFormat="1" ht="30" customHeight="1" x14ac:dyDescent="0.25">
      <c r="A11" s="7" t="s">
        <v>6</v>
      </c>
      <c r="B11" s="7" t="s">
        <v>20</v>
      </c>
      <c r="C11" s="144" t="s">
        <v>1674</v>
      </c>
      <c r="D11" s="120">
        <f>COUNTA($E$11:$E11)</f>
        <v>1</v>
      </c>
      <c r="E11" s="155" t="str">
        <f>IFERROR(A11&amp;"   ("&amp;COUNTIFS(#REF!,"="&amp;A11)&amp;")",A11)</f>
        <v>CCI</v>
      </c>
      <c r="F11" s="132"/>
      <c r="G11" s="133"/>
      <c r="H11" s="134"/>
      <c r="I11" s="135"/>
      <c r="J11" s="132"/>
      <c r="K11" s="133"/>
      <c r="L11" s="134"/>
      <c r="M11" s="139"/>
      <c r="N11" s="142"/>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4"/>
    </row>
    <row r="12" spans="1:115" s="7" customFormat="1" ht="30" customHeight="1" x14ac:dyDescent="0.25">
      <c r="A12" s="7" t="s">
        <v>11</v>
      </c>
      <c r="B12" s="7" t="s">
        <v>20</v>
      </c>
      <c r="C12" s="144" t="s">
        <v>1674</v>
      </c>
      <c r="D12" s="120">
        <f>COUNTA($E$11:$E12)</f>
        <v>2</v>
      </c>
      <c r="E12" s="155" t="str">
        <f>IFERROR(A12&amp;"   ("&amp;COUNTIFS(#REF!,"="&amp;A12)&amp;")",A12)</f>
        <v>CCV</v>
      </c>
      <c r="F12" s="132"/>
      <c r="G12" s="133"/>
      <c r="H12" s="134"/>
      <c r="I12" s="135"/>
      <c r="J12" s="132"/>
      <c r="K12" s="133"/>
      <c r="L12" s="134"/>
      <c r="M12" s="139"/>
      <c r="N12" s="14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1"/>
    </row>
    <row r="13" spans="1:115" s="7" customFormat="1" ht="30" customHeight="1" x14ac:dyDescent="0.25">
      <c r="A13" s="7" t="s">
        <v>1670</v>
      </c>
      <c r="B13" s="7" t="s">
        <v>20</v>
      </c>
      <c r="C13" s="144" t="s">
        <v>1674</v>
      </c>
      <c r="D13" s="120">
        <f>COUNTA($E$11:$E13)</f>
        <v>3</v>
      </c>
      <c r="E13" s="155" t="str">
        <f>IFERROR(A13&amp;"   ("&amp;COUNTIFS(#REF!,"="&amp;A13)&amp;")",A13)</f>
        <v>CMD</v>
      </c>
      <c r="F13" s="132"/>
      <c r="G13" s="133"/>
      <c r="H13" s="134"/>
      <c r="I13" s="135"/>
      <c r="J13" s="132"/>
      <c r="K13" s="133"/>
      <c r="L13" s="134"/>
      <c r="M13" s="139"/>
      <c r="N13" s="142"/>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4"/>
    </row>
    <row r="14" spans="1:115" s="7" customFormat="1" ht="30" customHeight="1" x14ac:dyDescent="0.25">
      <c r="A14" s="7" t="s">
        <v>17</v>
      </c>
      <c r="B14" s="7" t="s">
        <v>20</v>
      </c>
      <c r="C14" s="144" t="s">
        <v>1674</v>
      </c>
      <c r="D14" s="120">
        <f>COUNTA($E$11:$E14)</f>
        <v>4</v>
      </c>
      <c r="E14" s="155" t="str">
        <f>IFERROR(A14&amp;"   ("&amp;COUNTIFS(#REF!,"="&amp;A14)&amp;")",A14)</f>
        <v>DO</v>
      </c>
      <c r="F14" s="132"/>
      <c r="G14" s="133"/>
      <c r="H14" s="134"/>
      <c r="I14" s="135"/>
      <c r="J14" s="132"/>
      <c r="K14" s="133"/>
      <c r="L14" s="134"/>
      <c r="M14" s="139"/>
      <c r="N14" s="142"/>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4"/>
    </row>
    <row r="15" spans="1:115" s="7" customFormat="1" ht="30" customHeight="1" x14ac:dyDescent="0.25">
      <c r="A15" s="7" t="s">
        <v>8</v>
      </c>
      <c r="B15" s="7" t="s">
        <v>20</v>
      </c>
      <c r="C15" s="144" t="s">
        <v>1674</v>
      </c>
      <c r="D15" s="120">
        <f>COUNTA($E$11:$E15)</f>
        <v>5</v>
      </c>
      <c r="E15" s="155" t="str">
        <f>IFERROR(A15&amp;"   ("&amp;COUNTIFS(#REF!,"="&amp;A15)&amp;")",A15)</f>
        <v>DOA</v>
      </c>
      <c r="F15" s="132"/>
      <c r="G15" s="133"/>
      <c r="H15" s="134"/>
      <c r="I15" s="135"/>
      <c r="J15" s="132"/>
      <c r="K15" s="133"/>
      <c r="L15" s="134"/>
      <c r="M15" s="139"/>
      <c r="N15" s="142"/>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4"/>
    </row>
    <row r="16" spans="1:115" s="7" customFormat="1" ht="30" customHeight="1" x14ac:dyDescent="0.25">
      <c r="A16" s="7" t="s">
        <v>12</v>
      </c>
      <c r="B16" s="7" t="s">
        <v>20</v>
      </c>
      <c r="C16" s="144" t="s">
        <v>1674</v>
      </c>
      <c r="D16" s="120">
        <f>COUNTA($E$11:$E16)</f>
        <v>6</v>
      </c>
      <c r="E16" s="155" t="str">
        <f>IFERROR(A16&amp;"   ("&amp;COUNTIFS(#REF!,"="&amp;A16)&amp;")",A16)</f>
        <v>DOB</v>
      </c>
      <c r="F16" s="132"/>
      <c r="G16" s="133"/>
      <c r="H16" s="134"/>
      <c r="I16" s="135"/>
      <c r="J16" s="132"/>
      <c r="K16" s="133"/>
      <c r="L16" s="134"/>
      <c r="M16" s="139"/>
      <c r="N16" s="142"/>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4"/>
    </row>
    <row r="17" spans="1:114" s="7" customFormat="1" ht="30" customHeight="1" x14ac:dyDescent="0.25">
      <c r="A17" s="7" t="s">
        <v>5</v>
      </c>
      <c r="B17" s="7" t="s">
        <v>20</v>
      </c>
      <c r="C17" s="144" t="s">
        <v>1674</v>
      </c>
      <c r="D17" s="120">
        <f>COUNTA($E$11:$E17)</f>
        <v>7</v>
      </c>
      <c r="E17" s="155" t="str">
        <f>IFERROR(A17&amp;"   ("&amp;COUNTIFS(#REF!,"="&amp;A17)&amp;")",A17)</f>
        <v>DOC</v>
      </c>
      <c r="F17" s="132"/>
      <c r="G17" s="133"/>
      <c r="H17" s="134"/>
      <c r="I17" s="135"/>
      <c r="J17" s="132"/>
      <c r="K17" s="133"/>
      <c r="L17" s="134"/>
      <c r="M17" s="139"/>
      <c r="N17" s="142"/>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4"/>
    </row>
    <row r="18" spans="1:114" s="7" customFormat="1" ht="30" customHeight="1" x14ac:dyDescent="0.25">
      <c r="A18" s="7" t="s">
        <v>7</v>
      </c>
      <c r="B18" s="7" t="s">
        <v>20</v>
      </c>
      <c r="C18" s="144" t="s">
        <v>1674</v>
      </c>
      <c r="D18" s="120">
        <f>COUNTA($E$11:$E18)</f>
        <v>8</v>
      </c>
      <c r="E18" s="155" t="str">
        <f>IFERROR(A18&amp;"   ("&amp;COUNTIFS(#REF!,"="&amp;A18)&amp;")",A18)</f>
        <v>DOD</v>
      </c>
      <c r="F18" s="132"/>
      <c r="G18" s="133"/>
      <c r="H18" s="134"/>
      <c r="I18" s="135"/>
      <c r="J18" s="132"/>
      <c r="K18" s="133"/>
      <c r="L18" s="134"/>
      <c r="M18" s="139"/>
      <c r="N18" s="142"/>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c r="CB18" s="119"/>
      <c r="CC18" s="119"/>
      <c r="CD18" s="119"/>
      <c r="CE18" s="119"/>
      <c r="CF18" s="119"/>
      <c r="CG18" s="119"/>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4"/>
    </row>
    <row r="19" spans="1:114" s="7" customFormat="1" ht="30" customHeight="1" x14ac:dyDescent="0.25">
      <c r="A19" s="7" t="s">
        <v>13</v>
      </c>
      <c r="B19" s="7" t="s">
        <v>20</v>
      </c>
      <c r="C19" s="144" t="s">
        <v>1674</v>
      </c>
      <c r="D19" s="120">
        <f>COUNTA($E$11:$E19)</f>
        <v>9</v>
      </c>
      <c r="E19" s="155" t="str">
        <f>IFERROR(A19&amp;"   ("&amp;COUNTIFS(#REF!,"="&amp;A19)&amp;")",A19)</f>
        <v>DOF</v>
      </c>
      <c r="F19" s="132"/>
      <c r="G19" s="133"/>
      <c r="H19" s="134"/>
      <c r="I19" s="135"/>
      <c r="J19" s="132"/>
      <c r="K19" s="133"/>
      <c r="L19" s="134"/>
      <c r="M19" s="139"/>
      <c r="N19" s="142"/>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c r="CB19" s="119"/>
      <c r="CC19" s="119"/>
      <c r="CD19" s="119"/>
      <c r="CE19" s="119"/>
      <c r="CF19" s="119"/>
      <c r="CG19" s="119"/>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4"/>
    </row>
    <row r="20" spans="1:114" s="7" customFormat="1" ht="30" customHeight="1" x14ac:dyDescent="0.25">
      <c r="A20" s="7" t="s">
        <v>14</v>
      </c>
      <c r="B20" s="7" t="s">
        <v>20</v>
      </c>
      <c r="C20" s="144" t="s">
        <v>1674</v>
      </c>
      <c r="D20" s="120">
        <f>COUNTA($E$11:$E20)</f>
        <v>10</v>
      </c>
      <c r="E20" s="155" t="str">
        <f>IFERROR(A20&amp;"   ("&amp;COUNTIFS(#REF!,"="&amp;A20)&amp;")",A20)</f>
        <v>DOK</v>
      </c>
      <c r="F20" s="132"/>
      <c r="G20" s="133"/>
      <c r="H20" s="134"/>
      <c r="I20" s="135"/>
      <c r="J20" s="132"/>
      <c r="K20" s="133"/>
      <c r="L20" s="134"/>
      <c r="M20" s="139"/>
      <c r="N20" s="142"/>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4"/>
    </row>
    <row r="21" spans="1:114" s="7" customFormat="1" ht="30" customHeight="1" x14ac:dyDescent="0.25">
      <c r="A21" s="7" t="s">
        <v>18</v>
      </c>
      <c r="B21" s="7" t="s">
        <v>20</v>
      </c>
      <c r="C21" s="144" t="s">
        <v>1674</v>
      </c>
      <c r="D21" s="120">
        <f>COUNTA($E$11:$E21)</f>
        <v>11</v>
      </c>
      <c r="E21" s="155" t="str">
        <f>IFERROR(A21&amp;"   ("&amp;COUNTIFS(#REF!,"="&amp;A21)&amp;")",A21)</f>
        <v>DOM</v>
      </c>
      <c r="F21" s="132"/>
      <c r="G21" s="133"/>
      <c r="H21" s="134"/>
      <c r="I21" s="135"/>
      <c r="J21" s="132"/>
      <c r="K21" s="133"/>
      <c r="L21" s="134"/>
      <c r="M21" s="139"/>
      <c r="N21" s="142"/>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4"/>
    </row>
    <row r="22" spans="1:114" s="7" customFormat="1" ht="30" customHeight="1" x14ac:dyDescent="0.25">
      <c r="A22" s="7" t="s">
        <v>9</v>
      </c>
      <c r="B22" s="7" t="s">
        <v>20</v>
      </c>
      <c r="C22" s="144" t="s">
        <v>1674</v>
      </c>
      <c r="D22" s="120">
        <f>COUNTA($E$11:$E22)</f>
        <v>12</v>
      </c>
      <c r="E22" s="155" t="str">
        <f>IFERROR(A22&amp;"   ("&amp;COUNTIFS(#REF!,"="&amp;A22)&amp;")",A22)</f>
        <v>DOT</v>
      </c>
      <c r="F22" s="132"/>
      <c r="G22" s="133"/>
      <c r="H22" s="134"/>
      <c r="I22" s="135"/>
      <c r="J22" s="132"/>
      <c r="K22" s="133"/>
      <c r="L22" s="134"/>
      <c r="M22" s="139"/>
      <c r="N22" s="142"/>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4"/>
    </row>
    <row r="23" spans="1:114" s="7" customFormat="1" ht="30" customHeight="1" x14ac:dyDescent="0.25">
      <c r="A23" s="7" t="s">
        <v>15</v>
      </c>
      <c r="B23" s="7" t="s">
        <v>20</v>
      </c>
      <c r="C23" s="144" t="s">
        <v>1674</v>
      </c>
      <c r="D23" s="120">
        <f>COUNTA($E$11:$E23)</f>
        <v>13</v>
      </c>
      <c r="E23" s="155" t="str">
        <f>IFERROR(A23&amp;"   ("&amp;COUNTIFS(#REF!,"="&amp;A23)&amp;")",A23)</f>
        <v>DOX</v>
      </c>
      <c r="F23" s="132"/>
      <c r="G23" s="133"/>
      <c r="H23" s="134"/>
      <c r="I23" s="135"/>
      <c r="J23" s="132"/>
      <c r="K23" s="133"/>
      <c r="L23" s="134"/>
      <c r="M23" s="139"/>
      <c r="N23" s="142"/>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4"/>
    </row>
    <row r="24" spans="1:114" s="7" customFormat="1" ht="30" customHeight="1" x14ac:dyDescent="0.25">
      <c r="A24" s="7" t="s">
        <v>10</v>
      </c>
      <c r="B24" s="7" t="s">
        <v>20</v>
      </c>
      <c r="C24" s="144" t="s">
        <v>1674</v>
      </c>
      <c r="D24" s="120">
        <f>COUNTA($E$11:$E24)</f>
        <v>14</v>
      </c>
      <c r="E24" s="155" t="str">
        <f>IFERROR(A24&amp;"   ("&amp;COUNTIFS(#REF!,"="&amp;A24)&amp;")",A24)</f>
        <v>MS</v>
      </c>
      <c r="F24" s="132"/>
      <c r="G24" s="133"/>
      <c r="H24" s="134"/>
      <c r="I24" s="135"/>
      <c r="J24" s="132"/>
      <c r="K24" s="133"/>
      <c r="L24" s="134"/>
      <c r="M24" s="139"/>
      <c r="N24" s="142"/>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4"/>
    </row>
    <row r="25" spans="1:114" s="7" customFormat="1" ht="30" customHeight="1" x14ac:dyDescent="0.25">
      <c r="A25" s="7" t="s">
        <v>16</v>
      </c>
      <c r="B25" s="7" t="s">
        <v>20</v>
      </c>
      <c r="C25" s="144" t="s">
        <v>1674</v>
      </c>
      <c r="D25" s="120">
        <f>COUNTA($E$11:$E25)</f>
        <v>15</v>
      </c>
      <c r="E25" s="155" t="str">
        <f>IFERROR(A25&amp;"   ("&amp;COUNTIFS(#REF!,"="&amp;A25)&amp;")",A25)</f>
        <v>UDM</v>
      </c>
      <c r="F25" s="132"/>
      <c r="G25" s="133"/>
      <c r="H25" s="134"/>
      <c r="I25" s="135"/>
      <c r="J25" s="132"/>
      <c r="K25" s="133"/>
      <c r="L25" s="134"/>
      <c r="M25" s="139"/>
      <c r="N25" s="142"/>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4"/>
    </row>
    <row r="26" spans="1:114" s="7" customFormat="1" ht="30" customHeight="1" x14ac:dyDescent="0.25">
      <c r="A26" s="7" t="s">
        <v>19</v>
      </c>
      <c r="B26" s="7" t="s">
        <v>20</v>
      </c>
      <c r="C26" s="144" t="s">
        <v>1674</v>
      </c>
      <c r="D26" s="120">
        <f>COUNTA($E$11:$E26)</f>
        <v>16</v>
      </c>
      <c r="E26" s="155" t="str">
        <f>IFERROR(A26&amp;"   ("&amp;COUNTIFS(#REF!,"="&amp;A26)&amp;")",A26)</f>
        <v>UTM</v>
      </c>
      <c r="F26" s="132"/>
      <c r="G26" s="133"/>
      <c r="H26" s="134"/>
      <c r="I26" s="135"/>
      <c r="J26" s="132"/>
      <c r="K26" s="133"/>
      <c r="L26" s="134"/>
      <c r="M26" s="139"/>
      <c r="N26" s="142"/>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4"/>
    </row>
    <row r="27" spans="1:114" s="7" customFormat="1" ht="20.100000000000001" customHeight="1" x14ac:dyDescent="0.25">
      <c r="A27" s="7" t="s">
        <v>60</v>
      </c>
      <c r="B27" s="7" t="s">
        <v>20</v>
      </c>
      <c r="C27" s="144"/>
      <c r="D27" s="67"/>
      <c r="E27" s="8"/>
      <c r="F27" s="130"/>
      <c r="G27" s="130"/>
      <c r="H27" s="130"/>
      <c r="I27" s="130"/>
      <c r="J27" s="130"/>
      <c r="K27" s="130"/>
      <c r="L27" s="130"/>
      <c r="M27" s="130"/>
      <c r="N27" s="58"/>
    </row>
    <row r="28" spans="1:114" ht="20.100000000000001" customHeight="1" x14ac:dyDescent="0.25">
      <c r="A28" s="7" t="s">
        <v>60</v>
      </c>
      <c r="B28" s="7" t="s">
        <v>26</v>
      </c>
      <c r="C28" s="144"/>
      <c r="D28" s="125" t="s">
        <v>98</v>
      </c>
      <c r="E28" s="159"/>
      <c r="F28" s="131"/>
      <c r="G28" s="131"/>
      <c r="H28" s="131"/>
      <c r="I28" s="131"/>
      <c r="J28" s="131"/>
      <c r="K28" s="131"/>
      <c r="L28" s="131"/>
      <c r="M28" s="131"/>
      <c r="N28" s="140"/>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217"/>
      <c r="AM28" s="217"/>
      <c r="AN28" s="217"/>
      <c r="AO28" s="217"/>
      <c r="AP28" s="217"/>
      <c r="AQ28" s="217"/>
      <c r="AR28" s="217"/>
      <c r="AS28" s="217"/>
      <c r="AT28" s="217"/>
      <c r="AU28" s="217"/>
      <c r="AV28" s="217"/>
      <c r="AW28" s="217"/>
      <c r="AX28" s="217"/>
      <c r="AY28" s="217"/>
      <c r="AZ28" s="217"/>
      <c r="BA28" s="217"/>
      <c r="BB28" s="217"/>
      <c r="BC28" s="217"/>
      <c r="BD28" s="217"/>
      <c r="BE28" s="217"/>
      <c r="BF28" s="217"/>
      <c r="BG28" s="217"/>
      <c r="BH28" s="217"/>
      <c r="BI28" s="217"/>
      <c r="BJ28" s="217"/>
      <c r="BK28" s="217"/>
      <c r="BL28" s="217"/>
      <c r="BM28" s="217"/>
      <c r="BN28" s="217"/>
      <c r="BO28" s="217"/>
      <c r="BP28" s="217"/>
      <c r="BQ28" s="217"/>
      <c r="BR28" s="217"/>
      <c r="BS28" s="217"/>
      <c r="BT28" s="217"/>
      <c r="BU28" s="217"/>
      <c r="BV28" s="217"/>
      <c r="BW28" s="217"/>
      <c r="BX28" s="217"/>
      <c r="BY28" s="217"/>
      <c r="BZ28" s="217"/>
      <c r="CA28" s="217"/>
      <c r="CB28" s="217"/>
      <c r="CC28" s="217"/>
      <c r="CD28" s="217"/>
      <c r="CE28" s="217"/>
      <c r="CF28" s="217"/>
      <c r="CG28" s="217"/>
      <c r="CH28" s="217"/>
      <c r="CI28" s="217"/>
      <c r="CJ28" s="217"/>
      <c r="CK28" s="217"/>
      <c r="CL28" s="217"/>
      <c r="CM28" s="217"/>
      <c r="CN28" s="217"/>
      <c r="CO28" s="217"/>
      <c r="CP28" s="217"/>
      <c r="CQ28" s="217"/>
      <c r="CR28" s="217"/>
      <c r="CS28" s="217"/>
      <c r="CT28" s="217"/>
      <c r="CU28" s="217"/>
      <c r="CV28" s="217"/>
      <c r="CW28" s="217"/>
      <c r="CX28" s="217"/>
      <c r="CY28" s="217"/>
      <c r="CZ28" s="217"/>
      <c r="DA28" s="217"/>
      <c r="DB28" s="217"/>
      <c r="DC28" s="217"/>
      <c r="DD28" s="217"/>
      <c r="DE28" s="217"/>
      <c r="DF28" s="217"/>
      <c r="DG28" s="217"/>
      <c r="DH28" s="217"/>
      <c r="DI28" s="217"/>
      <c r="DJ28" s="218"/>
    </row>
    <row r="29" spans="1:114" ht="30" customHeight="1" x14ac:dyDescent="0.25">
      <c r="A29" s="7" t="s">
        <v>4</v>
      </c>
      <c r="B29" s="7" t="s">
        <v>26</v>
      </c>
      <c r="C29" s="144"/>
      <c r="D29" s="120"/>
      <c r="E29" s="155" t="str">
        <f>IFERROR(A29&amp;"   ("&amp;COUNTIFS(#REF!,"="&amp;A29)&amp;")",A29)</f>
        <v>11 SOIS</v>
      </c>
      <c r="F29" s="132"/>
      <c r="G29" s="133"/>
      <c r="H29" s="134"/>
      <c r="I29" s="135"/>
      <c r="J29" s="132"/>
      <c r="K29" s="133"/>
      <c r="L29" s="134"/>
      <c r="M29" s="139"/>
      <c r="N29" s="142"/>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4"/>
    </row>
    <row r="30" spans="1:114" ht="9.9499999999999993" customHeight="1" x14ac:dyDescent="0.25">
      <c r="A30" s="7" t="s">
        <v>4</v>
      </c>
      <c r="B30" s="58" t="s">
        <v>26</v>
      </c>
      <c r="C30" s="144"/>
      <c r="D30" s="124"/>
      <c r="E30" s="158"/>
      <c r="F30" s="136"/>
      <c r="G30" s="136"/>
      <c r="H30" s="136"/>
      <c r="I30" s="136"/>
      <c r="J30" s="136"/>
      <c r="K30" s="136"/>
      <c r="L30" s="136"/>
      <c r="M30" s="136"/>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c r="CE30" s="58"/>
      <c r="CF30" s="58"/>
      <c r="CG30" s="58"/>
      <c r="CH30" s="58"/>
      <c r="CI30" s="58"/>
      <c r="CJ30" s="58"/>
      <c r="CK30" s="58"/>
      <c r="CL30" s="58"/>
      <c r="CM30" s="58"/>
      <c r="CN30" s="58"/>
      <c r="CO30" s="58"/>
      <c r="CP30" s="58"/>
      <c r="CQ30" s="58"/>
      <c r="CR30" s="58"/>
      <c r="CS30" s="58"/>
      <c r="CT30" s="58"/>
      <c r="CU30" s="58"/>
      <c r="CV30" s="58"/>
      <c r="CW30" s="58"/>
      <c r="CX30" s="58"/>
      <c r="CY30" s="58"/>
      <c r="CZ30" s="58"/>
      <c r="DA30" s="58"/>
      <c r="DB30" s="58"/>
      <c r="DC30" s="58"/>
      <c r="DD30" s="58"/>
      <c r="DE30" s="58"/>
      <c r="DF30" s="58"/>
      <c r="DG30" s="58"/>
      <c r="DH30" s="58"/>
      <c r="DI30" s="58"/>
      <c r="DJ30" s="58"/>
    </row>
    <row r="31" spans="1:114" ht="30" customHeight="1" x14ac:dyDescent="0.25">
      <c r="A31" s="7" t="s">
        <v>6</v>
      </c>
      <c r="B31" s="7" t="s">
        <v>26</v>
      </c>
      <c r="C31" s="144" t="s">
        <v>1674</v>
      </c>
      <c r="D31" s="120">
        <f>COUNTA($E$31:$E31)</f>
        <v>1</v>
      </c>
      <c r="E31" s="155" t="str">
        <f>IFERROR(A31&amp;"   ("&amp;COUNTIFS(#REF!,"="&amp;A31)&amp;")",A31)</f>
        <v>CCI</v>
      </c>
      <c r="F31" s="132"/>
      <c r="G31" s="133"/>
      <c r="H31" s="134"/>
      <c r="I31" s="135"/>
      <c r="J31" s="132"/>
      <c r="K31" s="133"/>
      <c r="L31" s="134"/>
      <c r="M31" s="139"/>
      <c r="N31" s="142"/>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4"/>
    </row>
    <row r="32" spans="1:114" ht="30" customHeight="1" x14ac:dyDescent="0.25">
      <c r="A32" s="7" t="s">
        <v>11</v>
      </c>
      <c r="B32" s="7" t="s">
        <v>26</v>
      </c>
      <c r="C32" s="144" t="s">
        <v>1674</v>
      </c>
      <c r="D32" s="120">
        <f>COUNTA($E$31:$E32)</f>
        <v>2</v>
      </c>
      <c r="E32" s="155" t="str">
        <f>IFERROR(A32&amp;"   ("&amp;COUNTIFS(#REF!,"="&amp;A32)&amp;")",A32)</f>
        <v>CCV</v>
      </c>
      <c r="F32" s="132"/>
      <c r="G32" s="133"/>
      <c r="H32" s="134"/>
      <c r="I32" s="135"/>
      <c r="J32" s="132"/>
      <c r="K32" s="133"/>
      <c r="L32" s="134"/>
      <c r="M32" s="139"/>
      <c r="N32" s="14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c r="DA32" s="122"/>
      <c r="DB32" s="122"/>
      <c r="DC32" s="122"/>
      <c r="DD32" s="122"/>
      <c r="DE32" s="122"/>
      <c r="DF32" s="122"/>
      <c r="DG32" s="122"/>
      <c r="DH32" s="122"/>
      <c r="DI32" s="122"/>
      <c r="DJ32" s="121"/>
    </row>
    <row r="33" spans="1:114" ht="30" customHeight="1" x14ac:dyDescent="0.25">
      <c r="A33" s="7" t="s">
        <v>1670</v>
      </c>
      <c r="B33" s="7" t="s">
        <v>26</v>
      </c>
      <c r="C33" s="144" t="s">
        <v>1674</v>
      </c>
      <c r="D33" s="120">
        <f>COUNTA($E$31:$E33)</f>
        <v>3</v>
      </c>
      <c r="E33" s="155" t="str">
        <f>IFERROR(A33&amp;"   ("&amp;COUNTIFS(#REF!,"="&amp;A33)&amp;")",A33)</f>
        <v>CMD</v>
      </c>
      <c r="F33" s="132"/>
      <c r="G33" s="133"/>
      <c r="H33" s="134"/>
      <c r="I33" s="135"/>
      <c r="J33" s="132"/>
      <c r="K33" s="133"/>
      <c r="L33" s="134"/>
      <c r="M33" s="139"/>
      <c r="N33" s="142"/>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4"/>
    </row>
    <row r="34" spans="1:114" ht="30" customHeight="1" x14ac:dyDescent="0.25">
      <c r="A34" s="7" t="s">
        <v>17</v>
      </c>
      <c r="B34" s="7" t="s">
        <v>26</v>
      </c>
      <c r="C34" s="144" t="s">
        <v>1674</v>
      </c>
      <c r="D34" s="120">
        <f>COUNTA($E$31:$E34)</f>
        <v>4</v>
      </c>
      <c r="E34" s="155" t="str">
        <f>IFERROR(A34&amp;"   ("&amp;COUNTIFS(#REF!,"="&amp;A34)&amp;")",A34)</f>
        <v>DO</v>
      </c>
      <c r="F34" s="132"/>
      <c r="G34" s="133"/>
      <c r="H34" s="134"/>
      <c r="I34" s="135"/>
      <c r="J34" s="132"/>
      <c r="K34" s="133"/>
      <c r="L34" s="134"/>
      <c r="M34" s="139"/>
      <c r="N34" s="142"/>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4"/>
    </row>
    <row r="35" spans="1:114" ht="30" customHeight="1" x14ac:dyDescent="0.25">
      <c r="A35" s="7" t="s">
        <v>8</v>
      </c>
      <c r="B35" s="7" t="s">
        <v>26</v>
      </c>
      <c r="C35" s="144" t="s">
        <v>1674</v>
      </c>
      <c r="D35" s="120">
        <f>COUNTA($E$31:$E35)</f>
        <v>5</v>
      </c>
      <c r="E35" s="155" t="str">
        <f>IFERROR(A35&amp;"   ("&amp;COUNTIFS(#REF!,"="&amp;A35)&amp;")",A35)</f>
        <v>DOA</v>
      </c>
      <c r="F35" s="132"/>
      <c r="G35" s="133"/>
      <c r="H35" s="134"/>
      <c r="I35" s="135"/>
      <c r="J35" s="132"/>
      <c r="K35" s="133"/>
      <c r="L35" s="134"/>
      <c r="M35" s="139"/>
      <c r="N35" s="142"/>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4"/>
    </row>
    <row r="36" spans="1:114" ht="30" customHeight="1" x14ac:dyDescent="0.25">
      <c r="A36" s="7" t="s">
        <v>12</v>
      </c>
      <c r="B36" s="7" t="s">
        <v>26</v>
      </c>
      <c r="C36" s="144" t="s">
        <v>1674</v>
      </c>
      <c r="D36" s="120">
        <f>COUNTA($E$31:$E36)</f>
        <v>6</v>
      </c>
      <c r="E36" s="155" t="str">
        <f>IFERROR(A36&amp;"   ("&amp;COUNTIFS(#REF!,"="&amp;A36)&amp;")",A36)</f>
        <v>DOB</v>
      </c>
      <c r="F36" s="132"/>
      <c r="G36" s="133"/>
      <c r="H36" s="134"/>
      <c r="I36" s="135"/>
      <c r="J36" s="132"/>
      <c r="K36" s="133"/>
      <c r="L36" s="134"/>
      <c r="M36" s="139"/>
      <c r="N36" s="142"/>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4"/>
    </row>
    <row r="37" spans="1:114" ht="30" customHeight="1" x14ac:dyDescent="0.25">
      <c r="A37" s="7" t="s">
        <v>5</v>
      </c>
      <c r="B37" s="7" t="s">
        <v>26</v>
      </c>
      <c r="C37" s="144" t="s">
        <v>1674</v>
      </c>
      <c r="D37" s="120">
        <f>COUNTA($E$31:$E37)</f>
        <v>7</v>
      </c>
      <c r="E37" s="155" t="str">
        <f>IFERROR(A37&amp;"   ("&amp;COUNTIFS(#REF!,"="&amp;A37)&amp;")",A37)</f>
        <v>DOC</v>
      </c>
      <c r="F37" s="132"/>
      <c r="G37" s="133"/>
      <c r="H37" s="134"/>
      <c r="I37" s="135"/>
      <c r="J37" s="132"/>
      <c r="K37" s="133"/>
      <c r="L37" s="134"/>
      <c r="M37" s="139"/>
      <c r="N37" s="142"/>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4"/>
    </row>
    <row r="38" spans="1:114" ht="30" customHeight="1" x14ac:dyDescent="0.25">
      <c r="A38" s="7" t="s">
        <v>7</v>
      </c>
      <c r="B38" s="7" t="s">
        <v>26</v>
      </c>
      <c r="C38" s="144" t="s">
        <v>1674</v>
      </c>
      <c r="D38" s="120">
        <f>COUNTA($E$31:$E38)</f>
        <v>8</v>
      </c>
      <c r="E38" s="155" t="str">
        <f>IFERROR(A38&amp;"   ("&amp;COUNTIFS(#REF!,"="&amp;A38)&amp;")",A38)</f>
        <v>DOD</v>
      </c>
      <c r="F38" s="132"/>
      <c r="G38" s="133"/>
      <c r="H38" s="134"/>
      <c r="I38" s="135"/>
      <c r="J38" s="132"/>
      <c r="K38" s="133"/>
      <c r="L38" s="134"/>
      <c r="M38" s="139"/>
      <c r="N38" s="142"/>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4"/>
    </row>
    <row r="39" spans="1:114" ht="30" customHeight="1" x14ac:dyDescent="0.25">
      <c r="A39" s="7" t="s">
        <v>13</v>
      </c>
      <c r="B39" s="7" t="s">
        <v>26</v>
      </c>
      <c r="C39" s="144" t="s">
        <v>1674</v>
      </c>
      <c r="D39" s="120">
        <f>COUNTA($E$31:$E39)</f>
        <v>9</v>
      </c>
      <c r="E39" s="155" t="str">
        <f>IFERROR(A39&amp;"   ("&amp;COUNTIFS(#REF!,"="&amp;A39)&amp;")",A39)</f>
        <v>DOF</v>
      </c>
      <c r="F39" s="132"/>
      <c r="G39" s="133"/>
      <c r="H39" s="134"/>
      <c r="I39" s="135"/>
      <c r="J39" s="132"/>
      <c r="K39" s="133"/>
      <c r="L39" s="134"/>
      <c r="M39" s="139"/>
      <c r="N39" s="142"/>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4"/>
    </row>
    <row r="40" spans="1:114" ht="30" customHeight="1" x14ac:dyDescent="0.25">
      <c r="A40" s="7" t="s">
        <v>14</v>
      </c>
      <c r="B40" s="7" t="s">
        <v>26</v>
      </c>
      <c r="C40" s="144" t="s">
        <v>1674</v>
      </c>
      <c r="D40" s="120">
        <f>COUNTA($E$31:$E40)</f>
        <v>10</v>
      </c>
      <c r="E40" s="155" t="str">
        <f>IFERROR(A40&amp;"   ("&amp;COUNTIFS(#REF!,"="&amp;A40)&amp;")",A40)</f>
        <v>DOK</v>
      </c>
      <c r="F40" s="132"/>
      <c r="G40" s="133"/>
      <c r="H40" s="134"/>
      <c r="I40" s="135"/>
      <c r="J40" s="132"/>
      <c r="K40" s="133"/>
      <c r="L40" s="134"/>
      <c r="M40" s="139"/>
      <c r="N40" s="142"/>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4"/>
    </row>
    <row r="41" spans="1:114" ht="30" customHeight="1" x14ac:dyDescent="0.25">
      <c r="A41" s="7" t="s">
        <v>18</v>
      </c>
      <c r="B41" s="7" t="s">
        <v>26</v>
      </c>
      <c r="C41" s="144" t="s">
        <v>1674</v>
      </c>
      <c r="D41" s="120">
        <f>COUNTA($E$31:$E41)</f>
        <v>11</v>
      </c>
      <c r="E41" s="155" t="str">
        <f>IFERROR(A41&amp;"   ("&amp;COUNTIFS(#REF!,"="&amp;A41)&amp;")",A41)</f>
        <v>DOM</v>
      </c>
      <c r="F41" s="132"/>
      <c r="G41" s="133"/>
      <c r="H41" s="134"/>
      <c r="I41" s="135"/>
      <c r="J41" s="132"/>
      <c r="K41" s="133"/>
      <c r="L41" s="134"/>
      <c r="M41" s="139"/>
      <c r="N41" s="142"/>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4"/>
    </row>
    <row r="42" spans="1:114" ht="30" customHeight="1" x14ac:dyDescent="0.25">
      <c r="A42" s="7" t="s">
        <v>9</v>
      </c>
      <c r="B42" s="7" t="s">
        <v>26</v>
      </c>
      <c r="C42" s="144" t="s">
        <v>1674</v>
      </c>
      <c r="D42" s="120">
        <f>COUNTA($E$31:$E42)</f>
        <v>12</v>
      </c>
      <c r="E42" s="155" t="str">
        <f>IFERROR(A42&amp;"   ("&amp;COUNTIFS(#REF!,"="&amp;A42)&amp;")",A42)</f>
        <v>DOT</v>
      </c>
      <c r="F42" s="132"/>
      <c r="G42" s="133"/>
      <c r="H42" s="134"/>
      <c r="I42" s="135"/>
      <c r="J42" s="132"/>
      <c r="K42" s="133"/>
      <c r="L42" s="134"/>
      <c r="M42" s="139"/>
      <c r="N42" s="142"/>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4"/>
    </row>
    <row r="43" spans="1:114" ht="30" customHeight="1" x14ac:dyDescent="0.25">
      <c r="A43" s="7" t="s">
        <v>15</v>
      </c>
      <c r="B43" s="7" t="s">
        <v>26</v>
      </c>
      <c r="C43" s="144" t="s">
        <v>1674</v>
      </c>
      <c r="D43" s="120">
        <f>COUNTA($E$31:$E43)</f>
        <v>13</v>
      </c>
      <c r="E43" s="155" t="str">
        <f>IFERROR(A43&amp;"   ("&amp;COUNTIFS(#REF!,"="&amp;A43)&amp;")",A43)</f>
        <v>DOX</v>
      </c>
      <c r="F43" s="132"/>
      <c r="G43" s="133"/>
      <c r="H43" s="134"/>
      <c r="I43" s="135"/>
      <c r="J43" s="132"/>
      <c r="K43" s="133"/>
      <c r="L43" s="134"/>
      <c r="M43" s="139"/>
      <c r="N43" s="142"/>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4"/>
    </row>
    <row r="44" spans="1:114" ht="30" customHeight="1" x14ac:dyDescent="0.25">
      <c r="A44" s="7" t="s">
        <v>10</v>
      </c>
      <c r="B44" s="7" t="s">
        <v>26</v>
      </c>
      <c r="C44" s="144" t="s">
        <v>1674</v>
      </c>
      <c r="D44" s="120">
        <f>COUNTA($E$31:$E44)</f>
        <v>14</v>
      </c>
      <c r="E44" s="155" t="str">
        <f>IFERROR(A44&amp;"   ("&amp;COUNTIFS(#REF!,"="&amp;A44)&amp;")",A44)</f>
        <v>MS</v>
      </c>
      <c r="F44" s="132"/>
      <c r="G44" s="133"/>
      <c r="H44" s="134"/>
      <c r="I44" s="135"/>
      <c r="J44" s="132"/>
      <c r="K44" s="133"/>
      <c r="L44" s="134"/>
      <c r="M44" s="139"/>
      <c r="N44" s="142"/>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4"/>
    </row>
    <row r="45" spans="1:114" ht="30" customHeight="1" x14ac:dyDescent="0.25">
      <c r="A45" s="7" t="s">
        <v>16</v>
      </c>
      <c r="B45" s="7" t="s">
        <v>26</v>
      </c>
      <c r="C45" s="144" t="s">
        <v>1674</v>
      </c>
      <c r="D45" s="120">
        <f>COUNTA($E$31:$E45)</f>
        <v>15</v>
      </c>
      <c r="E45" s="155" t="str">
        <f>IFERROR(A45&amp;"   ("&amp;COUNTIFS(#REF!,"="&amp;A45)&amp;")",A45)</f>
        <v>UDM</v>
      </c>
      <c r="F45" s="132"/>
      <c r="G45" s="133"/>
      <c r="H45" s="134"/>
      <c r="I45" s="135"/>
      <c r="J45" s="132"/>
      <c r="K45" s="133"/>
      <c r="L45" s="134"/>
      <c r="M45" s="139"/>
      <c r="N45" s="142"/>
      <c r="O45" s="119"/>
      <c r="P45" s="119"/>
      <c r="Q45" s="119"/>
      <c r="R45" s="119"/>
      <c r="S45" s="119"/>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119"/>
      <c r="AT45" s="119"/>
      <c r="AU45" s="119"/>
      <c r="AV45" s="119"/>
      <c r="AW45" s="119"/>
      <c r="AX45" s="119"/>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4"/>
    </row>
    <row r="46" spans="1:114" ht="30" customHeight="1" x14ac:dyDescent="0.25">
      <c r="A46" s="7" t="s">
        <v>19</v>
      </c>
      <c r="B46" s="7" t="s">
        <v>26</v>
      </c>
      <c r="C46" s="144" t="s">
        <v>1674</v>
      </c>
      <c r="D46" s="120">
        <f>COUNTA($E$31:$E46)</f>
        <v>16</v>
      </c>
      <c r="E46" s="155" t="str">
        <f>IFERROR(A46&amp;"   ("&amp;COUNTIFS(#REF!,"="&amp;A46)&amp;")",A46)</f>
        <v>UTM</v>
      </c>
      <c r="F46" s="132"/>
      <c r="G46" s="133"/>
      <c r="H46" s="134"/>
      <c r="I46" s="135"/>
      <c r="J46" s="132"/>
      <c r="K46" s="133"/>
      <c r="L46" s="134"/>
      <c r="M46" s="139"/>
      <c r="N46" s="142"/>
      <c r="O46" s="119"/>
      <c r="P46" s="119"/>
      <c r="Q46" s="119"/>
      <c r="R46" s="119"/>
      <c r="S46" s="119"/>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119"/>
      <c r="AT46" s="119"/>
      <c r="AU46" s="119"/>
      <c r="AV46" s="119"/>
      <c r="AW46" s="119"/>
      <c r="AX46" s="119"/>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4"/>
    </row>
    <row r="47" spans="1:114" ht="20.100000000000001" customHeight="1" x14ac:dyDescent="0.25">
      <c r="A47" s="7" t="s">
        <v>60</v>
      </c>
      <c r="B47" s="7" t="s">
        <v>26</v>
      </c>
      <c r="C47" s="144"/>
      <c r="D47" s="67"/>
      <c r="E47" s="8"/>
      <c r="N47" s="58"/>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row>
    <row r="48" spans="1:114" ht="20.100000000000001" customHeight="1" x14ac:dyDescent="0.25">
      <c r="A48" s="7" t="s">
        <v>60</v>
      </c>
      <c r="B48" s="7" t="s">
        <v>64</v>
      </c>
      <c r="C48" s="144"/>
      <c r="D48" s="125" t="s">
        <v>65</v>
      </c>
      <c r="E48" s="159"/>
      <c r="F48" s="131"/>
      <c r="G48" s="131"/>
      <c r="H48" s="131"/>
      <c r="I48" s="131"/>
      <c r="J48" s="131"/>
      <c r="K48" s="131"/>
      <c r="L48" s="131"/>
      <c r="M48" s="131"/>
      <c r="N48" s="140"/>
      <c r="O48" s="217"/>
      <c r="P48" s="217"/>
      <c r="Q48" s="217"/>
      <c r="R48" s="217"/>
      <c r="S48" s="217"/>
      <c r="T48" s="217"/>
      <c r="U48" s="217"/>
      <c r="V48" s="217"/>
      <c r="W48" s="217"/>
      <c r="X48" s="217"/>
      <c r="Y48" s="217"/>
      <c r="Z48" s="217"/>
      <c r="AA48" s="217"/>
      <c r="AB48" s="217"/>
      <c r="AC48" s="217"/>
      <c r="AD48" s="217"/>
      <c r="AE48" s="217"/>
      <c r="AF48" s="217"/>
      <c r="AG48" s="217"/>
      <c r="AH48" s="217"/>
      <c r="AI48" s="217"/>
      <c r="AJ48" s="217"/>
      <c r="AK48" s="217"/>
      <c r="AL48" s="217"/>
      <c r="AM48" s="217"/>
      <c r="AN48" s="217"/>
      <c r="AO48" s="217"/>
      <c r="AP48" s="217"/>
      <c r="AQ48" s="217"/>
      <c r="AR48" s="217"/>
      <c r="AS48" s="217"/>
      <c r="AT48" s="217"/>
      <c r="AU48" s="217"/>
      <c r="AV48" s="217"/>
      <c r="AW48" s="217"/>
      <c r="AX48" s="217"/>
      <c r="AY48" s="217"/>
      <c r="AZ48" s="217"/>
      <c r="BA48" s="217"/>
      <c r="BB48" s="217"/>
      <c r="BC48" s="217"/>
      <c r="BD48" s="217"/>
      <c r="BE48" s="217"/>
      <c r="BF48" s="217"/>
      <c r="BG48" s="217"/>
      <c r="BH48" s="217"/>
      <c r="BI48" s="217"/>
      <c r="BJ48" s="217"/>
      <c r="BK48" s="217"/>
      <c r="BL48" s="217"/>
      <c r="BM48" s="217"/>
      <c r="BN48" s="217"/>
      <c r="BO48" s="217"/>
      <c r="BP48" s="217"/>
      <c r="BQ48" s="217"/>
      <c r="BR48" s="217"/>
      <c r="BS48" s="217"/>
      <c r="BT48" s="217"/>
      <c r="BU48" s="217"/>
      <c r="BV48" s="217"/>
      <c r="BW48" s="217"/>
      <c r="BX48" s="217"/>
      <c r="BY48" s="217"/>
      <c r="BZ48" s="217"/>
      <c r="CA48" s="217"/>
      <c r="CB48" s="217"/>
      <c r="CC48" s="217"/>
      <c r="CD48" s="217"/>
      <c r="CE48" s="217"/>
      <c r="CF48" s="217"/>
      <c r="CG48" s="217"/>
      <c r="CH48" s="217"/>
      <c r="CI48" s="217"/>
      <c r="CJ48" s="217"/>
      <c r="CK48" s="217"/>
      <c r="CL48" s="217"/>
      <c r="CM48" s="217"/>
      <c r="CN48" s="217"/>
      <c r="CO48" s="217"/>
      <c r="CP48" s="217"/>
      <c r="CQ48" s="217"/>
      <c r="CR48" s="217"/>
      <c r="CS48" s="217"/>
      <c r="CT48" s="217"/>
      <c r="CU48" s="217"/>
      <c r="CV48" s="217"/>
      <c r="CW48" s="217"/>
      <c r="CX48" s="217"/>
      <c r="CY48" s="217"/>
      <c r="CZ48" s="217"/>
      <c r="DA48" s="217"/>
      <c r="DB48" s="217"/>
      <c r="DC48" s="217"/>
      <c r="DD48" s="217"/>
      <c r="DE48" s="217"/>
      <c r="DF48" s="217"/>
      <c r="DG48" s="217"/>
      <c r="DH48" s="217"/>
      <c r="DI48" s="217"/>
      <c r="DJ48" s="218"/>
    </row>
    <row r="49" spans="1:114" ht="30" customHeight="1" x14ac:dyDescent="0.25">
      <c r="A49" s="7" t="s">
        <v>4</v>
      </c>
      <c r="B49" s="7" t="s">
        <v>64</v>
      </c>
      <c r="C49" s="144"/>
      <c r="D49" s="120"/>
      <c r="E49" s="155" t="str">
        <f>IFERROR(A49&amp;"   ("&amp;COUNTIFS(#REF!,"="&amp;A49)&amp;")",A49)</f>
        <v>11 SOIS</v>
      </c>
      <c r="F49" s="132"/>
      <c r="G49" s="133"/>
      <c r="H49" s="134"/>
      <c r="I49" s="135"/>
      <c r="J49" s="132"/>
      <c r="K49" s="133"/>
      <c r="L49" s="134"/>
      <c r="M49" s="139"/>
      <c r="N49" s="142"/>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7"/>
    </row>
    <row r="50" spans="1:114" ht="9.9499999999999993" customHeight="1" x14ac:dyDescent="0.25">
      <c r="A50" s="7" t="s">
        <v>4</v>
      </c>
      <c r="B50" s="7" t="s">
        <v>64</v>
      </c>
      <c r="C50" s="144"/>
      <c r="D50" s="124"/>
      <c r="E50" s="158"/>
      <c r="F50" s="136"/>
      <c r="G50" s="136"/>
      <c r="H50" s="136"/>
      <c r="I50" s="136"/>
      <c r="J50" s="136"/>
      <c r="K50" s="136"/>
      <c r="L50" s="136"/>
      <c r="M50" s="136"/>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c r="BA50" s="58"/>
      <c r="BB50" s="58"/>
      <c r="BC50" s="58"/>
      <c r="BD50" s="58"/>
      <c r="BE50" s="58"/>
      <c r="BF50" s="58"/>
      <c r="BG50" s="58"/>
      <c r="BH50" s="58"/>
      <c r="BI50" s="58"/>
      <c r="BJ50" s="58"/>
      <c r="BK50" s="58"/>
      <c r="BL50" s="58"/>
      <c r="BM50" s="58"/>
      <c r="BN50" s="58"/>
      <c r="BO50" s="58"/>
      <c r="BP50" s="58"/>
      <c r="BQ50" s="58"/>
      <c r="BR50" s="58"/>
      <c r="BS50" s="58"/>
      <c r="BT50" s="58"/>
      <c r="BU50" s="58"/>
      <c r="BV50" s="58"/>
      <c r="BW50" s="58"/>
      <c r="BX50" s="58"/>
      <c r="BY50" s="58"/>
      <c r="BZ50" s="58"/>
      <c r="CA50" s="58"/>
      <c r="CB50" s="58"/>
      <c r="CC50" s="58"/>
      <c r="CD50" s="58"/>
      <c r="CE50" s="58"/>
      <c r="CF50" s="58"/>
      <c r="CG50" s="58"/>
      <c r="CH50" s="58"/>
      <c r="CI50" s="58"/>
      <c r="CJ50" s="58"/>
      <c r="CK50" s="58"/>
      <c r="CL50" s="58"/>
      <c r="CM50" s="58"/>
      <c r="CN50" s="58"/>
      <c r="CO50" s="58"/>
      <c r="CP50" s="58"/>
      <c r="CQ50" s="58"/>
      <c r="CR50" s="58"/>
      <c r="CS50" s="58"/>
      <c r="CT50" s="58"/>
      <c r="CU50" s="58"/>
      <c r="CV50" s="58"/>
      <c r="CW50" s="58"/>
      <c r="CX50" s="58"/>
      <c r="CY50" s="58"/>
      <c r="CZ50" s="58"/>
      <c r="DA50" s="58"/>
      <c r="DB50" s="58"/>
      <c r="DC50" s="58"/>
      <c r="DD50" s="58"/>
      <c r="DE50" s="58"/>
      <c r="DF50" s="58"/>
      <c r="DG50" s="58"/>
      <c r="DH50" s="58"/>
      <c r="DI50" s="58"/>
      <c r="DJ50" s="58"/>
    </row>
    <row r="51" spans="1:114" ht="30" customHeight="1" x14ac:dyDescent="0.25">
      <c r="A51" s="7" t="s">
        <v>6</v>
      </c>
      <c r="B51" s="7" t="s">
        <v>64</v>
      </c>
      <c r="C51" s="144" t="s">
        <v>1674</v>
      </c>
      <c r="D51" s="120">
        <f>COUNTA($E$51:$E51)</f>
        <v>1</v>
      </c>
      <c r="E51" s="155" t="str">
        <f>IFERROR(A51&amp;"   ("&amp;COUNTIFS(#REF!,"="&amp;A51)&amp;")",A51)</f>
        <v>CCI</v>
      </c>
      <c r="F51" s="132"/>
      <c r="G51" s="133"/>
      <c r="H51" s="134"/>
      <c r="I51" s="135"/>
      <c r="J51" s="132"/>
      <c r="K51" s="133"/>
      <c r="L51" s="134"/>
      <c r="M51" s="139"/>
      <c r="N51" s="142"/>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7"/>
    </row>
    <row r="52" spans="1:114" ht="30" customHeight="1" x14ac:dyDescent="0.25">
      <c r="A52" s="7" t="s">
        <v>11</v>
      </c>
      <c r="B52" s="7" t="s">
        <v>64</v>
      </c>
      <c r="C52" s="144" t="s">
        <v>1674</v>
      </c>
      <c r="D52" s="120">
        <f>COUNTA($E$51:$E52)</f>
        <v>2</v>
      </c>
      <c r="E52" s="155" t="str">
        <f>IFERROR(A52&amp;"   ("&amp;COUNTIFS(#REF!,"="&amp;A52)&amp;")",A52)</f>
        <v>CCV</v>
      </c>
      <c r="F52" s="132"/>
      <c r="G52" s="133"/>
      <c r="H52" s="134"/>
      <c r="I52" s="135"/>
      <c r="J52" s="132"/>
      <c r="K52" s="133"/>
      <c r="L52" s="134"/>
      <c r="M52" s="139"/>
      <c r="N52" s="142"/>
      <c r="O52" s="122"/>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1"/>
    </row>
    <row r="53" spans="1:114" ht="30" customHeight="1" x14ac:dyDescent="0.25">
      <c r="A53" s="7" t="s">
        <v>1670</v>
      </c>
      <c r="B53" s="7" t="s">
        <v>64</v>
      </c>
      <c r="C53" s="144" t="s">
        <v>1674</v>
      </c>
      <c r="D53" s="120">
        <f>COUNTA($E$51:$E53)</f>
        <v>3</v>
      </c>
      <c r="E53" s="155" t="str">
        <f>IFERROR(A53&amp;"   ("&amp;COUNTIFS(#REF!,"="&amp;A53)&amp;")",A53)</f>
        <v>CMD</v>
      </c>
      <c r="F53" s="132"/>
      <c r="G53" s="133"/>
      <c r="H53" s="134"/>
      <c r="I53" s="135"/>
      <c r="J53" s="132"/>
      <c r="K53" s="133"/>
      <c r="L53" s="134"/>
      <c r="M53" s="139"/>
      <c r="N53" s="142"/>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7"/>
    </row>
    <row r="54" spans="1:114" ht="30" customHeight="1" x14ac:dyDescent="0.25">
      <c r="A54" s="7" t="s">
        <v>17</v>
      </c>
      <c r="B54" s="7" t="s">
        <v>64</v>
      </c>
      <c r="C54" s="144" t="s">
        <v>1674</v>
      </c>
      <c r="D54" s="120">
        <f>COUNTA($E$51:$E54)</f>
        <v>4</v>
      </c>
      <c r="E54" s="155" t="str">
        <f>IFERROR(A54&amp;"   ("&amp;COUNTIFS(#REF!,"="&amp;A54)&amp;")",A54)</f>
        <v>DO</v>
      </c>
      <c r="F54" s="132"/>
      <c r="G54" s="133"/>
      <c r="H54" s="134"/>
      <c r="I54" s="135"/>
      <c r="J54" s="132"/>
      <c r="K54" s="133"/>
      <c r="L54" s="134"/>
      <c r="M54" s="139"/>
      <c r="N54" s="142"/>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7"/>
    </row>
    <row r="55" spans="1:114" ht="30" customHeight="1" x14ac:dyDescent="0.25">
      <c r="A55" s="7" t="s">
        <v>8</v>
      </c>
      <c r="B55" s="7" t="s">
        <v>64</v>
      </c>
      <c r="C55" s="144" t="s">
        <v>1674</v>
      </c>
      <c r="D55" s="120">
        <f>COUNTA($E$51:$E55)</f>
        <v>5</v>
      </c>
      <c r="E55" s="155" t="str">
        <f>IFERROR(A55&amp;"   ("&amp;COUNTIFS(#REF!,"="&amp;A55)&amp;")",A55)</f>
        <v>DOA</v>
      </c>
      <c r="F55" s="132"/>
      <c r="G55" s="133"/>
      <c r="H55" s="134"/>
      <c r="I55" s="135"/>
      <c r="J55" s="132"/>
      <c r="K55" s="133"/>
      <c r="L55" s="134"/>
      <c r="M55" s="139"/>
      <c r="N55" s="142"/>
      <c r="O55" s="119"/>
      <c r="P55" s="119"/>
      <c r="Q55" s="119"/>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7"/>
    </row>
    <row r="56" spans="1:114" ht="30" customHeight="1" x14ac:dyDescent="0.25">
      <c r="A56" s="7" t="s">
        <v>12</v>
      </c>
      <c r="B56" s="7" t="s">
        <v>64</v>
      </c>
      <c r="C56" s="144" t="s">
        <v>1674</v>
      </c>
      <c r="D56" s="120">
        <f>COUNTA($E$51:$E56)</f>
        <v>6</v>
      </c>
      <c r="E56" s="155" t="str">
        <f>IFERROR(A56&amp;"   ("&amp;COUNTIFS(#REF!,"="&amp;A56)&amp;")",A56)</f>
        <v>DOB</v>
      </c>
      <c r="F56" s="132"/>
      <c r="G56" s="133"/>
      <c r="H56" s="134"/>
      <c r="I56" s="135"/>
      <c r="J56" s="132"/>
      <c r="K56" s="133"/>
      <c r="L56" s="134"/>
      <c r="M56" s="139"/>
      <c r="N56" s="142"/>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7"/>
    </row>
    <row r="57" spans="1:114" ht="30" customHeight="1" x14ac:dyDescent="0.25">
      <c r="A57" s="7" t="s">
        <v>5</v>
      </c>
      <c r="B57" s="7" t="s">
        <v>64</v>
      </c>
      <c r="C57" s="144" t="s">
        <v>1674</v>
      </c>
      <c r="D57" s="120">
        <f>COUNTA($E$51:$E57)</f>
        <v>7</v>
      </c>
      <c r="E57" s="155" t="str">
        <f>IFERROR(A57&amp;"   ("&amp;COUNTIFS(#REF!,"="&amp;A57)&amp;")",A57)</f>
        <v>DOC</v>
      </c>
      <c r="F57" s="132"/>
      <c r="G57" s="133"/>
      <c r="H57" s="134"/>
      <c r="I57" s="135"/>
      <c r="J57" s="132"/>
      <c r="K57" s="133"/>
      <c r="L57" s="134"/>
      <c r="M57" s="139"/>
      <c r="N57" s="142"/>
      <c r="O57" s="119"/>
      <c r="P57" s="119"/>
      <c r="Q57" s="119"/>
      <c r="R57" s="119"/>
      <c r="S57" s="119"/>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7"/>
    </row>
    <row r="58" spans="1:114" ht="30" customHeight="1" x14ac:dyDescent="0.25">
      <c r="A58" s="7" t="s">
        <v>7</v>
      </c>
      <c r="B58" s="7" t="s">
        <v>64</v>
      </c>
      <c r="C58" s="144" t="s">
        <v>1674</v>
      </c>
      <c r="D58" s="120">
        <f>COUNTA($E$51:$E58)</f>
        <v>8</v>
      </c>
      <c r="E58" s="155" t="str">
        <f>IFERROR(A58&amp;"   ("&amp;COUNTIFS(#REF!,"="&amp;A58)&amp;")",A58)</f>
        <v>DOD</v>
      </c>
      <c r="F58" s="132"/>
      <c r="G58" s="133"/>
      <c r="H58" s="134"/>
      <c r="I58" s="135"/>
      <c r="J58" s="132"/>
      <c r="K58" s="133"/>
      <c r="L58" s="134"/>
      <c r="M58" s="139"/>
      <c r="N58" s="142"/>
      <c r="O58" s="119"/>
      <c r="P58" s="119"/>
      <c r="Q58" s="119"/>
      <c r="R58" s="119"/>
      <c r="S58" s="119"/>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7"/>
    </row>
    <row r="59" spans="1:114" ht="30" customHeight="1" x14ac:dyDescent="0.25">
      <c r="A59" s="7" t="s">
        <v>13</v>
      </c>
      <c r="B59" s="7" t="s">
        <v>64</v>
      </c>
      <c r="C59" s="144" t="s">
        <v>1674</v>
      </c>
      <c r="D59" s="120">
        <f>COUNTA($E$51:$E59)</f>
        <v>9</v>
      </c>
      <c r="E59" s="155" t="str">
        <f>IFERROR(A59&amp;"   ("&amp;COUNTIFS(#REF!,"="&amp;A59)&amp;")",A59)</f>
        <v>DOF</v>
      </c>
      <c r="F59" s="132"/>
      <c r="G59" s="133"/>
      <c r="H59" s="134"/>
      <c r="I59" s="135"/>
      <c r="J59" s="132"/>
      <c r="K59" s="133"/>
      <c r="L59" s="134"/>
      <c r="M59" s="139"/>
      <c r="N59" s="142"/>
      <c r="O59" s="119"/>
      <c r="P59" s="119"/>
      <c r="Q59" s="119"/>
      <c r="R59" s="119"/>
      <c r="S59" s="119"/>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7"/>
    </row>
    <row r="60" spans="1:114" ht="30" customHeight="1" x14ac:dyDescent="0.25">
      <c r="A60" s="7" t="s">
        <v>14</v>
      </c>
      <c r="B60" s="7" t="s">
        <v>64</v>
      </c>
      <c r="C60" s="144" t="s">
        <v>1674</v>
      </c>
      <c r="D60" s="120">
        <f>COUNTA($E$51:$E60)</f>
        <v>10</v>
      </c>
      <c r="E60" s="155" t="str">
        <f>IFERROR(A60&amp;"   ("&amp;COUNTIFS(#REF!,"="&amp;A60)&amp;")",A60)</f>
        <v>DOK</v>
      </c>
      <c r="F60" s="132"/>
      <c r="G60" s="133"/>
      <c r="H60" s="134"/>
      <c r="I60" s="135"/>
      <c r="J60" s="132"/>
      <c r="K60" s="133"/>
      <c r="L60" s="134"/>
      <c r="M60" s="139"/>
      <c r="N60" s="142"/>
      <c r="O60" s="119"/>
      <c r="P60" s="119"/>
      <c r="Q60" s="119"/>
      <c r="R60" s="119"/>
      <c r="S60" s="119"/>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7"/>
    </row>
    <row r="61" spans="1:114" ht="30" customHeight="1" x14ac:dyDescent="0.25">
      <c r="A61" s="7" t="s">
        <v>18</v>
      </c>
      <c r="B61" s="7" t="s">
        <v>64</v>
      </c>
      <c r="C61" s="144" t="s">
        <v>1674</v>
      </c>
      <c r="D61" s="120">
        <f>COUNTA($E$51:$E61)</f>
        <v>11</v>
      </c>
      <c r="E61" s="155" t="str">
        <f>IFERROR(A61&amp;"   ("&amp;COUNTIFS(#REF!,"="&amp;A61)&amp;")",A61)</f>
        <v>DOM</v>
      </c>
      <c r="F61" s="132"/>
      <c r="G61" s="133"/>
      <c r="H61" s="134"/>
      <c r="I61" s="135"/>
      <c r="J61" s="132"/>
      <c r="K61" s="133"/>
      <c r="L61" s="134"/>
      <c r="M61" s="139"/>
      <c r="N61" s="142"/>
      <c r="O61" s="119"/>
      <c r="P61" s="119"/>
      <c r="Q61" s="119"/>
      <c r="R61" s="119"/>
      <c r="S61" s="119"/>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7"/>
    </row>
    <row r="62" spans="1:114" ht="30" customHeight="1" x14ac:dyDescent="0.25">
      <c r="A62" s="7" t="s">
        <v>9</v>
      </c>
      <c r="B62" s="7" t="s">
        <v>64</v>
      </c>
      <c r="C62" s="144" t="s">
        <v>1674</v>
      </c>
      <c r="D62" s="120">
        <f>COUNTA($E$51:$E62)</f>
        <v>12</v>
      </c>
      <c r="E62" s="155" t="str">
        <f>IFERROR(A62&amp;"   ("&amp;COUNTIFS(#REF!,"="&amp;A62)&amp;")",A62)</f>
        <v>DOT</v>
      </c>
      <c r="F62" s="132"/>
      <c r="G62" s="133"/>
      <c r="H62" s="134"/>
      <c r="I62" s="135"/>
      <c r="J62" s="132"/>
      <c r="K62" s="133"/>
      <c r="L62" s="134"/>
      <c r="M62" s="139"/>
      <c r="N62" s="142"/>
      <c r="O62" s="119"/>
      <c r="P62" s="119"/>
      <c r="Q62" s="119"/>
      <c r="R62" s="119"/>
      <c r="S62" s="119"/>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7"/>
    </row>
    <row r="63" spans="1:114" ht="30" customHeight="1" x14ac:dyDescent="0.25">
      <c r="A63" s="7" t="s">
        <v>15</v>
      </c>
      <c r="B63" s="7" t="s">
        <v>64</v>
      </c>
      <c r="C63" s="144" t="s">
        <v>1674</v>
      </c>
      <c r="D63" s="120">
        <f>COUNTA($E$51:$E63)</f>
        <v>13</v>
      </c>
      <c r="E63" s="155" t="str">
        <f>IFERROR(A63&amp;"   ("&amp;COUNTIFS(#REF!,"="&amp;A63)&amp;")",A63)</f>
        <v>DOX</v>
      </c>
      <c r="F63" s="132"/>
      <c r="G63" s="133"/>
      <c r="H63" s="134"/>
      <c r="I63" s="135"/>
      <c r="J63" s="132"/>
      <c r="K63" s="133"/>
      <c r="L63" s="134"/>
      <c r="M63" s="139"/>
      <c r="N63" s="142"/>
      <c r="O63" s="119"/>
      <c r="P63" s="119"/>
      <c r="Q63" s="119"/>
      <c r="R63" s="119"/>
      <c r="S63" s="119"/>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7"/>
    </row>
    <row r="64" spans="1:114" ht="30" customHeight="1" x14ac:dyDescent="0.25">
      <c r="A64" s="7" t="s">
        <v>10</v>
      </c>
      <c r="B64" s="7" t="s">
        <v>64</v>
      </c>
      <c r="C64" s="144" t="s">
        <v>1674</v>
      </c>
      <c r="D64" s="120">
        <f>COUNTA($E$51:$E64)</f>
        <v>14</v>
      </c>
      <c r="E64" s="155" t="str">
        <f>IFERROR(A64&amp;"   ("&amp;COUNTIFS(#REF!,"="&amp;A64)&amp;")",A64)</f>
        <v>MS</v>
      </c>
      <c r="F64" s="132"/>
      <c r="G64" s="133"/>
      <c r="H64" s="134"/>
      <c r="I64" s="135"/>
      <c r="J64" s="132"/>
      <c r="K64" s="133"/>
      <c r="L64" s="134"/>
      <c r="M64" s="139"/>
      <c r="N64" s="142"/>
      <c r="O64" s="119"/>
      <c r="P64" s="119"/>
      <c r="Q64" s="119"/>
      <c r="R64" s="119"/>
      <c r="S64" s="119"/>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7"/>
    </row>
    <row r="65" spans="1:114" ht="30" customHeight="1" x14ac:dyDescent="0.25">
      <c r="A65" s="7" t="s">
        <v>16</v>
      </c>
      <c r="B65" s="7" t="s">
        <v>64</v>
      </c>
      <c r="C65" s="144" t="s">
        <v>1674</v>
      </c>
      <c r="D65" s="120">
        <f>COUNTA($E$51:$E65)</f>
        <v>15</v>
      </c>
      <c r="E65" s="155" t="str">
        <f>IFERROR(A65&amp;"   ("&amp;COUNTIFS(#REF!,"="&amp;A65)&amp;")",A65)</f>
        <v>UDM</v>
      </c>
      <c r="F65" s="132"/>
      <c r="G65" s="133"/>
      <c r="H65" s="134"/>
      <c r="I65" s="135"/>
      <c r="J65" s="132"/>
      <c r="K65" s="133"/>
      <c r="L65" s="134"/>
      <c r="M65" s="139"/>
      <c r="N65" s="142"/>
      <c r="O65" s="119"/>
      <c r="P65" s="119"/>
      <c r="Q65" s="119"/>
      <c r="R65" s="119"/>
      <c r="S65" s="119"/>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7"/>
    </row>
    <row r="66" spans="1:114" ht="30" customHeight="1" x14ac:dyDescent="0.25">
      <c r="A66" s="7" t="s">
        <v>19</v>
      </c>
      <c r="B66" s="7" t="s">
        <v>64</v>
      </c>
      <c r="C66" s="144" t="s">
        <v>1674</v>
      </c>
      <c r="D66" s="120">
        <f>COUNTA($E$51:$E66)</f>
        <v>16</v>
      </c>
      <c r="E66" s="155" t="str">
        <f>IFERROR(A66&amp;"   ("&amp;COUNTIFS(#REF!,"="&amp;A66)&amp;")",A66)</f>
        <v>UTM</v>
      </c>
      <c r="F66" s="132"/>
      <c r="G66" s="133"/>
      <c r="H66" s="134"/>
      <c r="I66" s="135"/>
      <c r="J66" s="132"/>
      <c r="K66" s="133"/>
      <c r="L66" s="134"/>
      <c r="M66" s="139"/>
      <c r="N66" s="142"/>
      <c r="O66" s="119"/>
      <c r="P66" s="119"/>
      <c r="Q66" s="119"/>
      <c r="R66" s="119"/>
      <c r="S66" s="119"/>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7"/>
    </row>
    <row r="67" spans="1:114" ht="20.100000000000001" customHeight="1" x14ac:dyDescent="0.25">
      <c r="A67" s="7" t="s">
        <v>60</v>
      </c>
      <c r="B67" s="7" t="s">
        <v>64</v>
      </c>
      <c r="C67" s="144"/>
      <c r="D67" s="67"/>
      <c r="E67" s="8"/>
      <c r="N67" s="58"/>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c r="DA67" s="7"/>
      <c r="DB67" s="7"/>
      <c r="DC67" s="7"/>
      <c r="DD67" s="7"/>
      <c r="DE67" s="7"/>
      <c r="DF67" s="7"/>
      <c r="DG67" s="7"/>
      <c r="DH67" s="7"/>
      <c r="DI67" s="7"/>
      <c r="DJ67" s="7"/>
    </row>
    <row r="68" spans="1:114" ht="20.100000000000001" customHeight="1" x14ac:dyDescent="0.25">
      <c r="A68" s="7" t="s">
        <v>60</v>
      </c>
      <c r="B68" s="7" t="s">
        <v>55</v>
      </c>
      <c r="C68" s="144"/>
      <c r="D68" s="125" t="s">
        <v>55</v>
      </c>
      <c r="E68" s="159"/>
      <c r="F68" s="131"/>
      <c r="G68" s="131"/>
      <c r="H68" s="131"/>
      <c r="I68" s="131"/>
      <c r="J68" s="131"/>
      <c r="K68" s="131"/>
      <c r="L68" s="131"/>
      <c r="M68" s="131"/>
      <c r="N68" s="140"/>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c r="BA68" s="217"/>
      <c r="BB68" s="217"/>
      <c r="BC68" s="217"/>
      <c r="BD68" s="217"/>
      <c r="BE68" s="217"/>
      <c r="BF68" s="217"/>
      <c r="BG68" s="217"/>
      <c r="BH68" s="217"/>
      <c r="BI68" s="217"/>
      <c r="BJ68" s="217"/>
      <c r="BK68" s="217"/>
      <c r="BL68" s="217"/>
      <c r="BM68" s="217"/>
      <c r="BN68" s="217"/>
      <c r="BO68" s="217"/>
      <c r="BP68" s="217"/>
      <c r="BQ68" s="217"/>
      <c r="BR68" s="217"/>
      <c r="BS68" s="217"/>
      <c r="BT68" s="217"/>
      <c r="BU68" s="217"/>
      <c r="BV68" s="217"/>
      <c r="BW68" s="217"/>
      <c r="BX68" s="217"/>
      <c r="BY68" s="217"/>
      <c r="BZ68" s="217"/>
      <c r="CA68" s="217"/>
      <c r="CB68" s="217"/>
      <c r="CC68" s="217"/>
      <c r="CD68" s="217"/>
      <c r="CE68" s="217"/>
      <c r="CF68" s="217"/>
      <c r="CG68" s="217"/>
      <c r="CH68" s="217"/>
      <c r="CI68" s="217"/>
      <c r="CJ68" s="217"/>
      <c r="CK68" s="217"/>
      <c r="CL68" s="217"/>
      <c r="CM68" s="217"/>
      <c r="CN68" s="217"/>
      <c r="CO68" s="217"/>
      <c r="CP68" s="217"/>
      <c r="CQ68" s="217"/>
      <c r="CR68" s="217"/>
      <c r="CS68" s="217"/>
      <c r="CT68" s="217"/>
      <c r="CU68" s="217"/>
      <c r="CV68" s="217"/>
      <c r="CW68" s="217"/>
      <c r="CX68" s="217"/>
      <c r="CY68" s="217"/>
      <c r="CZ68" s="217"/>
      <c r="DA68" s="217"/>
      <c r="DB68" s="217"/>
      <c r="DC68" s="217"/>
      <c r="DD68" s="217"/>
      <c r="DE68" s="217"/>
      <c r="DF68" s="217"/>
      <c r="DG68" s="217"/>
      <c r="DH68" s="217"/>
      <c r="DI68" s="217"/>
      <c r="DJ68" s="218"/>
    </row>
    <row r="69" spans="1:114" ht="30" customHeight="1" x14ac:dyDescent="0.25">
      <c r="A69" s="7" t="s">
        <v>4</v>
      </c>
      <c r="B69" s="7" t="s">
        <v>55</v>
      </c>
      <c r="C69" s="144"/>
      <c r="D69" s="120"/>
      <c r="E69" s="155" t="str">
        <f>IFERROR(A69&amp;"   ("&amp;COUNTIFS(#REF!,"="&amp;A69)&amp;")",A69)</f>
        <v>11 SOIS</v>
      </c>
      <c r="F69" s="132"/>
      <c r="G69" s="133"/>
      <c r="H69" s="134"/>
      <c r="I69" s="135"/>
      <c r="J69" s="132"/>
      <c r="K69" s="133"/>
      <c r="L69" s="134"/>
      <c r="M69" s="139"/>
      <c r="N69" s="142"/>
      <c r="O69" s="119"/>
      <c r="P69" s="119"/>
      <c r="Q69" s="119"/>
      <c r="R69" s="119"/>
      <c r="S69" s="119"/>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7"/>
    </row>
    <row r="70" spans="1:114" ht="9.9499999999999993" customHeight="1" x14ac:dyDescent="0.25">
      <c r="A70" s="7" t="s">
        <v>4</v>
      </c>
      <c r="B70" s="7" t="s">
        <v>55</v>
      </c>
      <c r="C70" s="144"/>
      <c r="D70" s="124"/>
      <c r="E70" s="158"/>
      <c r="F70" s="136"/>
      <c r="G70" s="136"/>
      <c r="H70" s="136"/>
      <c r="I70" s="136"/>
      <c r="J70" s="136"/>
      <c r="K70" s="136"/>
      <c r="L70" s="136"/>
      <c r="M70" s="136"/>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8"/>
      <c r="BO70" s="58"/>
      <c r="BP70" s="58"/>
      <c r="BQ70" s="58"/>
      <c r="BR70" s="58"/>
      <c r="BS70" s="58"/>
      <c r="BT70" s="58"/>
      <c r="BU70" s="58"/>
      <c r="BV70" s="58"/>
      <c r="BW70" s="58"/>
      <c r="BX70" s="58"/>
      <c r="BY70" s="58"/>
      <c r="BZ70" s="58"/>
      <c r="CA70" s="58"/>
      <c r="CB70" s="58"/>
      <c r="CC70" s="58"/>
      <c r="CD70" s="58"/>
      <c r="CE70" s="58"/>
      <c r="CF70" s="58"/>
      <c r="CG70" s="58"/>
      <c r="CH70" s="58"/>
      <c r="CI70" s="58"/>
      <c r="CJ70" s="58"/>
      <c r="CK70" s="58"/>
      <c r="CL70" s="58"/>
      <c r="CM70" s="58"/>
      <c r="CN70" s="58"/>
      <c r="CO70" s="58"/>
      <c r="CP70" s="58"/>
      <c r="CQ70" s="58"/>
      <c r="CR70" s="58"/>
      <c r="CS70" s="58"/>
      <c r="CT70" s="58"/>
      <c r="CU70" s="58"/>
      <c r="CV70" s="58"/>
      <c r="CW70" s="58"/>
      <c r="CX70" s="58"/>
      <c r="CY70" s="58"/>
      <c r="CZ70" s="58"/>
      <c r="DA70" s="58"/>
      <c r="DB70" s="58"/>
      <c r="DC70" s="58"/>
      <c r="DD70" s="58"/>
      <c r="DE70" s="58"/>
      <c r="DF70" s="58"/>
      <c r="DG70" s="58"/>
      <c r="DH70" s="58"/>
      <c r="DI70" s="58"/>
      <c r="DJ70" s="58"/>
    </row>
    <row r="71" spans="1:114" ht="30" customHeight="1" x14ac:dyDescent="0.25">
      <c r="A71" s="7" t="s">
        <v>6</v>
      </c>
      <c r="B71" s="7" t="s">
        <v>55</v>
      </c>
      <c r="C71" s="144" t="s">
        <v>1674</v>
      </c>
      <c r="D71" s="120">
        <f>COUNTA($E$71:$E71)</f>
        <v>1</v>
      </c>
      <c r="E71" s="155" t="str">
        <f>IFERROR(A71&amp;"   ("&amp;COUNTIFS(#REF!,"="&amp;A71)&amp;")",A71)</f>
        <v>CCI</v>
      </c>
      <c r="F71" s="132"/>
      <c r="G71" s="133"/>
      <c r="H71" s="134"/>
      <c r="I71" s="135"/>
      <c r="J71" s="132"/>
      <c r="K71" s="133"/>
      <c r="L71" s="134"/>
      <c r="M71" s="139"/>
      <c r="N71" s="142"/>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7"/>
    </row>
    <row r="72" spans="1:114" ht="30" customHeight="1" x14ac:dyDescent="0.25">
      <c r="A72" s="7" t="s">
        <v>11</v>
      </c>
      <c r="B72" s="7" t="s">
        <v>55</v>
      </c>
      <c r="C72" s="144" t="s">
        <v>1674</v>
      </c>
      <c r="D72" s="120">
        <f>COUNTA($E$71:$E72)</f>
        <v>2</v>
      </c>
      <c r="E72" s="155" t="str">
        <f>IFERROR(A72&amp;"   ("&amp;COUNTIFS(#REF!,"="&amp;A72)&amp;")",A72)</f>
        <v>CCV</v>
      </c>
      <c r="F72" s="132"/>
      <c r="G72" s="133"/>
      <c r="H72" s="134"/>
      <c r="I72" s="135"/>
      <c r="J72" s="132"/>
      <c r="K72" s="133"/>
      <c r="L72" s="134"/>
      <c r="M72" s="139"/>
      <c r="N72" s="14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1"/>
    </row>
    <row r="73" spans="1:114" ht="30" customHeight="1" x14ac:dyDescent="0.25">
      <c r="A73" s="7" t="s">
        <v>1670</v>
      </c>
      <c r="B73" s="7" t="s">
        <v>55</v>
      </c>
      <c r="C73" s="144" t="s">
        <v>1674</v>
      </c>
      <c r="D73" s="120">
        <f>COUNTA($E$71:$E73)</f>
        <v>3</v>
      </c>
      <c r="E73" s="155" t="str">
        <f>IFERROR(A73&amp;"   ("&amp;COUNTIFS(#REF!,"="&amp;A73)&amp;")",A73)</f>
        <v>CMD</v>
      </c>
      <c r="F73" s="132"/>
      <c r="G73" s="133"/>
      <c r="H73" s="134"/>
      <c r="I73" s="135"/>
      <c r="J73" s="132"/>
      <c r="K73" s="133"/>
      <c r="L73" s="134"/>
      <c r="M73" s="139"/>
      <c r="N73" s="142"/>
      <c r="O73" s="119"/>
      <c r="P73" s="119"/>
      <c r="Q73" s="119"/>
      <c r="R73" s="119"/>
      <c r="S73" s="119"/>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7"/>
    </row>
    <row r="74" spans="1:114" ht="30" customHeight="1" x14ac:dyDescent="0.25">
      <c r="A74" s="7" t="s">
        <v>17</v>
      </c>
      <c r="B74" s="7" t="s">
        <v>55</v>
      </c>
      <c r="C74" s="144" t="s">
        <v>1674</v>
      </c>
      <c r="D74" s="120">
        <f>COUNTA($E$71:$E74)</f>
        <v>4</v>
      </c>
      <c r="E74" s="155" t="str">
        <f>IFERROR(A74&amp;"   ("&amp;COUNTIFS(#REF!,"="&amp;A74)&amp;")",A74)</f>
        <v>DO</v>
      </c>
      <c r="F74" s="132"/>
      <c r="G74" s="133"/>
      <c r="H74" s="134"/>
      <c r="I74" s="135"/>
      <c r="J74" s="132"/>
      <c r="K74" s="133"/>
      <c r="L74" s="134"/>
      <c r="M74" s="139"/>
      <c r="N74" s="142"/>
      <c r="O74" s="119"/>
      <c r="P74" s="119"/>
      <c r="Q74" s="119"/>
      <c r="R74" s="119"/>
      <c r="S74" s="119"/>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7"/>
    </row>
    <row r="75" spans="1:114" ht="30" customHeight="1" x14ac:dyDescent="0.25">
      <c r="A75" s="7" t="s">
        <v>8</v>
      </c>
      <c r="B75" s="7" t="s">
        <v>55</v>
      </c>
      <c r="C75" s="144" t="s">
        <v>1674</v>
      </c>
      <c r="D75" s="120">
        <f>COUNTA($E$71:$E75)</f>
        <v>5</v>
      </c>
      <c r="E75" s="155" t="str">
        <f>IFERROR(A75&amp;"   ("&amp;COUNTIFS(#REF!,"="&amp;A75)&amp;")",A75)</f>
        <v>DOA</v>
      </c>
      <c r="F75" s="132"/>
      <c r="G75" s="133"/>
      <c r="H75" s="134"/>
      <c r="I75" s="135"/>
      <c r="J75" s="132"/>
      <c r="K75" s="133"/>
      <c r="L75" s="134"/>
      <c r="M75" s="139"/>
      <c r="N75" s="142"/>
      <c r="O75" s="119"/>
      <c r="P75" s="119"/>
      <c r="Q75" s="119"/>
      <c r="R75" s="119"/>
      <c r="S75" s="119"/>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7"/>
    </row>
    <row r="76" spans="1:114" ht="30" customHeight="1" x14ac:dyDescent="0.25">
      <c r="A76" s="7" t="s">
        <v>12</v>
      </c>
      <c r="B76" s="7" t="s">
        <v>55</v>
      </c>
      <c r="C76" s="144" t="s">
        <v>1674</v>
      </c>
      <c r="D76" s="120">
        <f>COUNTA($E$71:$E76)</f>
        <v>6</v>
      </c>
      <c r="E76" s="155" t="str">
        <f>IFERROR(A76&amp;"   ("&amp;COUNTIFS(#REF!,"="&amp;A76)&amp;")",A76)</f>
        <v>DOB</v>
      </c>
      <c r="F76" s="132"/>
      <c r="G76" s="133"/>
      <c r="H76" s="134"/>
      <c r="I76" s="135"/>
      <c r="J76" s="132"/>
      <c r="K76" s="133"/>
      <c r="L76" s="134"/>
      <c r="M76" s="139"/>
      <c r="N76" s="142"/>
      <c r="O76" s="119"/>
      <c r="P76" s="119"/>
      <c r="Q76" s="119"/>
      <c r="R76" s="119"/>
      <c r="S76" s="119"/>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7"/>
    </row>
    <row r="77" spans="1:114" ht="30" customHeight="1" x14ac:dyDescent="0.25">
      <c r="A77" s="7" t="s">
        <v>5</v>
      </c>
      <c r="B77" s="7" t="s">
        <v>55</v>
      </c>
      <c r="C77" s="144" t="s">
        <v>1674</v>
      </c>
      <c r="D77" s="120">
        <f>COUNTA($E$71:$E77)</f>
        <v>7</v>
      </c>
      <c r="E77" s="155" t="str">
        <f>IFERROR(A77&amp;"   ("&amp;COUNTIFS(#REF!,"="&amp;A77)&amp;")",A77)</f>
        <v>DOC</v>
      </c>
      <c r="F77" s="132"/>
      <c r="G77" s="133"/>
      <c r="H77" s="134"/>
      <c r="I77" s="135"/>
      <c r="J77" s="132"/>
      <c r="K77" s="133"/>
      <c r="L77" s="134"/>
      <c r="M77" s="139"/>
      <c r="N77" s="142"/>
      <c r="O77" s="119"/>
      <c r="P77" s="119"/>
      <c r="Q77" s="119"/>
      <c r="R77" s="119"/>
      <c r="S77" s="119"/>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7"/>
    </row>
    <row r="78" spans="1:114" ht="30" customHeight="1" x14ac:dyDescent="0.25">
      <c r="A78" s="7" t="s">
        <v>7</v>
      </c>
      <c r="B78" s="7" t="s">
        <v>55</v>
      </c>
      <c r="C78" s="144" t="s">
        <v>1674</v>
      </c>
      <c r="D78" s="120">
        <f>COUNTA($E$71:$E78)</f>
        <v>8</v>
      </c>
      <c r="E78" s="155" t="str">
        <f>IFERROR(A78&amp;"   ("&amp;COUNTIFS(#REF!,"="&amp;A78)&amp;")",A78)</f>
        <v>DOD</v>
      </c>
      <c r="F78" s="132"/>
      <c r="G78" s="133"/>
      <c r="H78" s="134"/>
      <c r="I78" s="135"/>
      <c r="J78" s="132"/>
      <c r="K78" s="133"/>
      <c r="L78" s="134"/>
      <c r="M78" s="139"/>
      <c r="N78" s="142"/>
      <c r="O78" s="119"/>
      <c r="P78" s="119"/>
      <c r="Q78" s="119"/>
      <c r="R78" s="119"/>
      <c r="S78" s="119"/>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7"/>
    </row>
    <row r="79" spans="1:114" ht="30" customHeight="1" x14ac:dyDescent="0.25">
      <c r="A79" s="7" t="s">
        <v>13</v>
      </c>
      <c r="B79" s="7" t="s">
        <v>55</v>
      </c>
      <c r="C79" s="144" t="s">
        <v>1674</v>
      </c>
      <c r="D79" s="120">
        <f>COUNTA($E$71:$E79)</f>
        <v>9</v>
      </c>
      <c r="E79" s="155" t="str">
        <f>IFERROR(A79&amp;"   ("&amp;COUNTIFS(#REF!,"="&amp;A79)&amp;")",A79)</f>
        <v>DOF</v>
      </c>
      <c r="F79" s="132"/>
      <c r="G79" s="133"/>
      <c r="H79" s="134"/>
      <c r="I79" s="135"/>
      <c r="J79" s="132"/>
      <c r="K79" s="133"/>
      <c r="L79" s="134"/>
      <c r="M79" s="139"/>
      <c r="N79" s="142"/>
      <c r="O79" s="119"/>
      <c r="P79" s="119"/>
      <c r="Q79" s="119"/>
      <c r="R79" s="119"/>
      <c r="S79" s="119"/>
      <c r="T79" s="119"/>
      <c r="U79" s="119"/>
      <c r="V79" s="119"/>
      <c r="W79" s="119"/>
      <c r="X79" s="119"/>
      <c r="Y79" s="119"/>
      <c r="Z79" s="119"/>
      <c r="AA79" s="119"/>
      <c r="AB79" s="119"/>
      <c r="AC79" s="119"/>
      <c r="AD79" s="119"/>
      <c r="AE79" s="119"/>
      <c r="AF79" s="119"/>
      <c r="AG79" s="119"/>
      <c r="AH79" s="119"/>
      <c r="AI79" s="119"/>
      <c r="AJ79" s="119"/>
      <c r="AK79" s="119"/>
      <c r="AL79" s="119"/>
      <c r="AM79" s="119"/>
      <c r="AN79" s="119"/>
      <c r="AO79" s="119"/>
      <c r="AP79" s="119"/>
      <c r="AQ79" s="119"/>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7"/>
    </row>
    <row r="80" spans="1:114" ht="30" customHeight="1" x14ac:dyDescent="0.25">
      <c r="A80" s="7" t="s">
        <v>14</v>
      </c>
      <c r="B80" s="7" t="s">
        <v>55</v>
      </c>
      <c r="C80" s="144" t="s">
        <v>1674</v>
      </c>
      <c r="D80" s="120">
        <f>COUNTA($E$71:$E80)</f>
        <v>10</v>
      </c>
      <c r="E80" s="155" t="str">
        <f>IFERROR(A80&amp;"   ("&amp;COUNTIFS(#REF!,"="&amp;A80)&amp;")",A80)</f>
        <v>DOK</v>
      </c>
      <c r="F80" s="132"/>
      <c r="G80" s="133"/>
      <c r="H80" s="134"/>
      <c r="I80" s="135"/>
      <c r="J80" s="132"/>
      <c r="K80" s="133"/>
      <c r="L80" s="134"/>
      <c r="M80" s="139"/>
      <c r="N80" s="142"/>
      <c r="O80" s="119"/>
      <c r="P80" s="119"/>
      <c r="Q80" s="119"/>
      <c r="R80" s="119"/>
      <c r="S80" s="119"/>
      <c r="T80" s="119"/>
      <c r="U80" s="119"/>
      <c r="V80" s="119"/>
      <c r="W80" s="119"/>
      <c r="X80" s="119"/>
      <c r="Y80" s="119"/>
      <c r="Z80" s="119"/>
      <c r="AA80" s="119"/>
      <c r="AB80" s="119"/>
      <c r="AC80" s="119"/>
      <c r="AD80" s="119"/>
      <c r="AE80" s="119"/>
      <c r="AF80" s="119"/>
      <c r="AG80" s="119"/>
      <c r="AH80" s="119"/>
      <c r="AI80" s="119"/>
      <c r="AJ80" s="119"/>
      <c r="AK80" s="119"/>
      <c r="AL80" s="119"/>
      <c r="AM80" s="119"/>
      <c r="AN80" s="119"/>
      <c r="AO80" s="119"/>
      <c r="AP80" s="119"/>
      <c r="AQ80" s="119"/>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7"/>
    </row>
    <row r="81" spans="1:114" ht="30" customHeight="1" x14ac:dyDescent="0.25">
      <c r="A81" s="7" t="s">
        <v>18</v>
      </c>
      <c r="B81" s="7" t="s">
        <v>55</v>
      </c>
      <c r="C81" s="144" t="s">
        <v>1674</v>
      </c>
      <c r="D81" s="120">
        <f>COUNTA($E$71:$E81)</f>
        <v>11</v>
      </c>
      <c r="E81" s="155" t="str">
        <f>IFERROR(A81&amp;"   ("&amp;COUNTIFS(#REF!,"="&amp;A81)&amp;")",A81)</f>
        <v>DOM</v>
      </c>
      <c r="F81" s="132"/>
      <c r="G81" s="133"/>
      <c r="H81" s="134"/>
      <c r="I81" s="135"/>
      <c r="J81" s="132"/>
      <c r="K81" s="133"/>
      <c r="L81" s="134"/>
      <c r="M81" s="139"/>
      <c r="N81" s="142"/>
      <c r="O81" s="119"/>
      <c r="P81" s="119"/>
      <c r="Q81" s="119"/>
      <c r="R81" s="119"/>
      <c r="S81" s="119"/>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7"/>
    </row>
    <row r="82" spans="1:114" ht="30" customHeight="1" x14ac:dyDescent="0.25">
      <c r="A82" s="7" t="s">
        <v>9</v>
      </c>
      <c r="B82" s="7" t="s">
        <v>55</v>
      </c>
      <c r="C82" s="144" t="s">
        <v>1674</v>
      </c>
      <c r="D82" s="120">
        <f>COUNTA($E$71:$E82)</f>
        <v>12</v>
      </c>
      <c r="E82" s="155" t="str">
        <f>IFERROR(A82&amp;"   ("&amp;COUNTIFS(#REF!,"="&amp;A82)&amp;")",A82)</f>
        <v>DOT</v>
      </c>
      <c r="F82" s="132"/>
      <c r="G82" s="133"/>
      <c r="H82" s="134"/>
      <c r="I82" s="135"/>
      <c r="J82" s="132"/>
      <c r="K82" s="133"/>
      <c r="L82" s="134"/>
      <c r="M82" s="139"/>
      <c r="N82" s="142"/>
      <c r="O82" s="119"/>
      <c r="P82" s="119"/>
      <c r="Q82" s="119"/>
      <c r="R82" s="119"/>
      <c r="S82" s="119"/>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7"/>
    </row>
    <row r="83" spans="1:114" ht="30" customHeight="1" x14ac:dyDescent="0.25">
      <c r="A83" s="7" t="s">
        <v>15</v>
      </c>
      <c r="B83" s="7" t="s">
        <v>55</v>
      </c>
      <c r="C83" s="144" t="s">
        <v>1674</v>
      </c>
      <c r="D83" s="120">
        <f>COUNTA($E$71:$E83)</f>
        <v>13</v>
      </c>
      <c r="E83" s="155" t="str">
        <f>IFERROR(A83&amp;"   ("&amp;COUNTIFS(#REF!,"="&amp;A83)&amp;")",A83)</f>
        <v>DOX</v>
      </c>
      <c r="F83" s="132"/>
      <c r="G83" s="133"/>
      <c r="H83" s="134"/>
      <c r="I83" s="135"/>
      <c r="J83" s="132"/>
      <c r="K83" s="133"/>
      <c r="L83" s="134"/>
      <c r="M83" s="139"/>
      <c r="N83" s="142"/>
      <c r="O83" s="119"/>
      <c r="P83" s="119"/>
      <c r="Q83" s="119"/>
      <c r="R83" s="119"/>
      <c r="S83" s="119"/>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7"/>
    </row>
    <row r="84" spans="1:114" ht="30" customHeight="1" x14ac:dyDescent="0.25">
      <c r="A84" s="7" t="s">
        <v>10</v>
      </c>
      <c r="B84" s="7" t="s">
        <v>55</v>
      </c>
      <c r="C84" s="144" t="s">
        <v>1674</v>
      </c>
      <c r="D84" s="120">
        <f>COUNTA($E$71:$E84)</f>
        <v>14</v>
      </c>
      <c r="E84" s="155" t="str">
        <f>IFERROR(A84&amp;"   ("&amp;COUNTIFS(#REF!,"="&amp;A84)&amp;")",A84)</f>
        <v>MS</v>
      </c>
      <c r="F84" s="132"/>
      <c r="G84" s="133"/>
      <c r="H84" s="134"/>
      <c r="I84" s="135"/>
      <c r="J84" s="132"/>
      <c r="K84" s="133"/>
      <c r="L84" s="134"/>
      <c r="M84" s="139"/>
      <c r="N84" s="142"/>
      <c r="O84" s="119"/>
      <c r="P84" s="119"/>
      <c r="Q84" s="119"/>
      <c r="R84" s="119"/>
      <c r="S84" s="119"/>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7"/>
    </row>
    <row r="85" spans="1:114" ht="30" customHeight="1" x14ac:dyDescent="0.25">
      <c r="A85" s="7" t="s">
        <v>16</v>
      </c>
      <c r="B85" s="7" t="s">
        <v>55</v>
      </c>
      <c r="C85" s="144" t="s">
        <v>1674</v>
      </c>
      <c r="D85" s="120">
        <f>COUNTA($E$71:$E85)</f>
        <v>15</v>
      </c>
      <c r="E85" s="155" t="str">
        <f>IFERROR(A85&amp;"   ("&amp;COUNTIFS(#REF!,"="&amp;A85)&amp;")",A85)</f>
        <v>UDM</v>
      </c>
      <c r="F85" s="132"/>
      <c r="G85" s="133"/>
      <c r="H85" s="134"/>
      <c r="I85" s="135"/>
      <c r="J85" s="132"/>
      <c r="K85" s="133"/>
      <c r="L85" s="134"/>
      <c r="M85" s="139"/>
      <c r="N85" s="142"/>
      <c r="O85" s="119"/>
      <c r="P85" s="119"/>
      <c r="Q85" s="119"/>
      <c r="R85" s="119"/>
      <c r="S85" s="119"/>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7"/>
    </row>
    <row r="86" spans="1:114" ht="30" customHeight="1" x14ac:dyDescent="0.25">
      <c r="A86" s="7" t="s">
        <v>19</v>
      </c>
      <c r="B86" s="7" t="s">
        <v>55</v>
      </c>
      <c r="C86" s="144" t="s">
        <v>1674</v>
      </c>
      <c r="D86" s="120">
        <f>COUNTA($E$71:$E86)</f>
        <v>16</v>
      </c>
      <c r="E86" s="155" t="str">
        <f>IFERROR(A86&amp;"   ("&amp;COUNTIFS(#REF!,"="&amp;A86)&amp;")",A86)</f>
        <v>UTM</v>
      </c>
      <c r="F86" s="132"/>
      <c r="G86" s="133"/>
      <c r="H86" s="134"/>
      <c r="I86" s="135"/>
      <c r="J86" s="132"/>
      <c r="K86" s="133"/>
      <c r="L86" s="134"/>
      <c r="M86" s="139"/>
      <c r="N86" s="142"/>
      <c r="O86" s="119"/>
      <c r="P86" s="119"/>
      <c r="Q86" s="119"/>
      <c r="R86" s="119"/>
      <c r="S86" s="119"/>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7"/>
    </row>
    <row r="87" spans="1:114" ht="20.100000000000001" customHeight="1" x14ac:dyDescent="0.25">
      <c r="A87" s="7" t="s">
        <v>60</v>
      </c>
      <c r="B87" s="7" t="s">
        <v>55</v>
      </c>
      <c r="C87" s="144"/>
      <c r="D87" s="67"/>
      <c r="E87" s="8"/>
      <c r="N87" s="58"/>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c r="DF87" s="7"/>
      <c r="DG87" s="7"/>
      <c r="DH87" s="7"/>
      <c r="DI87" s="7"/>
      <c r="DJ87" s="7"/>
    </row>
    <row r="88" spans="1:114" ht="20.100000000000001" customHeight="1" x14ac:dyDescent="0.25">
      <c r="A88" s="7" t="s">
        <v>60</v>
      </c>
      <c r="B88" s="7" t="s">
        <v>74</v>
      </c>
      <c r="C88" s="144"/>
      <c r="D88" s="125" t="s">
        <v>75</v>
      </c>
      <c r="E88" s="159"/>
      <c r="F88" s="131"/>
      <c r="G88" s="131"/>
      <c r="H88" s="131"/>
      <c r="I88" s="131"/>
      <c r="J88" s="131"/>
      <c r="K88" s="131"/>
      <c r="L88" s="131"/>
      <c r="M88" s="131"/>
      <c r="N88" s="140"/>
      <c r="O88" s="217"/>
      <c r="P88" s="217"/>
      <c r="Q88" s="217"/>
      <c r="R88" s="217"/>
      <c r="S88" s="217"/>
      <c r="T88" s="217"/>
      <c r="U88" s="217"/>
      <c r="V88" s="217"/>
      <c r="W88" s="217"/>
      <c r="X88" s="217"/>
      <c r="Y88" s="217"/>
      <c r="Z88" s="217"/>
      <c r="AA88" s="217"/>
      <c r="AB88" s="217"/>
      <c r="AC88" s="217"/>
      <c r="AD88" s="217"/>
      <c r="AE88" s="217"/>
      <c r="AF88" s="217"/>
      <c r="AG88" s="217"/>
      <c r="AH88" s="217"/>
      <c r="AI88" s="217"/>
      <c r="AJ88" s="217"/>
      <c r="AK88" s="217"/>
      <c r="AL88" s="217"/>
      <c r="AM88" s="217"/>
      <c r="AN88" s="217"/>
      <c r="AO88" s="217"/>
      <c r="AP88" s="217"/>
      <c r="AQ88" s="217"/>
      <c r="AR88" s="217"/>
      <c r="AS88" s="217"/>
      <c r="AT88" s="217"/>
      <c r="AU88" s="217"/>
      <c r="AV88" s="217"/>
      <c r="AW88" s="217"/>
      <c r="AX88" s="217"/>
      <c r="AY88" s="217"/>
      <c r="AZ88" s="217"/>
      <c r="BA88" s="217"/>
      <c r="BB88" s="217"/>
      <c r="BC88" s="217"/>
      <c r="BD88" s="217"/>
      <c r="BE88" s="217"/>
      <c r="BF88" s="217"/>
      <c r="BG88" s="217"/>
      <c r="BH88" s="217"/>
      <c r="BI88" s="217"/>
      <c r="BJ88" s="217"/>
      <c r="BK88" s="217"/>
      <c r="BL88" s="217"/>
      <c r="BM88" s="217"/>
      <c r="BN88" s="217"/>
      <c r="BO88" s="217"/>
      <c r="BP88" s="217"/>
      <c r="BQ88" s="217"/>
      <c r="BR88" s="217"/>
      <c r="BS88" s="217"/>
      <c r="BT88" s="217"/>
      <c r="BU88" s="217"/>
      <c r="BV88" s="217"/>
      <c r="BW88" s="217"/>
      <c r="BX88" s="217"/>
      <c r="BY88" s="217"/>
      <c r="BZ88" s="217"/>
      <c r="CA88" s="217"/>
      <c r="CB88" s="217"/>
      <c r="CC88" s="217"/>
      <c r="CD88" s="217"/>
      <c r="CE88" s="217"/>
      <c r="CF88" s="217"/>
      <c r="CG88" s="217"/>
      <c r="CH88" s="217"/>
      <c r="CI88" s="217"/>
      <c r="CJ88" s="217"/>
      <c r="CK88" s="217"/>
      <c r="CL88" s="217"/>
      <c r="CM88" s="217"/>
      <c r="CN88" s="217"/>
      <c r="CO88" s="217"/>
      <c r="CP88" s="217"/>
      <c r="CQ88" s="217"/>
      <c r="CR88" s="217"/>
      <c r="CS88" s="217"/>
      <c r="CT88" s="217"/>
      <c r="CU88" s="217"/>
      <c r="CV88" s="217"/>
      <c r="CW88" s="217"/>
      <c r="CX88" s="217"/>
      <c r="CY88" s="217"/>
      <c r="CZ88" s="217"/>
      <c r="DA88" s="217"/>
      <c r="DB88" s="217"/>
      <c r="DC88" s="217"/>
      <c r="DD88" s="217"/>
      <c r="DE88" s="217"/>
      <c r="DF88" s="217"/>
      <c r="DG88" s="217"/>
      <c r="DH88" s="217"/>
      <c r="DI88" s="217"/>
      <c r="DJ88" s="218"/>
    </row>
    <row r="89" spans="1:114" ht="30" customHeight="1" x14ac:dyDescent="0.25">
      <c r="A89" s="7" t="s">
        <v>4</v>
      </c>
      <c r="B89" s="7" t="s">
        <v>74</v>
      </c>
      <c r="C89" s="144"/>
      <c r="D89" s="120"/>
      <c r="E89" s="155" t="str">
        <f>IFERROR(A89&amp;"   ("&amp;COUNTIFS(#REF!,"="&amp;A89)&amp;")",A89)</f>
        <v>11 SOIS</v>
      </c>
      <c r="F89" s="132"/>
      <c r="G89" s="133"/>
      <c r="H89" s="134"/>
      <c r="I89" s="135"/>
      <c r="J89" s="132"/>
      <c r="K89" s="133"/>
      <c r="L89" s="134"/>
      <c r="M89" s="139"/>
      <c r="N89" s="142"/>
      <c r="O89" s="119"/>
      <c r="P89" s="119"/>
      <c r="Q89" s="119"/>
      <c r="R89" s="119"/>
      <c r="S89" s="119"/>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7"/>
    </row>
    <row r="90" spans="1:114" ht="9.9499999999999993" customHeight="1" x14ac:dyDescent="0.25">
      <c r="A90" s="7" t="s">
        <v>4</v>
      </c>
      <c r="B90" s="7" t="s">
        <v>74</v>
      </c>
      <c r="C90" s="144"/>
      <c r="D90" s="124"/>
      <c r="E90" s="158"/>
      <c r="F90" s="136"/>
      <c r="G90" s="136"/>
      <c r="H90" s="136"/>
      <c r="I90" s="136"/>
      <c r="J90" s="136"/>
      <c r="K90" s="136"/>
      <c r="L90" s="136"/>
      <c r="M90" s="136"/>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8"/>
      <c r="BO90" s="58"/>
      <c r="BP90" s="58"/>
      <c r="BQ90" s="58"/>
      <c r="BR90" s="58"/>
      <c r="BS90" s="58"/>
      <c r="BT90" s="58"/>
      <c r="BU90" s="58"/>
      <c r="BV90" s="58"/>
      <c r="BW90" s="58"/>
      <c r="BX90" s="58"/>
      <c r="BY90" s="58"/>
      <c r="BZ90" s="58"/>
      <c r="CA90" s="58"/>
      <c r="CB90" s="58"/>
      <c r="CC90" s="58"/>
      <c r="CD90" s="58"/>
      <c r="CE90" s="58"/>
      <c r="CF90" s="58"/>
      <c r="CG90" s="58"/>
      <c r="CH90" s="58"/>
      <c r="CI90" s="58"/>
      <c r="CJ90" s="58"/>
      <c r="CK90" s="58"/>
      <c r="CL90" s="58"/>
      <c r="CM90" s="58"/>
      <c r="CN90" s="58"/>
      <c r="CO90" s="58"/>
      <c r="CP90" s="58"/>
      <c r="CQ90" s="58"/>
      <c r="CR90" s="58"/>
      <c r="CS90" s="58"/>
      <c r="CT90" s="58"/>
      <c r="CU90" s="58"/>
      <c r="CV90" s="58"/>
      <c r="CW90" s="58"/>
      <c r="CX90" s="58"/>
      <c r="CY90" s="58"/>
      <c r="CZ90" s="58"/>
      <c r="DA90" s="58"/>
      <c r="DB90" s="58"/>
      <c r="DC90" s="58"/>
      <c r="DD90" s="58"/>
      <c r="DE90" s="58"/>
      <c r="DF90" s="58"/>
      <c r="DG90" s="58"/>
      <c r="DH90" s="58"/>
      <c r="DI90" s="58"/>
      <c r="DJ90" s="58"/>
    </row>
    <row r="91" spans="1:114" ht="30" customHeight="1" x14ac:dyDescent="0.25">
      <c r="A91" s="7" t="s">
        <v>6</v>
      </c>
      <c r="B91" s="7" t="s">
        <v>74</v>
      </c>
      <c r="C91" s="144" t="s">
        <v>1674</v>
      </c>
      <c r="D91" s="120">
        <f>COUNTA($E$91:$E91)</f>
        <v>1</v>
      </c>
      <c r="E91" s="155" t="str">
        <f>IFERROR(A91&amp;"   ("&amp;COUNTIFS(#REF!,"="&amp;A91)&amp;")",A91)</f>
        <v>CCI</v>
      </c>
      <c r="F91" s="132"/>
      <c r="G91" s="133"/>
      <c r="H91" s="134"/>
      <c r="I91" s="135"/>
      <c r="J91" s="132"/>
      <c r="K91" s="133"/>
      <c r="L91" s="134"/>
      <c r="M91" s="139"/>
      <c r="N91" s="142"/>
      <c r="O91" s="119"/>
      <c r="P91" s="119"/>
      <c r="Q91" s="119"/>
      <c r="R91" s="119"/>
      <c r="S91" s="119"/>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7"/>
    </row>
    <row r="92" spans="1:114" ht="30" customHeight="1" x14ac:dyDescent="0.25">
      <c r="A92" s="7" t="s">
        <v>11</v>
      </c>
      <c r="B92" s="7" t="s">
        <v>74</v>
      </c>
      <c r="C92" s="144" t="s">
        <v>1674</v>
      </c>
      <c r="D92" s="120">
        <f>COUNTA($E$91:$E92)</f>
        <v>2</v>
      </c>
      <c r="E92" s="155" t="str">
        <f>IFERROR(A92&amp;"   ("&amp;COUNTIFS(#REF!,"="&amp;A92)&amp;")",A92)</f>
        <v>CCV</v>
      </c>
      <c r="F92" s="132"/>
      <c r="G92" s="133"/>
      <c r="H92" s="134"/>
      <c r="I92" s="135"/>
      <c r="J92" s="132"/>
      <c r="K92" s="133"/>
      <c r="L92" s="134"/>
      <c r="M92" s="139"/>
      <c r="N92" s="14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c r="AX92" s="122"/>
      <c r="AY92" s="122"/>
      <c r="AZ92" s="122"/>
      <c r="BA92" s="122"/>
      <c r="BB92" s="122"/>
      <c r="BC92" s="122"/>
      <c r="BD92" s="122"/>
      <c r="BE92" s="122"/>
      <c r="BF92" s="122"/>
      <c r="BG92" s="122"/>
      <c r="BH92" s="122"/>
      <c r="BI92" s="122"/>
      <c r="BJ92" s="122"/>
      <c r="BK92" s="122"/>
      <c r="BL92" s="122"/>
      <c r="BM92" s="122"/>
      <c r="BN92" s="122"/>
      <c r="BO92" s="122"/>
      <c r="BP92" s="122"/>
      <c r="BQ92" s="122"/>
      <c r="BR92" s="122"/>
      <c r="BS92" s="122"/>
      <c r="BT92" s="122"/>
      <c r="BU92" s="122"/>
      <c r="BV92" s="122"/>
      <c r="BW92" s="122"/>
      <c r="BX92" s="122"/>
      <c r="BY92" s="122"/>
      <c r="BZ92" s="122"/>
      <c r="CA92" s="122"/>
      <c r="CB92" s="122"/>
      <c r="CC92" s="122"/>
      <c r="CD92" s="122"/>
      <c r="CE92" s="122"/>
      <c r="CF92" s="122"/>
      <c r="CG92" s="122"/>
      <c r="CH92" s="122"/>
      <c r="CI92" s="122"/>
      <c r="CJ92" s="122"/>
      <c r="CK92" s="122"/>
      <c r="CL92" s="122"/>
      <c r="CM92" s="122"/>
      <c r="CN92" s="122"/>
      <c r="CO92" s="122"/>
      <c r="CP92" s="122"/>
      <c r="CQ92" s="122"/>
      <c r="CR92" s="122"/>
      <c r="CS92" s="122"/>
      <c r="CT92" s="122"/>
      <c r="CU92" s="122"/>
      <c r="CV92" s="122"/>
      <c r="CW92" s="122"/>
      <c r="CX92" s="122"/>
      <c r="CY92" s="122"/>
      <c r="CZ92" s="122"/>
      <c r="DA92" s="122"/>
      <c r="DB92" s="122"/>
      <c r="DC92" s="122"/>
      <c r="DD92" s="122"/>
      <c r="DE92" s="122"/>
      <c r="DF92" s="122"/>
      <c r="DG92" s="122"/>
      <c r="DH92" s="122"/>
      <c r="DI92" s="122"/>
      <c r="DJ92" s="121"/>
    </row>
    <row r="93" spans="1:114" ht="30" customHeight="1" x14ac:dyDescent="0.25">
      <c r="A93" s="7" t="s">
        <v>1670</v>
      </c>
      <c r="B93" s="7" t="s">
        <v>74</v>
      </c>
      <c r="C93" s="144" t="s">
        <v>1674</v>
      </c>
      <c r="D93" s="120">
        <f>COUNTA($E$91:$E93)</f>
        <v>3</v>
      </c>
      <c r="E93" s="155" t="str">
        <f>IFERROR(A93&amp;"   ("&amp;COUNTIFS(#REF!,"="&amp;A93)&amp;")",A93)</f>
        <v>CMD</v>
      </c>
      <c r="F93" s="132"/>
      <c r="G93" s="133"/>
      <c r="H93" s="134"/>
      <c r="I93" s="135"/>
      <c r="J93" s="132"/>
      <c r="K93" s="133"/>
      <c r="L93" s="134"/>
      <c r="M93" s="139"/>
      <c r="N93" s="142"/>
      <c r="O93" s="119"/>
      <c r="P93" s="119"/>
      <c r="Q93" s="119"/>
      <c r="R93" s="119"/>
      <c r="S93" s="119"/>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7"/>
    </row>
    <row r="94" spans="1:114" ht="30" customHeight="1" x14ac:dyDescent="0.25">
      <c r="A94" s="7" t="s">
        <v>17</v>
      </c>
      <c r="B94" s="7" t="s">
        <v>74</v>
      </c>
      <c r="C94" s="144" t="s">
        <v>1674</v>
      </c>
      <c r="D94" s="120">
        <f>COUNTA($E$91:$E94)</f>
        <v>4</v>
      </c>
      <c r="E94" s="155" t="str">
        <f>IFERROR(A94&amp;"   ("&amp;COUNTIFS(#REF!,"="&amp;A94)&amp;")",A94)</f>
        <v>DO</v>
      </c>
      <c r="F94" s="132"/>
      <c r="G94" s="133"/>
      <c r="H94" s="134"/>
      <c r="I94" s="135"/>
      <c r="J94" s="132"/>
      <c r="K94" s="133"/>
      <c r="L94" s="134"/>
      <c r="M94" s="139"/>
      <c r="N94" s="142"/>
      <c r="O94" s="119"/>
      <c r="P94" s="119"/>
      <c r="Q94" s="119"/>
      <c r="R94" s="119"/>
      <c r="S94" s="119"/>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7"/>
    </row>
    <row r="95" spans="1:114" ht="30" customHeight="1" x14ac:dyDescent="0.25">
      <c r="A95" s="7" t="s">
        <v>8</v>
      </c>
      <c r="B95" s="7" t="s">
        <v>74</v>
      </c>
      <c r="C95" s="144" t="s">
        <v>1674</v>
      </c>
      <c r="D95" s="120">
        <f>COUNTA($E$91:$E95)</f>
        <v>5</v>
      </c>
      <c r="E95" s="155" t="str">
        <f>IFERROR(A95&amp;"   ("&amp;COUNTIFS(#REF!,"="&amp;A95)&amp;")",A95)</f>
        <v>DOA</v>
      </c>
      <c r="F95" s="132"/>
      <c r="G95" s="133"/>
      <c r="H95" s="134"/>
      <c r="I95" s="135"/>
      <c r="J95" s="132"/>
      <c r="K95" s="133"/>
      <c r="L95" s="134"/>
      <c r="M95" s="139"/>
      <c r="N95" s="142"/>
      <c r="O95" s="119"/>
      <c r="P95" s="119"/>
      <c r="Q95" s="119"/>
      <c r="R95" s="119"/>
      <c r="S95" s="119"/>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7"/>
    </row>
    <row r="96" spans="1:114" ht="30" customHeight="1" x14ac:dyDescent="0.25">
      <c r="A96" s="7" t="s">
        <v>12</v>
      </c>
      <c r="B96" s="7" t="s">
        <v>74</v>
      </c>
      <c r="C96" s="144" t="s">
        <v>1674</v>
      </c>
      <c r="D96" s="120">
        <f>COUNTA($E$91:$E96)</f>
        <v>6</v>
      </c>
      <c r="E96" s="155" t="str">
        <f>IFERROR(A96&amp;"   ("&amp;COUNTIFS(#REF!,"="&amp;A96)&amp;")",A96)</f>
        <v>DOB</v>
      </c>
      <c r="F96" s="132"/>
      <c r="G96" s="133"/>
      <c r="H96" s="134"/>
      <c r="I96" s="135"/>
      <c r="J96" s="132"/>
      <c r="K96" s="133"/>
      <c r="L96" s="134"/>
      <c r="M96" s="139"/>
      <c r="N96" s="142"/>
      <c r="O96" s="119"/>
      <c r="P96" s="119"/>
      <c r="Q96" s="119"/>
      <c r="R96" s="119"/>
      <c r="S96" s="119"/>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7"/>
    </row>
    <row r="97" spans="1:114" ht="30" customHeight="1" x14ac:dyDescent="0.25">
      <c r="A97" s="7" t="s">
        <v>5</v>
      </c>
      <c r="B97" s="7" t="s">
        <v>74</v>
      </c>
      <c r="C97" s="144" t="s">
        <v>1674</v>
      </c>
      <c r="D97" s="120">
        <f>COUNTA($E$91:$E97)</f>
        <v>7</v>
      </c>
      <c r="E97" s="155" t="str">
        <f>IFERROR(A97&amp;"   ("&amp;COUNTIFS(#REF!,"="&amp;A97)&amp;")",A97)</f>
        <v>DOC</v>
      </c>
      <c r="F97" s="132"/>
      <c r="G97" s="133"/>
      <c r="H97" s="134"/>
      <c r="I97" s="135"/>
      <c r="J97" s="132"/>
      <c r="K97" s="133"/>
      <c r="L97" s="134"/>
      <c r="M97" s="139"/>
      <c r="N97" s="142"/>
      <c r="O97" s="119"/>
      <c r="P97" s="119"/>
      <c r="Q97" s="119"/>
      <c r="R97" s="119"/>
      <c r="S97" s="119"/>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7"/>
    </row>
    <row r="98" spans="1:114" ht="30" customHeight="1" x14ac:dyDescent="0.25">
      <c r="A98" s="7" t="s">
        <v>7</v>
      </c>
      <c r="B98" s="7" t="s">
        <v>74</v>
      </c>
      <c r="C98" s="144" t="s">
        <v>1674</v>
      </c>
      <c r="D98" s="120">
        <f>COUNTA($E$91:$E98)</f>
        <v>8</v>
      </c>
      <c r="E98" s="155" t="str">
        <f>IFERROR(A98&amp;"   ("&amp;COUNTIFS(#REF!,"="&amp;A98)&amp;")",A98)</f>
        <v>DOD</v>
      </c>
      <c r="F98" s="132"/>
      <c r="G98" s="133"/>
      <c r="H98" s="134"/>
      <c r="I98" s="135"/>
      <c r="J98" s="132"/>
      <c r="K98" s="133"/>
      <c r="L98" s="134"/>
      <c r="M98" s="139"/>
      <c r="N98" s="142"/>
      <c r="O98" s="119"/>
      <c r="P98" s="119"/>
      <c r="Q98" s="119"/>
      <c r="R98" s="119"/>
      <c r="S98" s="119"/>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7"/>
    </row>
    <row r="99" spans="1:114" ht="30" customHeight="1" x14ac:dyDescent="0.25">
      <c r="A99" s="7" t="s">
        <v>13</v>
      </c>
      <c r="B99" s="7" t="s">
        <v>74</v>
      </c>
      <c r="C99" s="144" t="s">
        <v>1674</v>
      </c>
      <c r="D99" s="120">
        <f>COUNTA($E$91:$E99)</f>
        <v>9</v>
      </c>
      <c r="E99" s="155" t="str">
        <f>IFERROR(A99&amp;"   ("&amp;COUNTIFS(#REF!,"="&amp;A99)&amp;")",A99)</f>
        <v>DOF</v>
      </c>
      <c r="F99" s="132"/>
      <c r="G99" s="133"/>
      <c r="H99" s="134"/>
      <c r="I99" s="135"/>
      <c r="J99" s="132"/>
      <c r="K99" s="133"/>
      <c r="L99" s="134"/>
      <c r="M99" s="139"/>
      <c r="N99" s="142"/>
      <c r="O99" s="119"/>
      <c r="P99" s="119"/>
      <c r="Q99" s="119"/>
      <c r="R99" s="119"/>
      <c r="S99" s="119"/>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7"/>
    </row>
    <row r="100" spans="1:114" ht="30" customHeight="1" x14ac:dyDescent="0.25">
      <c r="A100" s="7" t="s">
        <v>14</v>
      </c>
      <c r="B100" s="7" t="s">
        <v>74</v>
      </c>
      <c r="C100" s="144" t="s">
        <v>1674</v>
      </c>
      <c r="D100" s="120">
        <f>COUNTA($E$91:$E100)</f>
        <v>10</v>
      </c>
      <c r="E100" s="155" t="str">
        <f>IFERROR(A100&amp;"   ("&amp;COUNTIFS(#REF!,"="&amp;A100)&amp;")",A100)</f>
        <v>DOK</v>
      </c>
      <c r="F100" s="132"/>
      <c r="G100" s="133"/>
      <c r="H100" s="134"/>
      <c r="I100" s="135"/>
      <c r="J100" s="132"/>
      <c r="K100" s="133"/>
      <c r="L100" s="134"/>
      <c r="M100" s="139"/>
      <c r="N100" s="142"/>
      <c r="O100" s="119"/>
      <c r="P100" s="119"/>
      <c r="Q100" s="119"/>
      <c r="R100" s="119"/>
      <c r="S100" s="119"/>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7"/>
    </row>
    <row r="101" spans="1:114" ht="30" customHeight="1" x14ac:dyDescent="0.25">
      <c r="A101" s="7" t="s">
        <v>18</v>
      </c>
      <c r="B101" s="7" t="s">
        <v>74</v>
      </c>
      <c r="C101" s="144" t="s">
        <v>1674</v>
      </c>
      <c r="D101" s="120">
        <f>COUNTA($E$91:$E101)</f>
        <v>11</v>
      </c>
      <c r="E101" s="155" t="str">
        <f>IFERROR(A101&amp;"   ("&amp;COUNTIFS(#REF!,"="&amp;A101)&amp;")",A101)</f>
        <v>DOM</v>
      </c>
      <c r="F101" s="132"/>
      <c r="G101" s="133"/>
      <c r="H101" s="134"/>
      <c r="I101" s="135"/>
      <c r="J101" s="132"/>
      <c r="K101" s="133"/>
      <c r="L101" s="134"/>
      <c r="M101" s="139"/>
      <c r="N101" s="142"/>
      <c r="O101" s="119"/>
      <c r="P101" s="119"/>
      <c r="Q101" s="119"/>
      <c r="R101" s="119"/>
      <c r="S101" s="119"/>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7"/>
    </row>
    <row r="102" spans="1:114" ht="30" customHeight="1" x14ac:dyDescent="0.25">
      <c r="A102" s="7" t="s">
        <v>9</v>
      </c>
      <c r="B102" s="7" t="s">
        <v>74</v>
      </c>
      <c r="C102" s="144" t="s">
        <v>1674</v>
      </c>
      <c r="D102" s="120">
        <f>COUNTA($E$91:$E102)</f>
        <v>12</v>
      </c>
      <c r="E102" s="155" t="str">
        <f>IFERROR(A102&amp;"   ("&amp;COUNTIFS(#REF!,"="&amp;A102)&amp;")",A102)</f>
        <v>DOT</v>
      </c>
      <c r="F102" s="132"/>
      <c r="G102" s="133"/>
      <c r="H102" s="134"/>
      <c r="I102" s="135"/>
      <c r="J102" s="132"/>
      <c r="K102" s="133"/>
      <c r="L102" s="134"/>
      <c r="M102" s="139"/>
      <c r="N102" s="142"/>
      <c r="O102" s="119"/>
      <c r="P102" s="119"/>
      <c r="Q102" s="119"/>
      <c r="R102" s="119"/>
      <c r="S102" s="119"/>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7"/>
    </row>
    <row r="103" spans="1:114" ht="30" customHeight="1" x14ac:dyDescent="0.25">
      <c r="A103" s="7" t="s">
        <v>15</v>
      </c>
      <c r="B103" s="7" t="s">
        <v>74</v>
      </c>
      <c r="C103" s="144" t="s">
        <v>1674</v>
      </c>
      <c r="D103" s="120">
        <f>COUNTA($E$91:$E103)</f>
        <v>13</v>
      </c>
      <c r="E103" s="155" t="str">
        <f>IFERROR(A103&amp;"   ("&amp;COUNTIFS(#REF!,"="&amp;A103)&amp;")",A103)</f>
        <v>DOX</v>
      </c>
      <c r="F103" s="132"/>
      <c r="G103" s="133"/>
      <c r="H103" s="134"/>
      <c r="I103" s="135"/>
      <c r="J103" s="132"/>
      <c r="K103" s="133"/>
      <c r="L103" s="134"/>
      <c r="M103" s="139"/>
      <c r="N103" s="142"/>
      <c r="O103" s="119"/>
      <c r="P103" s="119"/>
      <c r="Q103" s="119"/>
      <c r="R103" s="119"/>
      <c r="S103" s="119"/>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7"/>
    </row>
    <row r="104" spans="1:114" ht="30" customHeight="1" x14ac:dyDescent="0.25">
      <c r="A104" s="7" t="s">
        <v>10</v>
      </c>
      <c r="B104" s="7" t="s">
        <v>74</v>
      </c>
      <c r="C104" s="144" t="s">
        <v>1674</v>
      </c>
      <c r="D104" s="120">
        <f>COUNTA($E$91:$E104)</f>
        <v>14</v>
      </c>
      <c r="E104" s="155" t="str">
        <f>IFERROR(A104&amp;"   ("&amp;COUNTIFS(#REF!,"="&amp;A104)&amp;")",A104)</f>
        <v>MS</v>
      </c>
      <c r="F104" s="132"/>
      <c r="G104" s="133"/>
      <c r="H104" s="134"/>
      <c r="I104" s="135"/>
      <c r="J104" s="132"/>
      <c r="K104" s="133"/>
      <c r="L104" s="134"/>
      <c r="M104" s="139"/>
      <c r="N104" s="142"/>
      <c r="O104" s="119"/>
      <c r="P104" s="119"/>
      <c r="Q104" s="119"/>
      <c r="R104" s="119"/>
      <c r="S104" s="119"/>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7"/>
    </row>
    <row r="105" spans="1:114" ht="30" customHeight="1" x14ac:dyDescent="0.25">
      <c r="A105" s="7" t="s">
        <v>16</v>
      </c>
      <c r="B105" s="7" t="s">
        <v>74</v>
      </c>
      <c r="C105" s="144" t="s">
        <v>1674</v>
      </c>
      <c r="D105" s="120">
        <f>COUNTA($E$91:$E105)</f>
        <v>15</v>
      </c>
      <c r="E105" s="155" t="str">
        <f>IFERROR(A105&amp;"   ("&amp;COUNTIFS(#REF!,"="&amp;A105)&amp;")",A105)</f>
        <v>UDM</v>
      </c>
      <c r="F105" s="132"/>
      <c r="G105" s="133"/>
      <c r="H105" s="134"/>
      <c r="I105" s="135"/>
      <c r="J105" s="132"/>
      <c r="K105" s="133"/>
      <c r="L105" s="134"/>
      <c r="M105" s="139"/>
      <c r="N105" s="142"/>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7"/>
    </row>
    <row r="106" spans="1:114" ht="30" customHeight="1" x14ac:dyDescent="0.25">
      <c r="A106" s="7" t="s">
        <v>19</v>
      </c>
      <c r="B106" s="7" t="s">
        <v>74</v>
      </c>
      <c r="C106" s="144" t="s">
        <v>1674</v>
      </c>
      <c r="D106" s="120">
        <f>COUNTA($E$91:$E106)</f>
        <v>16</v>
      </c>
      <c r="E106" s="155" t="str">
        <f>IFERROR(A106&amp;"   ("&amp;COUNTIFS(#REF!,"="&amp;A106)&amp;")",A106)</f>
        <v>UTM</v>
      </c>
      <c r="F106" s="132"/>
      <c r="G106" s="133"/>
      <c r="H106" s="134"/>
      <c r="I106" s="135"/>
      <c r="J106" s="132"/>
      <c r="K106" s="133"/>
      <c r="L106" s="134"/>
      <c r="M106" s="139"/>
      <c r="N106" s="142"/>
      <c r="O106" s="119"/>
      <c r="P106" s="119"/>
      <c r="Q106" s="119"/>
      <c r="R106" s="119"/>
      <c r="S106" s="119"/>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7"/>
    </row>
    <row r="107" spans="1:114" ht="20.100000000000001" customHeight="1" x14ac:dyDescent="0.25">
      <c r="A107" s="7" t="s">
        <v>60</v>
      </c>
      <c r="B107" s="7" t="s">
        <v>74</v>
      </c>
      <c r="C107" s="144"/>
      <c r="D107" s="67"/>
      <c r="E107" s="8"/>
      <c r="N107" s="58"/>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CQ107" s="7"/>
      <c r="CR107" s="7"/>
      <c r="CS107" s="7"/>
      <c r="CT107" s="7"/>
      <c r="CU107" s="7"/>
      <c r="CV107" s="7"/>
      <c r="CW107" s="7"/>
      <c r="CX107" s="7"/>
      <c r="CY107" s="7"/>
      <c r="CZ107" s="7"/>
      <c r="DA107" s="7"/>
      <c r="DB107" s="7"/>
      <c r="DC107" s="7"/>
      <c r="DD107" s="7"/>
      <c r="DE107" s="7"/>
      <c r="DF107" s="7"/>
      <c r="DG107" s="7"/>
      <c r="DH107" s="7"/>
      <c r="DI107" s="7"/>
      <c r="DJ107" s="7"/>
    </row>
    <row r="108" spans="1:114" ht="20.100000000000001" customHeight="1" x14ac:dyDescent="0.25">
      <c r="A108" s="7" t="s">
        <v>60</v>
      </c>
      <c r="B108" s="7" t="s">
        <v>78</v>
      </c>
      <c r="C108" s="144"/>
      <c r="D108" s="125" t="s">
        <v>80</v>
      </c>
      <c r="E108" s="159"/>
      <c r="F108" s="131"/>
      <c r="G108" s="131"/>
      <c r="H108" s="131"/>
      <c r="I108" s="131"/>
      <c r="J108" s="131"/>
      <c r="K108" s="131"/>
      <c r="L108" s="131"/>
      <c r="M108" s="131"/>
      <c r="N108" s="140"/>
      <c r="O108" s="217"/>
      <c r="P108" s="217"/>
      <c r="Q108" s="217"/>
      <c r="R108" s="217"/>
      <c r="S108" s="217"/>
      <c r="T108" s="217"/>
      <c r="U108" s="217"/>
      <c r="V108" s="217"/>
      <c r="W108" s="217"/>
      <c r="X108" s="217"/>
      <c r="Y108" s="217"/>
      <c r="Z108" s="217"/>
      <c r="AA108" s="217"/>
      <c r="AB108" s="217"/>
      <c r="AC108" s="217"/>
      <c r="AD108" s="217"/>
      <c r="AE108" s="217"/>
      <c r="AF108" s="217"/>
      <c r="AG108" s="217"/>
      <c r="AH108" s="217"/>
      <c r="AI108" s="217"/>
      <c r="AJ108" s="217"/>
      <c r="AK108" s="217"/>
      <c r="AL108" s="217"/>
      <c r="AM108" s="217"/>
      <c r="AN108" s="217"/>
      <c r="AO108" s="217"/>
      <c r="AP108" s="217"/>
      <c r="AQ108" s="217"/>
      <c r="AR108" s="217"/>
      <c r="AS108" s="217"/>
      <c r="AT108" s="217"/>
      <c r="AU108" s="217"/>
      <c r="AV108" s="217"/>
      <c r="AW108" s="217"/>
      <c r="AX108" s="217"/>
      <c r="AY108" s="217"/>
      <c r="AZ108" s="217"/>
      <c r="BA108" s="217"/>
      <c r="BB108" s="217"/>
      <c r="BC108" s="217"/>
      <c r="BD108" s="217"/>
      <c r="BE108" s="217"/>
      <c r="BF108" s="217"/>
      <c r="BG108" s="217"/>
      <c r="BH108" s="217"/>
      <c r="BI108" s="217"/>
      <c r="BJ108" s="217"/>
      <c r="BK108" s="217"/>
      <c r="BL108" s="217"/>
      <c r="BM108" s="217"/>
      <c r="BN108" s="217"/>
      <c r="BO108" s="217"/>
      <c r="BP108" s="217"/>
      <c r="BQ108" s="217"/>
      <c r="BR108" s="217"/>
      <c r="BS108" s="217"/>
      <c r="BT108" s="217"/>
      <c r="BU108" s="217"/>
      <c r="BV108" s="217"/>
      <c r="BW108" s="217"/>
      <c r="BX108" s="217"/>
      <c r="BY108" s="217"/>
      <c r="BZ108" s="217"/>
      <c r="CA108" s="217"/>
      <c r="CB108" s="217"/>
      <c r="CC108" s="217"/>
      <c r="CD108" s="217"/>
      <c r="CE108" s="217"/>
      <c r="CF108" s="217"/>
      <c r="CG108" s="217"/>
      <c r="CH108" s="217"/>
      <c r="CI108" s="217"/>
      <c r="CJ108" s="217"/>
      <c r="CK108" s="217"/>
      <c r="CL108" s="217"/>
      <c r="CM108" s="217"/>
      <c r="CN108" s="217"/>
      <c r="CO108" s="217"/>
      <c r="CP108" s="217"/>
      <c r="CQ108" s="217"/>
      <c r="CR108" s="217"/>
      <c r="CS108" s="217"/>
      <c r="CT108" s="217"/>
      <c r="CU108" s="217"/>
      <c r="CV108" s="217"/>
      <c r="CW108" s="217"/>
      <c r="CX108" s="217"/>
      <c r="CY108" s="217"/>
      <c r="CZ108" s="217"/>
      <c r="DA108" s="217"/>
      <c r="DB108" s="217"/>
      <c r="DC108" s="217"/>
      <c r="DD108" s="217"/>
      <c r="DE108" s="217"/>
      <c r="DF108" s="217"/>
      <c r="DG108" s="217"/>
      <c r="DH108" s="217"/>
      <c r="DI108" s="217"/>
      <c r="DJ108" s="218"/>
    </row>
    <row r="109" spans="1:114" ht="30" customHeight="1" x14ac:dyDescent="0.25">
      <c r="A109" s="7" t="s">
        <v>4</v>
      </c>
      <c r="B109" s="7" t="s">
        <v>78</v>
      </c>
      <c r="C109" s="144"/>
      <c r="D109" s="120"/>
      <c r="E109" s="155" t="str">
        <f>IFERROR(A109&amp;"   ("&amp;COUNTIFS(#REF!,"="&amp;A109)&amp;")",A109)</f>
        <v>11 SOIS</v>
      </c>
      <c r="F109" s="132"/>
      <c r="G109" s="133"/>
      <c r="H109" s="134"/>
      <c r="I109" s="135"/>
      <c r="J109" s="132"/>
      <c r="K109" s="133"/>
      <c r="L109" s="134"/>
      <c r="M109" s="139"/>
      <c r="N109" s="142"/>
      <c r="O109" s="119"/>
      <c r="P109" s="119"/>
      <c r="Q109" s="119"/>
      <c r="R109" s="119"/>
      <c r="S109" s="119"/>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7"/>
    </row>
    <row r="110" spans="1:114" ht="9.9499999999999993" customHeight="1" x14ac:dyDescent="0.25">
      <c r="A110" s="7" t="s">
        <v>4</v>
      </c>
      <c r="B110" s="7" t="s">
        <v>78</v>
      </c>
      <c r="C110" s="144"/>
      <c r="D110" s="124"/>
      <c r="E110" s="158"/>
      <c r="F110" s="136"/>
      <c r="G110" s="136"/>
      <c r="H110" s="136"/>
      <c r="I110" s="136"/>
      <c r="J110" s="136"/>
      <c r="K110" s="136"/>
      <c r="L110" s="136"/>
      <c r="M110" s="136"/>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8"/>
      <c r="BO110" s="58"/>
      <c r="BP110" s="58"/>
      <c r="BQ110" s="58"/>
      <c r="BR110" s="58"/>
      <c r="BS110" s="58"/>
      <c r="BT110" s="58"/>
      <c r="BU110" s="58"/>
      <c r="BV110" s="58"/>
      <c r="BW110" s="58"/>
      <c r="BX110" s="58"/>
      <c r="BY110" s="58"/>
      <c r="BZ110" s="58"/>
      <c r="CA110" s="58"/>
      <c r="CB110" s="58"/>
      <c r="CC110" s="58"/>
      <c r="CD110" s="58"/>
      <c r="CE110" s="58"/>
      <c r="CF110" s="58"/>
      <c r="CG110" s="58"/>
      <c r="CH110" s="58"/>
      <c r="CI110" s="58"/>
      <c r="CJ110" s="58"/>
      <c r="CK110" s="58"/>
      <c r="CL110" s="58"/>
      <c r="CM110" s="58"/>
      <c r="CN110" s="58"/>
      <c r="CO110" s="58"/>
      <c r="CP110" s="58"/>
      <c r="CQ110" s="58"/>
      <c r="CR110" s="58"/>
      <c r="CS110" s="58"/>
      <c r="CT110" s="58"/>
      <c r="CU110" s="58"/>
      <c r="CV110" s="58"/>
      <c r="CW110" s="58"/>
      <c r="CX110" s="58"/>
      <c r="CY110" s="58"/>
      <c r="CZ110" s="58"/>
      <c r="DA110" s="58"/>
      <c r="DB110" s="58"/>
      <c r="DC110" s="58"/>
      <c r="DD110" s="58"/>
      <c r="DE110" s="58"/>
      <c r="DF110" s="58"/>
      <c r="DG110" s="58"/>
      <c r="DH110" s="58"/>
      <c r="DI110" s="58"/>
      <c r="DJ110" s="58"/>
    </row>
    <row r="111" spans="1:114" ht="30" customHeight="1" x14ac:dyDescent="0.25">
      <c r="A111" s="7" t="s">
        <v>6</v>
      </c>
      <c r="B111" s="7" t="s">
        <v>78</v>
      </c>
      <c r="C111" s="144" t="s">
        <v>1674</v>
      </c>
      <c r="D111" s="120">
        <f>COUNTA($E$111:$E111)</f>
        <v>1</v>
      </c>
      <c r="E111" s="155" t="str">
        <f>IFERROR(A111&amp;"   ("&amp;COUNTIFS(#REF!,"="&amp;A111)&amp;")",A111)</f>
        <v>CCI</v>
      </c>
      <c r="F111" s="132"/>
      <c r="G111" s="133"/>
      <c r="H111" s="134"/>
      <c r="I111" s="135"/>
      <c r="J111" s="132"/>
      <c r="K111" s="133"/>
      <c r="L111" s="134"/>
      <c r="M111" s="139"/>
      <c r="N111" s="142"/>
      <c r="O111" s="119"/>
      <c r="P111" s="119"/>
      <c r="Q111" s="119"/>
      <c r="R111" s="119"/>
      <c r="S111" s="119"/>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7"/>
    </row>
    <row r="112" spans="1:114" ht="30" customHeight="1" x14ac:dyDescent="0.25">
      <c r="A112" s="7" t="s">
        <v>11</v>
      </c>
      <c r="B112" s="7" t="s">
        <v>78</v>
      </c>
      <c r="C112" s="144" t="s">
        <v>1674</v>
      </c>
      <c r="D112" s="120">
        <f>COUNTA($E$111:$E112)</f>
        <v>2</v>
      </c>
      <c r="E112" s="155" t="str">
        <f>IFERROR(A112&amp;"   ("&amp;COUNTIFS(#REF!,"="&amp;A112)&amp;")",A112)</f>
        <v>CCV</v>
      </c>
      <c r="F112" s="132"/>
      <c r="G112" s="133"/>
      <c r="H112" s="134"/>
      <c r="I112" s="135"/>
      <c r="J112" s="132"/>
      <c r="K112" s="133"/>
      <c r="L112" s="134"/>
      <c r="M112" s="139"/>
      <c r="N112" s="14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c r="AX112" s="122"/>
      <c r="AY112" s="122"/>
      <c r="AZ112" s="122"/>
      <c r="BA112" s="122"/>
      <c r="BB112" s="122"/>
      <c r="BC112" s="122"/>
      <c r="BD112" s="122"/>
      <c r="BE112" s="122"/>
      <c r="BF112" s="122"/>
      <c r="BG112" s="122"/>
      <c r="BH112" s="122"/>
      <c r="BI112" s="122"/>
      <c r="BJ112" s="122"/>
      <c r="BK112" s="122"/>
      <c r="BL112" s="122"/>
      <c r="BM112" s="122"/>
      <c r="BN112" s="122"/>
      <c r="BO112" s="122"/>
      <c r="BP112" s="122"/>
      <c r="BQ112" s="122"/>
      <c r="BR112" s="122"/>
      <c r="BS112" s="122"/>
      <c r="BT112" s="122"/>
      <c r="BU112" s="122"/>
      <c r="BV112" s="122"/>
      <c r="BW112" s="122"/>
      <c r="BX112" s="122"/>
      <c r="BY112" s="122"/>
      <c r="BZ112" s="122"/>
      <c r="CA112" s="122"/>
      <c r="CB112" s="122"/>
      <c r="CC112" s="122"/>
      <c r="CD112" s="122"/>
      <c r="CE112" s="122"/>
      <c r="CF112" s="122"/>
      <c r="CG112" s="122"/>
      <c r="CH112" s="122"/>
      <c r="CI112" s="122"/>
      <c r="CJ112" s="122"/>
      <c r="CK112" s="122"/>
      <c r="CL112" s="122"/>
      <c r="CM112" s="122"/>
      <c r="CN112" s="122"/>
      <c r="CO112" s="122"/>
      <c r="CP112" s="122"/>
      <c r="CQ112" s="122"/>
      <c r="CR112" s="122"/>
      <c r="CS112" s="122"/>
      <c r="CT112" s="122"/>
      <c r="CU112" s="122"/>
      <c r="CV112" s="122"/>
      <c r="CW112" s="122"/>
      <c r="CX112" s="122"/>
      <c r="CY112" s="122"/>
      <c r="CZ112" s="122"/>
      <c r="DA112" s="122"/>
      <c r="DB112" s="122"/>
      <c r="DC112" s="122"/>
      <c r="DD112" s="122"/>
      <c r="DE112" s="122"/>
      <c r="DF112" s="122"/>
      <c r="DG112" s="122"/>
      <c r="DH112" s="122"/>
      <c r="DI112" s="122"/>
      <c r="DJ112" s="121"/>
    </row>
    <row r="113" spans="1:114" ht="30" customHeight="1" x14ac:dyDescent="0.25">
      <c r="A113" s="7" t="s">
        <v>1670</v>
      </c>
      <c r="B113" s="7" t="s">
        <v>78</v>
      </c>
      <c r="C113" s="144" t="s">
        <v>1674</v>
      </c>
      <c r="D113" s="120">
        <f>COUNTA($E$111:$E113)</f>
        <v>3</v>
      </c>
      <c r="E113" s="155" t="str">
        <f>IFERROR(A113&amp;"   ("&amp;COUNTIFS(#REF!,"="&amp;A113)&amp;")",A113)</f>
        <v>CMD</v>
      </c>
      <c r="F113" s="132"/>
      <c r="G113" s="133"/>
      <c r="H113" s="134"/>
      <c r="I113" s="135"/>
      <c r="J113" s="132"/>
      <c r="K113" s="133"/>
      <c r="L113" s="134"/>
      <c r="M113" s="139"/>
      <c r="N113" s="142"/>
      <c r="O113" s="119"/>
      <c r="P113" s="119"/>
      <c r="Q113" s="119"/>
      <c r="R113" s="119"/>
      <c r="S113" s="119"/>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7"/>
    </row>
    <row r="114" spans="1:114" ht="30" customHeight="1" x14ac:dyDescent="0.25">
      <c r="A114" s="7" t="s">
        <v>17</v>
      </c>
      <c r="B114" s="7" t="s">
        <v>78</v>
      </c>
      <c r="C114" s="144" t="s">
        <v>1674</v>
      </c>
      <c r="D114" s="120">
        <f>COUNTA($E$111:$E114)</f>
        <v>4</v>
      </c>
      <c r="E114" s="155" t="str">
        <f>IFERROR(A114&amp;"   ("&amp;COUNTIFS(#REF!,"="&amp;A114)&amp;")",A114)</f>
        <v>DO</v>
      </c>
      <c r="F114" s="132"/>
      <c r="G114" s="133"/>
      <c r="H114" s="134"/>
      <c r="I114" s="135"/>
      <c r="J114" s="132"/>
      <c r="K114" s="133"/>
      <c r="L114" s="134"/>
      <c r="M114" s="139"/>
      <c r="N114" s="142"/>
      <c r="O114" s="119"/>
      <c r="P114" s="119"/>
      <c r="Q114" s="119"/>
      <c r="R114" s="119"/>
      <c r="S114" s="119"/>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7"/>
    </row>
    <row r="115" spans="1:114" ht="30" customHeight="1" x14ac:dyDescent="0.25">
      <c r="A115" s="7" t="s">
        <v>8</v>
      </c>
      <c r="B115" s="7" t="s">
        <v>78</v>
      </c>
      <c r="C115" s="144" t="s">
        <v>1674</v>
      </c>
      <c r="D115" s="120">
        <f>COUNTA($E$111:$E115)</f>
        <v>5</v>
      </c>
      <c r="E115" s="155" t="str">
        <f>IFERROR(A115&amp;"   ("&amp;COUNTIFS(#REF!,"="&amp;A115)&amp;")",A115)</f>
        <v>DOA</v>
      </c>
      <c r="F115" s="132"/>
      <c r="G115" s="133"/>
      <c r="H115" s="134"/>
      <c r="I115" s="135"/>
      <c r="J115" s="132"/>
      <c r="K115" s="133"/>
      <c r="L115" s="134"/>
      <c r="M115" s="139"/>
      <c r="N115" s="142"/>
      <c r="O115" s="119"/>
      <c r="P115" s="119"/>
      <c r="Q115" s="119"/>
      <c r="R115" s="119"/>
      <c r="S115" s="119"/>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7"/>
    </row>
    <row r="116" spans="1:114" ht="30" customHeight="1" x14ac:dyDescent="0.25">
      <c r="A116" s="7" t="s">
        <v>12</v>
      </c>
      <c r="B116" s="7" t="s">
        <v>78</v>
      </c>
      <c r="C116" s="144" t="s">
        <v>1674</v>
      </c>
      <c r="D116" s="120">
        <f>COUNTA($E$111:$E116)</f>
        <v>6</v>
      </c>
      <c r="E116" s="155" t="str">
        <f>IFERROR(A116&amp;"   ("&amp;COUNTIFS(#REF!,"="&amp;A116)&amp;")",A116)</f>
        <v>DOB</v>
      </c>
      <c r="F116" s="132"/>
      <c r="G116" s="133"/>
      <c r="H116" s="134"/>
      <c r="I116" s="135"/>
      <c r="J116" s="132"/>
      <c r="K116" s="133"/>
      <c r="L116" s="134"/>
      <c r="M116" s="139"/>
      <c r="N116" s="142"/>
      <c r="O116" s="119"/>
      <c r="P116" s="119"/>
      <c r="Q116" s="119"/>
      <c r="R116" s="119"/>
      <c r="S116" s="119"/>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7"/>
    </row>
    <row r="117" spans="1:114" ht="30" customHeight="1" x14ac:dyDescent="0.25">
      <c r="A117" s="7" t="s">
        <v>5</v>
      </c>
      <c r="B117" s="7" t="s">
        <v>78</v>
      </c>
      <c r="C117" s="144" t="s">
        <v>1674</v>
      </c>
      <c r="D117" s="120">
        <f>COUNTA($E$111:$E117)</f>
        <v>7</v>
      </c>
      <c r="E117" s="155" t="str">
        <f>IFERROR(A117&amp;"   ("&amp;COUNTIFS(#REF!,"="&amp;A117)&amp;")",A117)</f>
        <v>DOC</v>
      </c>
      <c r="F117" s="132"/>
      <c r="G117" s="133"/>
      <c r="H117" s="134"/>
      <c r="I117" s="135"/>
      <c r="J117" s="132"/>
      <c r="K117" s="133"/>
      <c r="L117" s="134"/>
      <c r="M117" s="139"/>
      <c r="N117" s="142"/>
      <c r="O117" s="119"/>
      <c r="P117" s="119"/>
      <c r="Q117" s="119"/>
      <c r="R117" s="119"/>
      <c r="S117" s="119"/>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7"/>
    </row>
    <row r="118" spans="1:114" ht="30" customHeight="1" x14ac:dyDescent="0.25">
      <c r="A118" s="7" t="s">
        <v>7</v>
      </c>
      <c r="B118" s="7" t="s">
        <v>78</v>
      </c>
      <c r="C118" s="144" t="s">
        <v>1674</v>
      </c>
      <c r="D118" s="120">
        <f>COUNTA($E$111:$E118)</f>
        <v>8</v>
      </c>
      <c r="E118" s="155" t="str">
        <f>IFERROR(A118&amp;"   ("&amp;COUNTIFS(#REF!,"="&amp;A118)&amp;")",A118)</f>
        <v>DOD</v>
      </c>
      <c r="F118" s="132"/>
      <c r="G118" s="133"/>
      <c r="H118" s="134"/>
      <c r="I118" s="135"/>
      <c r="J118" s="132"/>
      <c r="K118" s="133"/>
      <c r="L118" s="134"/>
      <c r="M118" s="139"/>
      <c r="N118" s="142"/>
      <c r="O118" s="119"/>
      <c r="P118" s="119"/>
      <c r="Q118" s="119"/>
      <c r="R118" s="119"/>
      <c r="S118" s="119"/>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7"/>
    </row>
    <row r="119" spans="1:114" ht="30" customHeight="1" x14ac:dyDescent="0.25">
      <c r="A119" s="7" t="s">
        <v>13</v>
      </c>
      <c r="B119" s="7" t="s">
        <v>78</v>
      </c>
      <c r="C119" s="144" t="s">
        <v>1674</v>
      </c>
      <c r="D119" s="120">
        <f>COUNTA($E$111:$E119)</f>
        <v>9</v>
      </c>
      <c r="E119" s="155" t="str">
        <f>IFERROR(A119&amp;"   ("&amp;COUNTIFS(#REF!,"="&amp;A119)&amp;")",A119)</f>
        <v>DOF</v>
      </c>
      <c r="F119" s="132"/>
      <c r="G119" s="133"/>
      <c r="H119" s="134"/>
      <c r="I119" s="135"/>
      <c r="J119" s="132"/>
      <c r="K119" s="133"/>
      <c r="L119" s="134"/>
      <c r="M119" s="139"/>
      <c r="N119" s="142"/>
      <c r="O119" s="119"/>
      <c r="P119" s="119"/>
      <c r="Q119" s="119"/>
      <c r="R119" s="119"/>
      <c r="S119" s="119"/>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7"/>
    </row>
    <row r="120" spans="1:114" ht="30" customHeight="1" x14ac:dyDescent="0.25">
      <c r="A120" s="7" t="s">
        <v>14</v>
      </c>
      <c r="B120" s="7" t="s">
        <v>78</v>
      </c>
      <c r="C120" s="144" t="s">
        <v>1674</v>
      </c>
      <c r="D120" s="120">
        <f>COUNTA($E$111:$E120)</f>
        <v>10</v>
      </c>
      <c r="E120" s="155" t="str">
        <f>IFERROR(A120&amp;"   ("&amp;COUNTIFS(#REF!,"="&amp;A120)&amp;")",A120)</f>
        <v>DOK</v>
      </c>
      <c r="F120" s="132"/>
      <c r="G120" s="133"/>
      <c r="H120" s="134"/>
      <c r="I120" s="135"/>
      <c r="J120" s="132"/>
      <c r="K120" s="133"/>
      <c r="L120" s="134"/>
      <c r="M120" s="139"/>
      <c r="N120" s="142"/>
      <c r="O120" s="119"/>
      <c r="P120" s="119"/>
      <c r="Q120" s="119"/>
      <c r="R120" s="119"/>
      <c r="S120" s="119"/>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7"/>
    </row>
    <row r="121" spans="1:114" ht="30" customHeight="1" x14ac:dyDescent="0.25">
      <c r="A121" s="7" t="s">
        <v>18</v>
      </c>
      <c r="B121" s="7" t="s">
        <v>78</v>
      </c>
      <c r="C121" s="144" t="s">
        <v>1674</v>
      </c>
      <c r="D121" s="120">
        <f>COUNTA($E$111:$E121)</f>
        <v>11</v>
      </c>
      <c r="E121" s="155" t="str">
        <f>IFERROR(A121&amp;"   ("&amp;COUNTIFS(#REF!,"="&amp;A121)&amp;")",A121)</f>
        <v>DOM</v>
      </c>
      <c r="F121" s="132"/>
      <c r="G121" s="133"/>
      <c r="H121" s="134"/>
      <c r="I121" s="135"/>
      <c r="J121" s="132"/>
      <c r="K121" s="133"/>
      <c r="L121" s="134"/>
      <c r="M121" s="139"/>
      <c r="N121" s="142"/>
      <c r="O121" s="119"/>
      <c r="P121" s="119"/>
      <c r="Q121" s="119"/>
      <c r="R121" s="119"/>
      <c r="S121" s="119"/>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7"/>
    </row>
    <row r="122" spans="1:114" ht="30" customHeight="1" x14ac:dyDescent="0.25">
      <c r="A122" s="7" t="s">
        <v>9</v>
      </c>
      <c r="B122" s="7" t="s">
        <v>78</v>
      </c>
      <c r="C122" s="144" t="s">
        <v>1674</v>
      </c>
      <c r="D122" s="120">
        <f>COUNTA($E$111:$E122)</f>
        <v>12</v>
      </c>
      <c r="E122" s="155" t="str">
        <f>IFERROR(A122&amp;"   ("&amp;COUNTIFS(#REF!,"="&amp;A122)&amp;")",A122)</f>
        <v>DOT</v>
      </c>
      <c r="F122" s="132"/>
      <c r="G122" s="133"/>
      <c r="H122" s="134"/>
      <c r="I122" s="135"/>
      <c r="J122" s="132"/>
      <c r="K122" s="133"/>
      <c r="L122" s="134"/>
      <c r="M122" s="139"/>
      <c r="N122" s="142"/>
      <c r="O122" s="119"/>
      <c r="P122" s="119"/>
      <c r="Q122" s="119"/>
      <c r="R122" s="119"/>
      <c r="S122" s="119"/>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7"/>
    </row>
    <row r="123" spans="1:114" ht="30" customHeight="1" x14ac:dyDescent="0.25">
      <c r="A123" s="7" t="s">
        <v>15</v>
      </c>
      <c r="B123" s="7" t="s">
        <v>78</v>
      </c>
      <c r="C123" s="144" t="s">
        <v>1674</v>
      </c>
      <c r="D123" s="120">
        <f>COUNTA($E$111:$E123)</f>
        <v>13</v>
      </c>
      <c r="E123" s="155" t="str">
        <f>IFERROR(A123&amp;"   ("&amp;COUNTIFS(#REF!,"="&amp;A123)&amp;")",A123)</f>
        <v>DOX</v>
      </c>
      <c r="F123" s="132"/>
      <c r="G123" s="133"/>
      <c r="H123" s="134"/>
      <c r="I123" s="135"/>
      <c r="J123" s="132"/>
      <c r="K123" s="133"/>
      <c r="L123" s="134"/>
      <c r="M123" s="139"/>
      <c r="N123" s="142"/>
      <c r="O123" s="119"/>
      <c r="P123" s="119"/>
      <c r="Q123" s="119"/>
      <c r="R123" s="119"/>
      <c r="S123" s="119"/>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7"/>
    </row>
    <row r="124" spans="1:114" ht="30" customHeight="1" x14ac:dyDescent="0.25">
      <c r="A124" s="7" t="s">
        <v>10</v>
      </c>
      <c r="B124" s="7" t="s">
        <v>78</v>
      </c>
      <c r="C124" s="144" t="s">
        <v>1674</v>
      </c>
      <c r="D124" s="120">
        <f>COUNTA($E$111:$E124)</f>
        <v>14</v>
      </c>
      <c r="E124" s="155" t="str">
        <f>IFERROR(A124&amp;"   ("&amp;COUNTIFS(#REF!,"="&amp;A124)&amp;")",A124)</f>
        <v>MS</v>
      </c>
      <c r="F124" s="132"/>
      <c r="G124" s="133"/>
      <c r="H124" s="134"/>
      <c r="I124" s="135"/>
      <c r="J124" s="132"/>
      <c r="K124" s="133"/>
      <c r="L124" s="134"/>
      <c r="M124" s="139"/>
      <c r="N124" s="142"/>
      <c r="O124" s="119"/>
      <c r="P124" s="119"/>
      <c r="Q124" s="119"/>
      <c r="R124" s="119"/>
      <c r="S124" s="119"/>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7"/>
    </row>
    <row r="125" spans="1:114" ht="30" customHeight="1" x14ac:dyDescent="0.25">
      <c r="A125" s="7" t="s">
        <v>16</v>
      </c>
      <c r="B125" s="7" t="s">
        <v>78</v>
      </c>
      <c r="C125" s="144" t="s">
        <v>1674</v>
      </c>
      <c r="D125" s="120">
        <f>COUNTA($E$111:$E125)</f>
        <v>15</v>
      </c>
      <c r="E125" s="155" t="str">
        <f>IFERROR(A125&amp;"   ("&amp;COUNTIFS(#REF!,"="&amp;A125)&amp;")",A125)</f>
        <v>UDM</v>
      </c>
      <c r="F125" s="132"/>
      <c r="G125" s="133"/>
      <c r="H125" s="134"/>
      <c r="I125" s="135"/>
      <c r="J125" s="132"/>
      <c r="K125" s="133"/>
      <c r="L125" s="134"/>
      <c r="M125" s="139"/>
      <c r="N125" s="142"/>
      <c r="O125" s="119"/>
      <c r="P125" s="119"/>
      <c r="Q125" s="119"/>
      <c r="R125" s="119"/>
      <c r="S125" s="119"/>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7"/>
    </row>
    <row r="126" spans="1:114" ht="30" customHeight="1" x14ac:dyDescent="0.25">
      <c r="A126" s="7" t="s">
        <v>19</v>
      </c>
      <c r="B126" s="7" t="s">
        <v>78</v>
      </c>
      <c r="C126" s="144" t="s">
        <v>1674</v>
      </c>
      <c r="D126" s="120">
        <f>COUNTA($E$111:$E126)</f>
        <v>16</v>
      </c>
      <c r="E126" s="155" t="str">
        <f>IFERROR(A126&amp;"   ("&amp;COUNTIFS(#REF!,"="&amp;A126)&amp;")",A126)</f>
        <v>UTM</v>
      </c>
      <c r="F126" s="132"/>
      <c r="G126" s="133"/>
      <c r="H126" s="134"/>
      <c r="I126" s="135"/>
      <c r="J126" s="132"/>
      <c r="K126" s="133"/>
      <c r="L126" s="134"/>
      <c r="M126" s="139"/>
      <c r="N126" s="142"/>
      <c r="O126" s="119"/>
      <c r="P126" s="119"/>
      <c r="Q126" s="119"/>
      <c r="R126" s="119"/>
      <c r="S126" s="119"/>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7"/>
    </row>
    <row r="127" spans="1:114" ht="20.100000000000001" customHeight="1" x14ac:dyDescent="0.25">
      <c r="A127" s="7" t="s">
        <v>60</v>
      </c>
      <c r="B127" s="7" t="s">
        <v>78</v>
      </c>
      <c r="C127" s="144"/>
      <c r="D127" s="67"/>
      <c r="E127" s="8"/>
      <c r="N127" s="58"/>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c r="BQ127" s="7"/>
      <c r="BR127" s="7"/>
      <c r="BS127" s="7"/>
      <c r="BT127" s="7"/>
      <c r="BU127" s="7"/>
      <c r="BV127" s="7"/>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c r="CU127" s="7"/>
      <c r="CV127" s="7"/>
      <c r="CW127" s="7"/>
      <c r="CX127" s="7"/>
      <c r="CY127" s="7"/>
      <c r="CZ127" s="7"/>
      <c r="DA127" s="7"/>
      <c r="DB127" s="7"/>
      <c r="DC127" s="7"/>
      <c r="DD127" s="7"/>
      <c r="DE127" s="7"/>
      <c r="DF127" s="7"/>
      <c r="DG127" s="7"/>
      <c r="DH127" s="7"/>
      <c r="DI127" s="7"/>
      <c r="DJ127" s="7"/>
    </row>
    <row r="128" spans="1:114" ht="20.100000000000001" customHeight="1" x14ac:dyDescent="0.25">
      <c r="A128" s="7" t="s">
        <v>60</v>
      </c>
      <c r="B128" s="7" t="s">
        <v>91</v>
      </c>
      <c r="C128" s="144"/>
      <c r="D128" s="125" t="s">
        <v>89</v>
      </c>
      <c r="E128" s="157"/>
      <c r="F128" s="131"/>
      <c r="G128" s="131"/>
      <c r="H128" s="131"/>
      <c r="I128" s="131"/>
      <c r="J128" s="131"/>
      <c r="K128" s="131"/>
      <c r="L128" s="131"/>
      <c r="M128" s="131"/>
      <c r="N128" s="123"/>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217"/>
      <c r="BI128" s="217"/>
      <c r="BJ128" s="217"/>
      <c r="BK128" s="217"/>
      <c r="BL128" s="217"/>
      <c r="BM128" s="217"/>
      <c r="BN128" s="217"/>
      <c r="BO128" s="217"/>
      <c r="BP128" s="217"/>
      <c r="BQ128" s="217"/>
      <c r="BR128" s="217"/>
      <c r="BS128" s="217"/>
      <c r="BT128" s="217"/>
      <c r="BU128" s="217"/>
      <c r="BV128" s="217"/>
      <c r="BW128" s="217"/>
      <c r="BX128" s="217"/>
      <c r="BY128" s="217"/>
      <c r="BZ128" s="217"/>
      <c r="CA128" s="217"/>
      <c r="CB128" s="217"/>
      <c r="CC128" s="217"/>
      <c r="CD128" s="217"/>
      <c r="CE128" s="217"/>
      <c r="CF128" s="217"/>
      <c r="CG128" s="217"/>
      <c r="CH128" s="217"/>
      <c r="CI128" s="217"/>
      <c r="CJ128" s="217"/>
      <c r="CK128" s="217"/>
      <c r="CL128" s="217"/>
      <c r="CM128" s="217"/>
      <c r="CN128" s="217"/>
      <c r="CO128" s="217"/>
      <c r="CP128" s="217"/>
      <c r="CQ128" s="217"/>
      <c r="CR128" s="217"/>
      <c r="CS128" s="217"/>
      <c r="CT128" s="217"/>
      <c r="CU128" s="217"/>
      <c r="CV128" s="217"/>
      <c r="CW128" s="217"/>
      <c r="CX128" s="217"/>
      <c r="CY128" s="217"/>
      <c r="CZ128" s="217"/>
      <c r="DA128" s="217"/>
      <c r="DB128" s="217"/>
      <c r="DC128" s="217"/>
      <c r="DD128" s="217"/>
      <c r="DE128" s="217"/>
      <c r="DF128" s="217"/>
      <c r="DG128" s="217"/>
      <c r="DH128" s="217"/>
      <c r="DI128" s="217"/>
      <c r="DJ128" s="218"/>
    </row>
    <row r="129" spans="1:114" ht="30" customHeight="1" x14ac:dyDescent="0.25">
      <c r="A129" s="7" t="s">
        <v>4</v>
      </c>
      <c r="B129" s="7" t="s">
        <v>91</v>
      </c>
      <c r="C129" s="144"/>
      <c r="D129" s="120"/>
      <c r="E129" s="155" t="str">
        <f>IFERROR(A129&amp;"   ("&amp;COUNTIFS(#REF!,"="&amp;A129)&amp;")",A129)</f>
        <v>11 SOIS</v>
      </c>
      <c r="F129" s="132"/>
      <c r="G129" s="133"/>
      <c r="H129" s="134"/>
      <c r="I129" s="135"/>
      <c r="J129" s="132"/>
      <c r="K129" s="133"/>
      <c r="L129" s="134"/>
      <c r="M129" s="139"/>
      <c r="N129" s="142"/>
      <c r="O129" s="119"/>
      <c r="P129" s="119"/>
      <c r="Q129" s="119"/>
      <c r="R129" s="119"/>
      <c r="S129" s="119"/>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7"/>
    </row>
    <row r="130" spans="1:114" ht="9.9499999999999993" customHeight="1" x14ac:dyDescent="0.25">
      <c r="A130" s="7" t="s">
        <v>4</v>
      </c>
      <c r="B130" s="7" t="s">
        <v>91</v>
      </c>
      <c r="C130" s="144"/>
      <c r="D130" s="124"/>
      <c r="E130" s="158"/>
      <c r="F130" s="136"/>
      <c r="G130" s="136"/>
      <c r="H130" s="136"/>
      <c r="I130" s="136"/>
      <c r="J130" s="136"/>
      <c r="K130" s="136"/>
      <c r="L130" s="136"/>
      <c r="M130" s="136"/>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c r="BA130" s="58"/>
      <c r="BB130" s="58"/>
      <c r="BC130" s="58"/>
      <c r="BD130" s="58"/>
      <c r="BE130" s="58"/>
      <c r="BF130" s="58"/>
      <c r="BG130" s="58"/>
      <c r="BH130" s="58"/>
      <c r="BI130" s="58"/>
      <c r="BJ130" s="58"/>
      <c r="BK130" s="58"/>
      <c r="BL130" s="58"/>
      <c r="BM130" s="58"/>
      <c r="BN130" s="58"/>
      <c r="BO130" s="58"/>
      <c r="BP130" s="58"/>
      <c r="BQ130" s="58"/>
      <c r="BR130" s="58"/>
      <c r="BS130" s="58"/>
      <c r="BT130" s="58"/>
      <c r="BU130" s="58"/>
      <c r="BV130" s="58"/>
      <c r="BW130" s="58"/>
      <c r="BX130" s="58"/>
      <c r="BY130" s="58"/>
      <c r="BZ130" s="58"/>
      <c r="CA130" s="58"/>
      <c r="CB130" s="58"/>
      <c r="CC130" s="58"/>
      <c r="CD130" s="58"/>
      <c r="CE130" s="58"/>
      <c r="CF130" s="58"/>
      <c r="CG130" s="58"/>
      <c r="CH130" s="58"/>
      <c r="CI130" s="58"/>
      <c r="CJ130" s="58"/>
      <c r="CK130" s="58"/>
      <c r="CL130" s="58"/>
      <c r="CM130" s="58"/>
      <c r="CN130" s="58"/>
      <c r="CO130" s="58"/>
      <c r="CP130" s="58"/>
      <c r="CQ130" s="58"/>
      <c r="CR130" s="58"/>
      <c r="CS130" s="58"/>
      <c r="CT130" s="58"/>
      <c r="CU130" s="58"/>
      <c r="CV130" s="58"/>
      <c r="CW130" s="58"/>
      <c r="CX130" s="58"/>
      <c r="CY130" s="58"/>
      <c r="CZ130" s="58"/>
      <c r="DA130" s="58"/>
      <c r="DB130" s="58"/>
      <c r="DC130" s="58"/>
      <c r="DD130" s="58"/>
      <c r="DE130" s="58"/>
      <c r="DF130" s="58"/>
      <c r="DG130" s="58"/>
      <c r="DH130" s="58"/>
      <c r="DI130" s="58"/>
      <c r="DJ130" s="58"/>
    </row>
    <row r="131" spans="1:114" ht="30" customHeight="1" x14ac:dyDescent="0.25">
      <c r="A131" s="7" t="s">
        <v>6</v>
      </c>
      <c r="B131" s="7" t="s">
        <v>91</v>
      </c>
      <c r="C131" s="144" t="s">
        <v>1674</v>
      </c>
      <c r="D131" s="120">
        <f>COUNTA($E$131:$E131)</f>
        <v>1</v>
      </c>
      <c r="E131" s="155" t="str">
        <f>IFERROR(A131&amp;"   ("&amp;COUNTIFS(#REF!,"="&amp;A131)&amp;")",A131)</f>
        <v>CCI</v>
      </c>
      <c r="F131" s="132"/>
      <c r="G131" s="133"/>
      <c r="H131" s="134"/>
      <c r="I131" s="135"/>
      <c r="J131" s="132"/>
      <c r="K131" s="133"/>
      <c r="L131" s="134"/>
      <c r="M131" s="139"/>
      <c r="N131" s="142"/>
      <c r="O131" s="119"/>
      <c r="P131" s="119"/>
      <c r="Q131" s="119"/>
      <c r="R131" s="119"/>
      <c r="S131" s="119"/>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7"/>
    </row>
    <row r="132" spans="1:114" ht="30" customHeight="1" x14ac:dyDescent="0.25">
      <c r="A132" s="7" t="s">
        <v>11</v>
      </c>
      <c r="B132" s="7" t="s">
        <v>91</v>
      </c>
      <c r="C132" s="144" t="s">
        <v>1674</v>
      </c>
      <c r="D132" s="120">
        <f>COUNTA($E$131:$E132)</f>
        <v>2</v>
      </c>
      <c r="E132" s="155" t="str">
        <f>IFERROR(A132&amp;"   ("&amp;COUNTIFS(#REF!,"="&amp;A132)&amp;")",A132)</f>
        <v>CCV</v>
      </c>
      <c r="F132" s="132"/>
      <c r="G132" s="133"/>
      <c r="H132" s="134"/>
      <c r="I132" s="135"/>
      <c r="J132" s="132"/>
      <c r="K132" s="133"/>
      <c r="L132" s="134"/>
      <c r="M132" s="139"/>
      <c r="N132" s="14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c r="AX132" s="122"/>
      <c r="AY132" s="122"/>
      <c r="AZ132" s="122"/>
      <c r="BA132" s="122"/>
      <c r="BB132" s="122"/>
      <c r="BC132" s="122"/>
      <c r="BD132" s="122"/>
      <c r="BE132" s="122"/>
      <c r="BF132" s="122"/>
      <c r="BG132" s="122"/>
      <c r="BH132" s="122"/>
      <c r="BI132" s="122"/>
      <c r="BJ132" s="122"/>
      <c r="BK132" s="122"/>
      <c r="BL132" s="122"/>
      <c r="BM132" s="122"/>
      <c r="BN132" s="122"/>
      <c r="BO132" s="122"/>
      <c r="BP132" s="122"/>
      <c r="BQ132" s="122"/>
      <c r="BR132" s="122"/>
      <c r="BS132" s="122"/>
      <c r="BT132" s="122"/>
      <c r="BU132" s="122"/>
      <c r="BV132" s="122"/>
      <c r="BW132" s="122"/>
      <c r="BX132" s="122"/>
      <c r="BY132" s="122"/>
      <c r="BZ132" s="122"/>
      <c r="CA132" s="122"/>
      <c r="CB132" s="122"/>
      <c r="CC132" s="122"/>
      <c r="CD132" s="122"/>
      <c r="CE132" s="122"/>
      <c r="CF132" s="122"/>
      <c r="CG132" s="122"/>
      <c r="CH132" s="122"/>
      <c r="CI132" s="122"/>
      <c r="CJ132" s="122"/>
      <c r="CK132" s="122"/>
      <c r="CL132" s="122"/>
      <c r="CM132" s="122"/>
      <c r="CN132" s="122"/>
      <c r="CO132" s="122"/>
      <c r="CP132" s="122"/>
      <c r="CQ132" s="122"/>
      <c r="CR132" s="122"/>
      <c r="CS132" s="122"/>
      <c r="CT132" s="122"/>
      <c r="CU132" s="122"/>
      <c r="CV132" s="122"/>
      <c r="CW132" s="122"/>
      <c r="CX132" s="122"/>
      <c r="CY132" s="122"/>
      <c r="CZ132" s="122"/>
      <c r="DA132" s="122"/>
      <c r="DB132" s="122"/>
      <c r="DC132" s="122"/>
      <c r="DD132" s="122"/>
      <c r="DE132" s="122"/>
      <c r="DF132" s="122"/>
      <c r="DG132" s="122"/>
      <c r="DH132" s="122"/>
      <c r="DI132" s="122"/>
      <c r="DJ132" s="121"/>
    </row>
    <row r="133" spans="1:114" ht="30" customHeight="1" x14ac:dyDescent="0.25">
      <c r="A133" s="7" t="s">
        <v>1670</v>
      </c>
      <c r="B133" s="7" t="s">
        <v>91</v>
      </c>
      <c r="C133" s="144" t="s">
        <v>1674</v>
      </c>
      <c r="D133" s="120">
        <f>COUNTA($E$131:$E133)</f>
        <v>3</v>
      </c>
      <c r="E133" s="155" t="str">
        <f>IFERROR(A133&amp;"   ("&amp;COUNTIFS(#REF!,"="&amp;A133)&amp;")",A133)</f>
        <v>CMD</v>
      </c>
      <c r="F133" s="132"/>
      <c r="G133" s="133"/>
      <c r="H133" s="134"/>
      <c r="I133" s="135"/>
      <c r="J133" s="132"/>
      <c r="K133" s="133"/>
      <c r="L133" s="134"/>
      <c r="M133" s="139"/>
      <c r="N133" s="142"/>
      <c r="O133" s="119"/>
      <c r="P133" s="119"/>
      <c r="Q133" s="119"/>
      <c r="R133" s="119"/>
      <c r="S133" s="119"/>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7"/>
    </row>
    <row r="134" spans="1:114" ht="30" customHeight="1" x14ac:dyDescent="0.25">
      <c r="A134" s="7" t="s">
        <v>17</v>
      </c>
      <c r="B134" s="7" t="s">
        <v>91</v>
      </c>
      <c r="C134" s="144" t="s">
        <v>1674</v>
      </c>
      <c r="D134" s="120">
        <f>COUNTA($E$131:$E134)</f>
        <v>4</v>
      </c>
      <c r="E134" s="155" t="str">
        <f>IFERROR(A134&amp;"   ("&amp;COUNTIFS(#REF!,"="&amp;A134)&amp;")",A134)</f>
        <v>DO</v>
      </c>
      <c r="F134" s="132"/>
      <c r="G134" s="133"/>
      <c r="H134" s="134"/>
      <c r="I134" s="135"/>
      <c r="J134" s="132"/>
      <c r="K134" s="133"/>
      <c r="L134" s="134"/>
      <c r="M134" s="139"/>
      <c r="N134" s="142"/>
      <c r="O134" s="119"/>
      <c r="P134" s="119"/>
      <c r="Q134" s="119"/>
      <c r="R134" s="119"/>
      <c r="S134" s="119"/>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7"/>
    </row>
    <row r="135" spans="1:114" ht="30" customHeight="1" x14ac:dyDescent="0.25">
      <c r="A135" s="7" t="s">
        <v>8</v>
      </c>
      <c r="B135" s="7" t="s">
        <v>91</v>
      </c>
      <c r="C135" s="144" t="s">
        <v>1674</v>
      </c>
      <c r="D135" s="120">
        <f>COUNTA($E$131:$E135)</f>
        <v>5</v>
      </c>
      <c r="E135" s="155" t="str">
        <f>IFERROR(A135&amp;"   ("&amp;COUNTIFS(#REF!,"="&amp;A135)&amp;")",A135)</f>
        <v>DOA</v>
      </c>
      <c r="F135" s="132"/>
      <c r="G135" s="133"/>
      <c r="H135" s="134"/>
      <c r="I135" s="135"/>
      <c r="J135" s="132"/>
      <c r="K135" s="133"/>
      <c r="L135" s="134"/>
      <c r="M135" s="139"/>
      <c r="N135" s="142"/>
      <c r="O135" s="119"/>
      <c r="P135" s="119"/>
      <c r="Q135" s="119"/>
      <c r="R135" s="119"/>
      <c r="S135" s="119"/>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7"/>
    </row>
    <row r="136" spans="1:114" ht="30" customHeight="1" x14ac:dyDescent="0.25">
      <c r="A136" s="7" t="s">
        <v>12</v>
      </c>
      <c r="B136" s="7" t="s">
        <v>91</v>
      </c>
      <c r="C136" s="144" t="s">
        <v>1674</v>
      </c>
      <c r="D136" s="120">
        <f>COUNTA($E$131:$E136)</f>
        <v>6</v>
      </c>
      <c r="E136" s="155" t="str">
        <f>IFERROR(A136&amp;"   ("&amp;COUNTIFS(#REF!,"="&amp;A136)&amp;")",A136)</f>
        <v>DOB</v>
      </c>
      <c r="F136" s="132"/>
      <c r="G136" s="133"/>
      <c r="H136" s="134"/>
      <c r="I136" s="135"/>
      <c r="J136" s="132"/>
      <c r="K136" s="133"/>
      <c r="L136" s="134"/>
      <c r="M136" s="139"/>
      <c r="N136" s="142"/>
      <c r="O136" s="119"/>
      <c r="P136" s="119"/>
      <c r="Q136" s="119"/>
      <c r="R136" s="119"/>
      <c r="S136" s="119"/>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7"/>
    </row>
    <row r="137" spans="1:114" ht="30" customHeight="1" x14ac:dyDescent="0.25">
      <c r="A137" s="7" t="s">
        <v>5</v>
      </c>
      <c r="B137" s="7" t="s">
        <v>91</v>
      </c>
      <c r="C137" s="144" t="s">
        <v>1674</v>
      </c>
      <c r="D137" s="120">
        <f>COUNTA($E$131:$E137)</f>
        <v>7</v>
      </c>
      <c r="E137" s="155" t="str">
        <f>IFERROR(A137&amp;"   ("&amp;COUNTIFS(#REF!,"="&amp;A137)&amp;")",A137)</f>
        <v>DOC</v>
      </c>
      <c r="F137" s="132"/>
      <c r="G137" s="133"/>
      <c r="H137" s="134"/>
      <c r="I137" s="135"/>
      <c r="J137" s="132"/>
      <c r="K137" s="133"/>
      <c r="L137" s="134"/>
      <c r="M137" s="139"/>
      <c r="N137" s="142"/>
      <c r="O137" s="119"/>
      <c r="P137" s="119"/>
      <c r="Q137" s="119"/>
      <c r="R137" s="119"/>
      <c r="S137" s="119"/>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7"/>
    </row>
    <row r="138" spans="1:114" ht="30" customHeight="1" x14ac:dyDescent="0.25">
      <c r="A138" s="7" t="s">
        <v>7</v>
      </c>
      <c r="B138" s="7" t="s">
        <v>91</v>
      </c>
      <c r="C138" s="144" t="s">
        <v>1674</v>
      </c>
      <c r="D138" s="120">
        <f>COUNTA($E$131:$E138)</f>
        <v>8</v>
      </c>
      <c r="E138" s="155" t="str">
        <f>IFERROR(A138&amp;"   ("&amp;COUNTIFS(#REF!,"="&amp;A138)&amp;")",A138)</f>
        <v>DOD</v>
      </c>
      <c r="F138" s="132"/>
      <c r="G138" s="133"/>
      <c r="H138" s="134"/>
      <c r="I138" s="135"/>
      <c r="J138" s="132"/>
      <c r="K138" s="133"/>
      <c r="L138" s="134"/>
      <c r="M138" s="139"/>
      <c r="N138" s="142"/>
      <c r="O138" s="119"/>
      <c r="P138" s="119"/>
      <c r="Q138" s="119"/>
      <c r="R138" s="119"/>
      <c r="S138" s="119"/>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7"/>
    </row>
    <row r="139" spans="1:114" ht="30" customHeight="1" x14ac:dyDescent="0.25">
      <c r="A139" s="7" t="s">
        <v>13</v>
      </c>
      <c r="B139" s="7" t="s">
        <v>91</v>
      </c>
      <c r="C139" s="144" t="s">
        <v>1674</v>
      </c>
      <c r="D139" s="120">
        <f>COUNTA($E$131:$E139)</f>
        <v>9</v>
      </c>
      <c r="E139" s="155" t="str">
        <f>IFERROR(A139&amp;"   ("&amp;COUNTIFS(#REF!,"="&amp;A139)&amp;")",A139)</f>
        <v>DOF</v>
      </c>
      <c r="F139" s="132"/>
      <c r="G139" s="133"/>
      <c r="H139" s="134"/>
      <c r="I139" s="135"/>
      <c r="J139" s="132"/>
      <c r="K139" s="133"/>
      <c r="L139" s="134"/>
      <c r="M139" s="139"/>
      <c r="N139" s="142"/>
      <c r="O139" s="119"/>
      <c r="P139" s="119"/>
      <c r="Q139" s="119"/>
      <c r="R139" s="119"/>
      <c r="S139" s="119"/>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7"/>
    </row>
    <row r="140" spans="1:114" ht="30" customHeight="1" x14ac:dyDescent="0.25">
      <c r="A140" s="7" t="s">
        <v>14</v>
      </c>
      <c r="B140" s="7" t="s">
        <v>91</v>
      </c>
      <c r="C140" s="144" t="s">
        <v>1674</v>
      </c>
      <c r="D140" s="120">
        <f>COUNTA($E$131:$E140)</f>
        <v>10</v>
      </c>
      <c r="E140" s="155" t="str">
        <f>IFERROR(A140&amp;"   ("&amp;COUNTIFS(#REF!,"="&amp;A140)&amp;")",A140)</f>
        <v>DOK</v>
      </c>
      <c r="F140" s="132"/>
      <c r="G140" s="133"/>
      <c r="H140" s="134"/>
      <c r="I140" s="135"/>
      <c r="J140" s="132"/>
      <c r="K140" s="133"/>
      <c r="L140" s="134"/>
      <c r="M140" s="139"/>
      <c r="N140" s="142"/>
      <c r="O140" s="119"/>
      <c r="P140" s="119"/>
      <c r="Q140" s="119"/>
      <c r="R140" s="119"/>
      <c r="S140" s="119"/>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7"/>
    </row>
    <row r="141" spans="1:114" ht="30" customHeight="1" x14ac:dyDescent="0.25">
      <c r="A141" s="7" t="s">
        <v>18</v>
      </c>
      <c r="B141" s="7" t="s">
        <v>91</v>
      </c>
      <c r="C141" s="144" t="s">
        <v>1674</v>
      </c>
      <c r="D141" s="120">
        <f>COUNTA($E$131:$E141)</f>
        <v>11</v>
      </c>
      <c r="E141" s="155" t="str">
        <f>IFERROR(A141&amp;"   ("&amp;COUNTIFS(#REF!,"="&amp;A141)&amp;")",A141)</f>
        <v>DOM</v>
      </c>
      <c r="F141" s="132"/>
      <c r="G141" s="133"/>
      <c r="H141" s="134"/>
      <c r="I141" s="135"/>
      <c r="J141" s="132"/>
      <c r="K141" s="133"/>
      <c r="L141" s="134"/>
      <c r="M141" s="139"/>
      <c r="N141" s="142"/>
      <c r="O141" s="119"/>
      <c r="P141" s="119"/>
      <c r="Q141" s="119"/>
      <c r="R141" s="119"/>
      <c r="S141" s="119"/>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7"/>
    </row>
    <row r="142" spans="1:114" ht="30" customHeight="1" x14ac:dyDescent="0.25">
      <c r="A142" s="7" t="s">
        <v>9</v>
      </c>
      <c r="B142" s="7" t="s">
        <v>91</v>
      </c>
      <c r="C142" s="144" t="s">
        <v>1674</v>
      </c>
      <c r="D142" s="120">
        <f>COUNTA($E$131:$E142)</f>
        <v>12</v>
      </c>
      <c r="E142" s="155" t="str">
        <f>IFERROR(A142&amp;"   ("&amp;COUNTIFS(#REF!,"="&amp;A142)&amp;")",A142)</f>
        <v>DOT</v>
      </c>
      <c r="F142" s="132"/>
      <c r="G142" s="133"/>
      <c r="H142" s="134"/>
      <c r="I142" s="135"/>
      <c r="J142" s="132"/>
      <c r="K142" s="133"/>
      <c r="L142" s="134"/>
      <c r="M142" s="139"/>
      <c r="N142" s="142"/>
      <c r="O142" s="119"/>
      <c r="P142" s="119"/>
      <c r="Q142" s="119"/>
      <c r="R142" s="119"/>
      <c r="S142" s="119"/>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7"/>
    </row>
    <row r="143" spans="1:114" ht="30" customHeight="1" x14ac:dyDescent="0.25">
      <c r="A143" s="7" t="s">
        <v>15</v>
      </c>
      <c r="B143" s="7" t="s">
        <v>91</v>
      </c>
      <c r="C143" s="144" t="s">
        <v>1674</v>
      </c>
      <c r="D143" s="120">
        <f>COUNTA($E$131:$E143)</f>
        <v>13</v>
      </c>
      <c r="E143" s="155" t="str">
        <f>IFERROR(A143&amp;"   ("&amp;COUNTIFS(#REF!,"="&amp;A143)&amp;")",A143)</f>
        <v>DOX</v>
      </c>
      <c r="F143" s="132"/>
      <c r="G143" s="133"/>
      <c r="H143" s="134"/>
      <c r="I143" s="135"/>
      <c r="J143" s="132"/>
      <c r="K143" s="133"/>
      <c r="L143" s="134"/>
      <c r="M143" s="139"/>
      <c r="N143" s="142"/>
      <c r="O143" s="119"/>
      <c r="P143" s="119"/>
      <c r="Q143" s="119"/>
      <c r="R143" s="119"/>
      <c r="S143" s="119"/>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7"/>
    </row>
    <row r="144" spans="1:114" ht="30" customHeight="1" x14ac:dyDescent="0.25">
      <c r="A144" s="7" t="s">
        <v>10</v>
      </c>
      <c r="B144" s="7" t="s">
        <v>91</v>
      </c>
      <c r="C144" s="144" t="s">
        <v>1674</v>
      </c>
      <c r="D144" s="120">
        <f>COUNTA($E$131:$E144)</f>
        <v>14</v>
      </c>
      <c r="E144" s="155" t="str">
        <f>IFERROR(A144&amp;"   ("&amp;COUNTIFS(#REF!,"="&amp;A144)&amp;")",A144)</f>
        <v>MS</v>
      </c>
      <c r="F144" s="132"/>
      <c r="G144" s="133"/>
      <c r="H144" s="134"/>
      <c r="I144" s="135"/>
      <c r="J144" s="132"/>
      <c r="K144" s="133"/>
      <c r="L144" s="134"/>
      <c r="M144" s="139"/>
      <c r="N144" s="142"/>
      <c r="O144" s="119"/>
      <c r="P144" s="119"/>
      <c r="Q144" s="119"/>
      <c r="R144" s="119"/>
      <c r="S144" s="119"/>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7"/>
    </row>
    <row r="145" spans="1:114" ht="30" customHeight="1" x14ac:dyDescent="0.25">
      <c r="A145" s="7" t="s">
        <v>16</v>
      </c>
      <c r="B145" s="7" t="s">
        <v>91</v>
      </c>
      <c r="C145" s="144" t="s">
        <v>1674</v>
      </c>
      <c r="D145" s="120">
        <f>COUNTA($E$131:$E145)</f>
        <v>15</v>
      </c>
      <c r="E145" s="155" t="str">
        <f>IFERROR(A145&amp;"   ("&amp;COUNTIFS(#REF!,"="&amp;A145)&amp;")",A145)</f>
        <v>UDM</v>
      </c>
      <c r="F145" s="132"/>
      <c r="G145" s="133"/>
      <c r="H145" s="134"/>
      <c r="I145" s="135"/>
      <c r="J145" s="132"/>
      <c r="K145" s="133"/>
      <c r="L145" s="134"/>
      <c r="M145" s="139"/>
      <c r="N145" s="142"/>
      <c r="O145" s="119"/>
      <c r="P145" s="119"/>
      <c r="Q145" s="119"/>
      <c r="R145" s="119"/>
      <c r="S145" s="119"/>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7"/>
    </row>
    <row r="146" spans="1:114" ht="30" customHeight="1" x14ac:dyDescent="0.25">
      <c r="A146" s="7" t="s">
        <v>19</v>
      </c>
      <c r="B146" s="7" t="s">
        <v>91</v>
      </c>
      <c r="C146" s="144" t="s">
        <v>1674</v>
      </c>
      <c r="D146" s="120">
        <f>COUNTA($E$131:$E146)</f>
        <v>16</v>
      </c>
      <c r="E146" s="155" t="str">
        <f>IFERROR(A146&amp;"   ("&amp;COUNTIFS(#REF!,"="&amp;A146)&amp;")",A146)</f>
        <v>UTM</v>
      </c>
      <c r="F146" s="132"/>
      <c r="G146" s="133"/>
      <c r="H146" s="134"/>
      <c r="I146" s="135"/>
      <c r="J146" s="132"/>
      <c r="K146" s="133"/>
      <c r="L146" s="134"/>
      <c r="M146" s="139"/>
      <c r="N146" s="142"/>
      <c r="O146" s="119"/>
      <c r="P146" s="119"/>
      <c r="Q146" s="119"/>
      <c r="R146" s="119"/>
      <c r="S146" s="119"/>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7"/>
    </row>
    <row r="147" spans="1:114" ht="20.100000000000001" customHeight="1" x14ac:dyDescent="0.25">
      <c r="A147" s="7" t="s">
        <v>60</v>
      </c>
      <c r="B147" s="7" t="s">
        <v>91</v>
      </c>
      <c r="C147" s="144"/>
      <c r="D147" s="67"/>
      <c r="E147" s="8"/>
      <c r="N147" s="58"/>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c r="BS147" s="7"/>
      <c r="BT147" s="7"/>
      <c r="BU147" s="7"/>
      <c r="BV147" s="7"/>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7"/>
      <c r="DH147" s="7"/>
      <c r="DI147" s="7"/>
      <c r="DJ147" s="7"/>
    </row>
    <row r="148" spans="1:114" ht="20.100000000000001" customHeight="1" x14ac:dyDescent="0.25">
      <c r="A148" s="7" t="s">
        <v>60</v>
      </c>
      <c r="B148" s="7" t="s">
        <v>1916</v>
      </c>
      <c r="C148" s="144"/>
      <c r="D148" s="125" t="s">
        <v>1853</v>
      </c>
      <c r="E148" s="157"/>
      <c r="F148" s="131"/>
      <c r="G148" s="131"/>
      <c r="H148" s="131"/>
      <c r="I148" s="131"/>
      <c r="J148" s="131"/>
      <c r="K148" s="131"/>
      <c r="L148" s="131"/>
      <c r="M148" s="131"/>
      <c r="N148" s="123"/>
      <c r="O148" s="217"/>
      <c r="P148" s="217"/>
      <c r="Q148" s="217"/>
      <c r="R148" s="217"/>
      <c r="S148" s="217"/>
      <c r="T148" s="217"/>
      <c r="U148" s="217"/>
      <c r="V148" s="217"/>
      <c r="W148" s="217"/>
      <c r="X148" s="217"/>
      <c r="Y148" s="217"/>
      <c r="Z148" s="217"/>
      <c r="AA148" s="217"/>
      <c r="AB148" s="217"/>
      <c r="AC148" s="217"/>
      <c r="AD148" s="217"/>
      <c r="AE148" s="217"/>
      <c r="AF148" s="217"/>
      <c r="AG148" s="217"/>
      <c r="AH148" s="217"/>
      <c r="AI148" s="217"/>
      <c r="AJ148" s="217"/>
      <c r="AK148" s="217"/>
      <c r="AL148" s="217"/>
      <c r="AM148" s="217"/>
      <c r="AN148" s="217"/>
      <c r="AO148" s="217"/>
      <c r="AP148" s="217"/>
      <c r="AQ148" s="217"/>
      <c r="AR148" s="217"/>
      <c r="AS148" s="217"/>
      <c r="AT148" s="217"/>
      <c r="AU148" s="217"/>
      <c r="AV148" s="217"/>
      <c r="AW148" s="217"/>
      <c r="AX148" s="217"/>
      <c r="AY148" s="217"/>
      <c r="AZ148" s="217"/>
      <c r="BA148" s="217"/>
      <c r="BB148" s="217"/>
      <c r="BC148" s="217"/>
      <c r="BD148" s="217"/>
      <c r="BE148" s="217"/>
      <c r="BF148" s="217"/>
      <c r="BG148" s="217"/>
      <c r="BH148" s="217"/>
      <c r="BI148" s="217"/>
      <c r="BJ148" s="217"/>
      <c r="BK148" s="217"/>
      <c r="BL148" s="217"/>
      <c r="BM148" s="217"/>
      <c r="BN148" s="217"/>
      <c r="BO148" s="217"/>
      <c r="BP148" s="217"/>
      <c r="BQ148" s="217"/>
      <c r="BR148" s="217"/>
      <c r="BS148" s="217"/>
      <c r="BT148" s="217"/>
      <c r="BU148" s="217"/>
      <c r="BV148" s="217"/>
      <c r="BW148" s="217"/>
      <c r="BX148" s="217"/>
      <c r="BY148" s="217"/>
      <c r="BZ148" s="217"/>
      <c r="CA148" s="217"/>
      <c r="CB148" s="217"/>
      <c r="CC148" s="217"/>
      <c r="CD148" s="217"/>
      <c r="CE148" s="217"/>
      <c r="CF148" s="217"/>
      <c r="CG148" s="217"/>
      <c r="CH148" s="217"/>
      <c r="CI148" s="217"/>
      <c r="CJ148" s="217"/>
      <c r="CK148" s="217"/>
      <c r="CL148" s="217"/>
      <c r="CM148" s="217"/>
      <c r="CN148" s="217"/>
      <c r="CO148" s="217"/>
      <c r="CP148" s="217"/>
      <c r="CQ148" s="217"/>
      <c r="CR148" s="217"/>
      <c r="CS148" s="217"/>
      <c r="CT148" s="217"/>
      <c r="CU148" s="217"/>
      <c r="CV148" s="217"/>
      <c r="CW148" s="217"/>
      <c r="CX148" s="217"/>
      <c r="CY148" s="217"/>
      <c r="CZ148" s="217"/>
      <c r="DA148" s="217"/>
      <c r="DB148" s="217"/>
      <c r="DC148" s="217"/>
      <c r="DD148" s="217"/>
      <c r="DE148" s="217"/>
      <c r="DF148" s="217"/>
      <c r="DG148" s="217"/>
      <c r="DH148" s="217"/>
      <c r="DI148" s="217"/>
      <c r="DJ148" s="218"/>
    </row>
    <row r="149" spans="1:114" ht="30" customHeight="1" x14ac:dyDescent="0.25">
      <c r="A149" s="7" t="s">
        <v>4</v>
      </c>
      <c r="B149" s="7" t="s">
        <v>1916</v>
      </c>
      <c r="C149" s="144"/>
      <c r="D149" s="120"/>
      <c r="E149" s="155" t="str">
        <f>IFERROR(A149&amp;"   ("&amp;COUNTIFS(#REF!,"="&amp;A149)&amp;")",A149)</f>
        <v>11 SOIS</v>
      </c>
      <c r="F149" s="132"/>
      <c r="G149" s="133"/>
      <c r="H149" s="134"/>
      <c r="I149" s="135"/>
      <c r="J149" s="132"/>
      <c r="K149" s="133"/>
      <c r="L149" s="134"/>
      <c r="M149" s="139"/>
      <c r="N149" s="142"/>
      <c r="O149" s="119"/>
      <c r="P149" s="119"/>
      <c r="Q149" s="119"/>
      <c r="R149" s="119"/>
      <c r="S149" s="119"/>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76"/>
    </row>
    <row r="150" spans="1:114" ht="9.9499999999999993" customHeight="1" x14ac:dyDescent="0.25">
      <c r="A150" s="7" t="s">
        <v>4</v>
      </c>
      <c r="B150" s="7" t="s">
        <v>1916</v>
      </c>
      <c r="C150" s="144"/>
      <c r="D150" s="124"/>
      <c r="E150" s="158"/>
      <c r="F150" s="136"/>
      <c r="G150" s="136"/>
      <c r="H150" s="136"/>
      <c r="I150" s="136"/>
      <c r="J150" s="136"/>
      <c r="K150" s="136"/>
      <c r="L150" s="136"/>
      <c r="M150" s="136"/>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c r="BA150" s="58"/>
      <c r="BB150" s="58"/>
      <c r="BC150" s="58"/>
      <c r="BD150" s="58"/>
      <c r="BE150" s="58"/>
      <c r="BF150" s="58"/>
      <c r="BG150" s="58"/>
      <c r="BH150" s="58"/>
      <c r="BI150" s="58"/>
      <c r="BJ150" s="58"/>
      <c r="BK150" s="58"/>
      <c r="BL150" s="58"/>
      <c r="BM150" s="58"/>
      <c r="BN150" s="58"/>
      <c r="BO150" s="58"/>
      <c r="BP150" s="58"/>
      <c r="BQ150" s="58"/>
      <c r="BR150" s="58"/>
      <c r="BS150" s="58"/>
      <c r="BT150" s="58"/>
      <c r="BU150" s="58"/>
      <c r="BV150" s="58"/>
      <c r="BW150" s="58"/>
      <c r="BX150" s="58"/>
      <c r="BY150" s="58"/>
      <c r="BZ150" s="58"/>
      <c r="CA150" s="58"/>
      <c r="CB150" s="58"/>
      <c r="CC150" s="58"/>
      <c r="CD150" s="58"/>
      <c r="CE150" s="58"/>
      <c r="CF150" s="58"/>
      <c r="CG150" s="58"/>
      <c r="CH150" s="58"/>
      <c r="CI150" s="58"/>
      <c r="CJ150" s="58"/>
      <c r="CK150" s="58"/>
      <c r="CL150" s="58"/>
      <c r="CM150" s="58"/>
      <c r="CN150" s="58"/>
      <c r="CO150" s="58"/>
      <c r="CP150" s="58"/>
      <c r="CQ150" s="58"/>
      <c r="CR150" s="58"/>
      <c r="CS150" s="58"/>
      <c r="CT150" s="58"/>
      <c r="CU150" s="58"/>
      <c r="CV150" s="58"/>
      <c r="CW150" s="58"/>
      <c r="CX150" s="58"/>
      <c r="CY150" s="58"/>
      <c r="CZ150" s="58"/>
      <c r="DA150" s="58"/>
      <c r="DB150" s="58"/>
      <c r="DC150" s="58"/>
      <c r="DD150" s="58"/>
      <c r="DE150" s="58"/>
      <c r="DF150" s="58"/>
      <c r="DG150" s="58"/>
      <c r="DH150" s="58"/>
      <c r="DI150" s="58"/>
      <c r="DJ150" s="58"/>
    </row>
    <row r="151" spans="1:114" ht="30" customHeight="1" x14ac:dyDescent="0.25">
      <c r="A151" s="7" t="s">
        <v>6</v>
      </c>
      <c r="B151" s="7" t="s">
        <v>1916</v>
      </c>
      <c r="C151" s="144" t="s">
        <v>1674</v>
      </c>
      <c r="D151" s="120">
        <f>COUNTA($E$151:$E151)</f>
        <v>1</v>
      </c>
      <c r="E151" s="155" t="str">
        <f>IFERROR(A151&amp;"   ("&amp;COUNTIFS(#REF!,"="&amp;A151)&amp;")",A151)</f>
        <v>CCI</v>
      </c>
      <c r="F151" s="132"/>
      <c r="G151" s="133"/>
      <c r="H151" s="134"/>
      <c r="I151" s="135"/>
      <c r="J151" s="132"/>
      <c r="K151" s="133"/>
      <c r="L151" s="134"/>
      <c r="M151" s="139"/>
      <c r="N151" s="142"/>
      <c r="O151" s="119"/>
      <c r="P151" s="119"/>
      <c r="Q151" s="119"/>
      <c r="R151" s="119"/>
      <c r="S151" s="119"/>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76"/>
    </row>
    <row r="152" spans="1:114" ht="30" customHeight="1" x14ac:dyDescent="0.25">
      <c r="A152" s="7" t="s">
        <v>11</v>
      </c>
      <c r="B152" s="7" t="s">
        <v>1916</v>
      </c>
      <c r="C152" s="144" t="s">
        <v>1674</v>
      </c>
      <c r="D152" s="120">
        <f>COUNTA($E$151:$E152)</f>
        <v>2</v>
      </c>
      <c r="E152" s="155" t="str">
        <f>IFERROR(A152&amp;"   ("&amp;COUNTIFS(#REF!,"="&amp;A152)&amp;")",A152)</f>
        <v>CCV</v>
      </c>
      <c r="F152" s="132"/>
      <c r="G152" s="133"/>
      <c r="H152" s="134"/>
      <c r="I152" s="135"/>
      <c r="J152" s="132"/>
      <c r="K152" s="133"/>
      <c r="L152" s="134"/>
      <c r="M152" s="139"/>
      <c r="N152" s="14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c r="AX152" s="122"/>
      <c r="AY152" s="122"/>
      <c r="AZ152" s="122"/>
      <c r="BA152" s="122"/>
      <c r="BB152" s="122"/>
      <c r="BC152" s="122"/>
      <c r="BD152" s="122"/>
      <c r="BE152" s="122"/>
      <c r="BF152" s="122"/>
      <c r="BG152" s="122"/>
      <c r="BH152" s="122"/>
      <c r="BI152" s="122"/>
      <c r="BJ152" s="122"/>
      <c r="BK152" s="122"/>
      <c r="BL152" s="122"/>
      <c r="BM152" s="122"/>
      <c r="BN152" s="122"/>
      <c r="BO152" s="122"/>
      <c r="BP152" s="122"/>
      <c r="BQ152" s="122"/>
      <c r="BR152" s="122"/>
      <c r="BS152" s="122"/>
      <c r="BT152" s="122"/>
      <c r="BU152" s="122"/>
      <c r="BV152" s="122"/>
      <c r="BW152" s="122"/>
      <c r="BX152" s="122"/>
      <c r="BY152" s="122"/>
      <c r="BZ152" s="122"/>
      <c r="CA152" s="122"/>
      <c r="CB152" s="122"/>
      <c r="CC152" s="122"/>
      <c r="CD152" s="122"/>
      <c r="CE152" s="122"/>
      <c r="CF152" s="122"/>
      <c r="CG152" s="122"/>
      <c r="CH152" s="122"/>
      <c r="CI152" s="122"/>
      <c r="CJ152" s="122"/>
      <c r="CK152" s="122"/>
      <c r="CL152" s="122"/>
      <c r="CM152" s="122"/>
      <c r="CN152" s="122"/>
      <c r="CO152" s="122"/>
      <c r="CP152" s="122"/>
      <c r="CQ152" s="122"/>
      <c r="CR152" s="122"/>
      <c r="CS152" s="122"/>
      <c r="CT152" s="122"/>
      <c r="CU152" s="122"/>
      <c r="CV152" s="122"/>
      <c r="CW152" s="122"/>
      <c r="CX152" s="122"/>
      <c r="CY152" s="122"/>
      <c r="CZ152" s="122"/>
      <c r="DA152" s="122"/>
      <c r="DB152" s="122"/>
      <c r="DC152" s="122"/>
      <c r="DD152" s="122"/>
      <c r="DE152" s="122"/>
      <c r="DF152" s="122"/>
      <c r="DG152" s="122"/>
      <c r="DH152" s="122"/>
      <c r="DI152" s="122"/>
      <c r="DJ152" s="121"/>
    </row>
    <row r="153" spans="1:114" ht="30" customHeight="1" x14ac:dyDescent="0.25">
      <c r="A153" s="7" t="s">
        <v>1670</v>
      </c>
      <c r="B153" s="7" t="s">
        <v>1916</v>
      </c>
      <c r="C153" s="144" t="s">
        <v>1674</v>
      </c>
      <c r="D153" s="120">
        <f>COUNTA($E$151:$E153)</f>
        <v>3</v>
      </c>
      <c r="E153" s="155" t="str">
        <f>IFERROR(A153&amp;"   ("&amp;COUNTIFS(#REF!,"="&amp;A153)&amp;")",A153)</f>
        <v>CMD</v>
      </c>
      <c r="F153" s="132"/>
      <c r="G153" s="133"/>
      <c r="H153" s="134"/>
      <c r="I153" s="135"/>
      <c r="J153" s="132"/>
      <c r="K153" s="133"/>
      <c r="L153" s="134"/>
      <c r="M153" s="139"/>
      <c r="N153" s="142"/>
      <c r="O153" s="119"/>
      <c r="P153" s="119"/>
      <c r="Q153" s="119"/>
      <c r="R153" s="119"/>
      <c r="S153" s="119"/>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76"/>
    </row>
    <row r="154" spans="1:114" ht="30" customHeight="1" x14ac:dyDescent="0.25">
      <c r="A154" s="7" t="s">
        <v>17</v>
      </c>
      <c r="B154" s="7" t="s">
        <v>1916</v>
      </c>
      <c r="C154" s="144" t="s">
        <v>1674</v>
      </c>
      <c r="D154" s="120">
        <f>COUNTA($E$151:$E154)</f>
        <v>4</v>
      </c>
      <c r="E154" s="155" t="str">
        <f>IFERROR(A154&amp;"   ("&amp;COUNTIFS(#REF!,"="&amp;A154)&amp;")",A154)</f>
        <v>DO</v>
      </c>
      <c r="F154" s="132"/>
      <c r="G154" s="133"/>
      <c r="H154" s="134"/>
      <c r="I154" s="135"/>
      <c r="J154" s="132"/>
      <c r="K154" s="133"/>
      <c r="L154" s="134"/>
      <c r="M154" s="139"/>
      <c r="N154" s="142"/>
      <c r="O154" s="119"/>
      <c r="P154" s="119"/>
      <c r="Q154" s="119"/>
      <c r="R154" s="119"/>
      <c r="S154" s="119"/>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76"/>
    </row>
    <row r="155" spans="1:114" ht="30" customHeight="1" x14ac:dyDescent="0.25">
      <c r="A155" s="7" t="s">
        <v>8</v>
      </c>
      <c r="B155" s="7" t="s">
        <v>1916</v>
      </c>
      <c r="C155" s="144" t="s">
        <v>1674</v>
      </c>
      <c r="D155" s="120">
        <f>COUNTA($E$151:$E155)</f>
        <v>5</v>
      </c>
      <c r="E155" s="155" t="str">
        <f>IFERROR(A155&amp;"   ("&amp;COUNTIFS(#REF!,"="&amp;A155)&amp;")",A155)</f>
        <v>DOA</v>
      </c>
      <c r="F155" s="132"/>
      <c r="G155" s="133"/>
      <c r="H155" s="134"/>
      <c r="I155" s="135"/>
      <c r="J155" s="132"/>
      <c r="K155" s="133"/>
      <c r="L155" s="134"/>
      <c r="M155" s="139"/>
      <c r="N155" s="142"/>
      <c r="O155" s="119"/>
      <c r="P155" s="119"/>
      <c r="Q155" s="119"/>
      <c r="R155" s="119"/>
      <c r="S155" s="119"/>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76"/>
    </row>
    <row r="156" spans="1:114" ht="30" customHeight="1" x14ac:dyDescent="0.25">
      <c r="A156" s="7" t="s">
        <v>12</v>
      </c>
      <c r="B156" s="7" t="s">
        <v>1916</v>
      </c>
      <c r="C156" s="144" t="s">
        <v>1674</v>
      </c>
      <c r="D156" s="120">
        <f>COUNTA($E$151:$E156)</f>
        <v>6</v>
      </c>
      <c r="E156" s="155" t="str">
        <f>IFERROR(A156&amp;"   ("&amp;COUNTIFS(#REF!,"="&amp;A156)&amp;")",A156)</f>
        <v>DOB</v>
      </c>
      <c r="F156" s="132"/>
      <c r="G156" s="133"/>
      <c r="H156" s="134"/>
      <c r="I156" s="135"/>
      <c r="J156" s="132"/>
      <c r="K156" s="133"/>
      <c r="L156" s="134"/>
      <c r="M156" s="139"/>
      <c r="N156" s="142"/>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76"/>
    </row>
    <row r="157" spans="1:114" ht="30" customHeight="1" x14ac:dyDescent="0.25">
      <c r="A157" s="7" t="s">
        <v>5</v>
      </c>
      <c r="B157" s="7" t="s">
        <v>1916</v>
      </c>
      <c r="C157" s="144" t="s">
        <v>1674</v>
      </c>
      <c r="D157" s="120">
        <f>COUNTA($E$151:$E157)</f>
        <v>7</v>
      </c>
      <c r="E157" s="155" t="str">
        <f>IFERROR(A157&amp;"   ("&amp;COUNTIFS(#REF!,"="&amp;A157)&amp;")",A157)</f>
        <v>DOC</v>
      </c>
      <c r="F157" s="132"/>
      <c r="G157" s="133"/>
      <c r="H157" s="134"/>
      <c r="I157" s="135"/>
      <c r="J157" s="132"/>
      <c r="K157" s="133"/>
      <c r="L157" s="134"/>
      <c r="M157" s="139"/>
      <c r="N157" s="142"/>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76"/>
    </row>
    <row r="158" spans="1:114" ht="30" customHeight="1" x14ac:dyDescent="0.25">
      <c r="A158" s="7" t="s">
        <v>7</v>
      </c>
      <c r="B158" s="7" t="s">
        <v>1916</v>
      </c>
      <c r="C158" s="144" t="s">
        <v>1674</v>
      </c>
      <c r="D158" s="120">
        <f>COUNTA($E$151:$E158)</f>
        <v>8</v>
      </c>
      <c r="E158" s="155" t="str">
        <f>IFERROR(A158&amp;"   ("&amp;COUNTIFS(#REF!,"="&amp;A158)&amp;")",A158)</f>
        <v>DOD</v>
      </c>
      <c r="F158" s="132"/>
      <c r="G158" s="133"/>
      <c r="H158" s="134"/>
      <c r="I158" s="135"/>
      <c r="J158" s="132"/>
      <c r="K158" s="133"/>
      <c r="L158" s="134"/>
      <c r="M158" s="139"/>
      <c r="N158" s="142"/>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76"/>
    </row>
    <row r="159" spans="1:114" ht="30" customHeight="1" x14ac:dyDescent="0.25">
      <c r="A159" s="7" t="s">
        <v>13</v>
      </c>
      <c r="B159" s="7" t="s">
        <v>1916</v>
      </c>
      <c r="C159" s="144" t="s">
        <v>1674</v>
      </c>
      <c r="D159" s="120">
        <f>COUNTA($E$151:$E159)</f>
        <v>9</v>
      </c>
      <c r="E159" s="155" t="str">
        <f>IFERROR(A159&amp;"   ("&amp;COUNTIFS(#REF!,"="&amp;A159)&amp;")",A159)</f>
        <v>DOF</v>
      </c>
      <c r="F159" s="132"/>
      <c r="G159" s="133"/>
      <c r="H159" s="134"/>
      <c r="I159" s="135"/>
      <c r="J159" s="132"/>
      <c r="K159" s="133"/>
      <c r="L159" s="134"/>
      <c r="M159" s="139"/>
      <c r="N159" s="142"/>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76"/>
    </row>
    <row r="160" spans="1:114" ht="30" customHeight="1" x14ac:dyDescent="0.25">
      <c r="A160" s="7" t="s">
        <v>14</v>
      </c>
      <c r="B160" s="7" t="s">
        <v>1916</v>
      </c>
      <c r="C160" s="144" t="s">
        <v>1674</v>
      </c>
      <c r="D160" s="120">
        <f>COUNTA($E$151:$E160)</f>
        <v>10</v>
      </c>
      <c r="E160" s="155" t="str">
        <f>IFERROR(A160&amp;"   ("&amp;COUNTIFS(#REF!,"="&amp;A160)&amp;")",A160)</f>
        <v>DOK</v>
      </c>
      <c r="F160" s="132"/>
      <c r="G160" s="133"/>
      <c r="H160" s="134"/>
      <c r="I160" s="135"/>
      <c r="J160" s="132"/>
      <c r="K160" s="133"/>
      <c r="L160" s="134"/>
      <c r="M160" s="139"/>
      <c r="N160" s="142"/>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76"/>
    </row>
    <row r="161" spans="1:114" ht="30" customHeight="1" x14ac:dyDescent="0.25">
      <c r="A161" s="7" t="s">
        <v>18</v>
      </c>
      <c r="B161" s="7" t="s">
        <v>1916</v>
      </c>
      <c r="C161" s="144" t="s">
        <v>1674</v>
      </c>
      <c r="D161" s="120">
        <f>COUNTA($E$151:$E161)</f>
        <v>11</v>
      </c>
      <c r="E161" s="155" t="str">
        <f>IFERROR(A161&amp;"   ("&amp;COUNTIFS(#REF!,"="&amp;A161)&amp;")",A161)</f>
        <v>DOM</v>
      </c>
      <c r="F161" s="132"/>
      <c r="G161" s="133"/>
      <c r="H161" s="134"/>
      <c r="I161" s="135"/>
      <c r="J161" s="132"/>
      <c r="K161" s="133"/>
      <c r="L161" s="134"/>
      <c r="M161" s="139"/>
      <c r="N161" s="142"/>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76"/>
    </row>
    <row r="162" spans="1:114" ht="30" customHeight="1" x14ac:dyDescent="0.25">
      <c r="A162" s="7" t="s">
        <v>9</v>
      </c>
      <c r="B162" s="7" t="s">
        <v>1916</v>
      </c>
      <c r="C162" s="144" t="s">
        <v>1674</v>
      </c>
      <c r="D162" s="120">
        <f>COUNTA($E$151:$E162)</f>
        <v>12</v>
      </c>
      <c r="E162" s="155" t="str">
        <f>IFERROR(A162&amp;"   ("&amp;COUNTIFS(#REF!,"="&amp;A162)&amp;")",A162)</f>
        <v>DOT</v>
      </c>
      <c r="F162" s="132"/>
      <c r="G162" s="133"/>
      <c r="H162" s="134"/>
      <c r="I162" s="135"/>
      <c r="J162" s="132"/>
      <c r="K162" s="133"/>
      <c r="L162" s="134"/>
      <c r="M162" s="139"/>
      <c r="N162" s="142"/>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76"/>
    </row>
    <row r="163" spans="1:114" ht="30" customHeight="1" x14ac:dyDescent="0.25">
      <c r="A163" s="7" t="s">
        <v>15</v>
      </c>
      <c r="B163" s="7" t="s">
        <v>1916</v>
      </c>
      <c r="C163" s="144" t="s">
        <v>1674</v>
      </c>
      <c r="D163" s="120">
        <f>COUNTA($E$151:$E163)</f>
        <v>13</v>
      </c>
      <c r="E163" s="155" t="str">
        <f>IFERROR(A163&amp;"   ("&amp;COUNTIFS(#REF!,"="&amp;A163)&amp;")",A163)</f>
        <v>DOX</v>
      </c>
      <c r="F163" s="132"/>
      <c r="G163" s="133"/>
      <c r="H163" s="134"/>
      <c r="I163" s="135"/>
      <c r="J163" s="132"/>
      <c r="K163" s="133"/>
      <c r="L163" s="134"/>
      <c r="M163" s="139"/>
      <c r="N163" s="142"/>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76"/>
    </row>
    <row r="164" spans="1:114" ht="30" customHeight="1" x14ac:dyDescent="0.25">
      <c r="A164" s="7" t="s">
        <v>10</v>
      </c>
      <c r="B164" s="7" t="s">
        <v>1916</v>
      </c>
      <c r="C164" s="144" t="s">
        <v>1674</v>
      </c>
      <c r="D164" s="120">
        <f>COUNTA($E$151:$E164)</f>
        <v>14</v>
      </c>
      <c r="E164" s="155" t="str">
        <f>IFERROR(A164&amp;"   ("&amp;COUNTIFS(#REF!,"="&amp;A164)&amp;")",A164)</f>
        <v>MS</v>
      </c>
      <c r="F164" s="132"/>
      <c r="G164" s="133"/>
      <c r="H164" s="134"/>
      <c r="I164" s="135"/>
      <c r="J164" s="132"/>
      <c r="K164" s="133"/>
      <c r="L164" s="134"/>
      <c r="M164" s="139"/>
      <c r="N164" s="142"/>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76"/>
    </row>
    <row r="165" spans="1:114" ht="30" customHeight="1" x14ac:dyDescent="0.25">
      <c r="A165" s="7" t="s">
        <v>16</v>
      </c>
      <c r="B165" s="7" t="s">
        <v>1916</v>
      </c>
      <c r="C165" s="144" t="s">
        <v>1674</v>
      </c>
      <c r="D165" s="120">
        <f>COUNTA($E$151:$E165)</f>
        <v>15</v>
      </c>
      <c r="E165" s="155" t="str">
        <f>IFERROR(A165&amp;"   ("&amp;COUNTIFS(#REF!,"="&amp;A165)&amp;")",A165)</f>
        <v>UDM</v>
      </c>
      <c r="F165" s="132"/>
      <c r="G165" s="133"/>
      <c r="H165" s="134"/>
      <c r="I165" s="135"/>
      <c r="J165" s="132"/>
      <c r="K165" s="133"/>
      <c r="L165" s="134"/>
      <c r="M165" s="139"/>
      <c r="N165" s="142"/>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76"/>
    </row>
    <row r="166" spans="1:114" ht="30" customHeight="1" x14ac:dyDescent="0.25">
      <c r="A166" s="7" t="s">
        <v>19</v>
      </c>
      <c r="B166" s="7" t="s">
        <v>1916</v>
      </c>
      <c r="C166" s="144" t="s">
        <v>1674</v>
      </c>
      <c r="D166" s="120">
        <f>COUNTA($E$151:$E166)</f>
        <v>16</v>
      </c>
      <c r="E166" s="155" t="str">
        <f>IFERROR(A166&amp;"   ("&amp;COUNTIFS(#REF!,"="&amp;A166)&amp;")",A166)</f>
        <v>UTM</v>
      </c>
      <c r="F166" s="132"/>
      <c r="G166" s="133"/>
      <c r="H166" s="134"/>
      <c r="I166" s="135"/>
      <c r="J166" s="132"/>
      <c r="K166" s="133"/>
      <c r="L166" s="134"/>
      <c r="M166" s="139"/>
      <c r="N166" s="142"/>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76"/>
    </row>
    <row r="167" spans="1:114" ht="20.100000000000001" customHeight="1" x14ac:dyDescent="0.25">
      <c r="A167" s="7" t="s">
        <v>60</v>
      </c>
      <c r="B167" s="7" t="s">
        <v>1916</v>
      </c>
      <c r="C167" s="144"/>
      <c r="D167" s="67"/>
      <c r="E167" s="8"/>
      <c r="N167" s="58"/>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7"/>
      <c r="AU167" s="7"/>
      <c r="AV167" s="7"/>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c r="BY167" s="7"/>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c r="DJ167" s="7"/>
    </row>
    <row r="168" spans="1:114" ht="20.100000000000001" customHeight="1" x14ac:dyDescent="0.25">
      <c r="A168" s="7" t="s">
        <v>60</v>
      </c>
      <c r="B168" s="7" t="s">
        <v>1637</v>
      </c>
      <c r="C168" s="144"/>
      <c r="D168" s="125" t="s">
        <v>1636</v>
      </c>
      <c r="E168" s="159"/>
      <c r="F168" s="131"/>
      <c r="G168" s="131"/>
      <c r="H168" s="131"/>
      <c r="I168" s="131"/>
      <c r="J168" s="131"/>
      <c r="K168" s="131"/>
      <c r="L168" s="131"/>
      <c r="M168" s="131"/>
      <c r="N168" s="140"/>
      <c r="O168" s="217"/>
      <c r="P168" s="217"/>
      <c r="Q168" s="217"/>
      <c r="R168" s="217"/>
      <c r="S168" s="217"/>
      <c r="T168" s="217"/>
      <c r="U168" s="217"/>
      <c r="V168" s="217"/>
      <c r="W168" s="217"/>
      <c r="X168" s="217"/>
      <c r="Y168" s="217"/>
      <c r="Z168" s="217"/>
      <c r="AA168" s="217"/>
      <c r="AB168" s="217"/>
      <c r="AC168" s="217"/>
      <c r="AD168" s="217"/>
      <c r="AE168" s="217"/>
      <c r="AF168" s="217"/>
      <c r="AG168" s="217"/>
      <c r="AH168" s="217"/>
      <c r="AI168" s="217"/>
      <c r="AJ168" s="217"/>
      <c r="AK168" s="217"/>
      <c r="AL168" s="217"/>
      <c r="AM168" s="217"/>
      <c r="AN168" s="217"/>
      <c r="AO168" s="217"/>
      <c r="AP168" s="217"/>
      <c r="AQ168" s="217"/>
      <c r="AR168" s="217"/>
      <c r="AS168" s="217"/>
      <c r="AT168" s="217"/>
      <c r="AU168" s="217"/>
      <c r="AV168" s="217"/>
      <c r="AW168" s="217"/>
      <c r="AX168" s="217"/>
      <c r="AY168" s="217"/>
      <c r="AZ168" s="217"/>
      <c r="BA168" s="217"/>
      <c r="BB168" s="217"/>
      <c r="BC168" s="217"/>
      <c r="BD168" s="217"/>
      <c r="BE168" s="217"/>
      <c r="BF168" s="217"/>
      <c r="BG168" s="217"/>
      <c r="BH168" s="217"/>
      <c r="BI168" s="217"/>
      <c r="BJ168" s="217"/>
      <c r="BK168" s="217"/>
      <c r="BL168" s="217"/>
      <c r="BM168" s="217"/>
      <c r="BN168" s="217"/>
      <c r="BO168" s="217"/>
      <c r="BP168" s="217"/>
      <c r="BQ168" s="217"/>
      <c r="BR168" s="217"/>
      <c r="BS168" s="217"/>
      <c r="BT168" s="217"/>
      <c r="BU168" s="217"/>
      <c r="BV168" s="217"/>
      <c r="BW168" s="217"/>
      <c r="BX168" s="217"/>
      <c r="BY168" s="217"/>
      <c r="BZ168" s="217"/>
      <c r="CA168" s="217"/>
      <c r="CB168" s="217"/>
      <c r="CC168" s="217"/>
      <c r="CD168" s="217"/>
      <c r="CE168" s="217"/>
      <c r="CF168" s="217"/>
      <c r="CG168" s="217"/>
      <c r="CH168" s="217"/>
      <c r="CI168" s="217"/>
      <c r="CJ168" s="217"/>
      <c r="CK168" s="217"/>
      <c r="CL168" s="217"/>
      <c r="CM168" s="217"/>
      <c r="CN168" s="217"/>
      <c r="CO168" s="217"/>
      <c r="CP168" s="217"/>
      <c r="CQ168" s="217"/>
      <c r="CR168" s="217"/>
      <c r="CS168" s="217"/>
      <c r="CT168" s="217"/>
      <c r="CU168" s="217"/>
      <c r="CV168" s="217"/>
      <c r="CW168" s="217"/>
      <c r="CX168" s="217"/>
      <c r="CY168" s="217"/>
      <c r="CZ168" s="217"/>
      <c r="DA168" s="217"/>
      <c r="DB168" s="217"/>
      <c r="DC168" s="217"/>
      <c r="DD168" s="217"/>
      <c r="DE168" s="217"/>
      <c r="DF168" s="217"/>
      <c r="DG168" s="217"/>
      <c r="DH168" s="217"/>
      <c r="DI168" s="217"/>
      <c r="DJ168" s="218"/>
    </row>
    <row r="169" spans="1:114" ht="30" customHeight="1" x14ac:dyDescent="0.25">
      <c r="A169" s="7" t="s">
        <v>4</v>
      </c>
      <c r="B169" s="7" t="s">
        <v>1637</v>
      </c>
      <c r="C169" s="144"/>
      <c r="D169" s="120"/>
      <c r="E169" s="155" t="str">
        <f>IFERROR(A169&amp;"   ("&amp;COUNTIFS(#REF!,"="&amp;A169)&amp;")",A169)</f>
        <v>11 SOIS</v>
      </c>
      <c r="F169" s="132"/>
      <c r="G169" s="133"/>
      <c r="H169" s="134"/>
      <c r="I169" s="135"/>
      <c r="J169" s="132"/>
      <c r="K169" s="133"/>
      <c r="L169" s="134"/>
      <c r="M169" s="139"/>
      <c r="N169" s="142"/>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7"/>
    </row>
    <row r="170" spans="1:114" ht="9.9499999999999993" customHeight="1" x14ac:dyDescent="0.25">
      <c r="A170" s="7" t="s">
        <v>4</v>
      </c>
      <c r="B170" s="7" t="s">
        <v>1637</v>
      </c>
      <c r="C170" s="144"/>
      <c r="D170" s="124"/>
      <c r="E170" s="158"/>
      <c r="F170" s="136"/>
      <c r="G170" s="136"/>
      <c r="H170" s="136"/>
      <c r="I170" s="136"/>
      <c r="J170" s="136"/>
      <c r="K170" s="136"/>
      <c r="L170" s="136"/>
      <c r="M170" s="136"/>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c r="BA170" s="58"/>
      <c r="BB170" s="58"/>
      <c r="BC170" s="58"/>
      <c r="BD170" s="58"/>
      <c r="BE170" s="58"/>
      <c r="BF170" s="58"/>
      <c r="BG170" s="58"/>
      <c r="BH170" s="58"/>
      <c r="BI170" s="58"/>
      <c r="BJ170" s="58"/>
      <c r="BK170" s="58"/>
      <c r="BL170" s="58"/>
      <c r="BM170" s="58"/>
      <c r="BN170" s="58"/>
      <c r="BO170" s="58"/>
      <c r="BP170" s="58"/>
      <c r="BQ170" s="58"/>
      <c r="BR170" s="58"/>
      <c r="BS170" s="58"/>
      <c r="BT170" s="58"/>
      <c r="BU170" s="58"/>
      <c r="BV170" s="58"/>
      <c r="BW170" s="58"/>
      <c r="BX170" s="58"/>
      <c r="BY170" s="58"/>
      <c r="BZ170" s="58"/>
      <c r="CA170" s="58"/>
      <c r="CB170" s="58"/>
      <c r="CC170" s="58"/>
      <c r="CD170" s="58"/>
      <c r="CE170" s="58"/>
      <c r="CF170" s="58"/>
      <c r="CG170" s="58"/>
      <c r="CH170" s="58"/>
      <c r="CI170" s="58"/>
      <c r="CJ170" s="58"/>
      <c r="CK170" s="58"/>
      <c r="CL170" s="58"/>
      <c r="CM170" s="58"/>
      <c r="CN170" s="58"/>
      <c r="CO170" s="58"/>
      <c r="CP170" s="58"/>
      <c r="CQ170" s="58"/>
      <c r="CR170" s="58"/>
      <c r="CS170" s="58"/>
      <c r="CT170" s="58"/>
      <c r="CU170" s="58"/>
      <c r="CV170" s="58"/>
      <c r="CW170" s="58"/>
      <c r="CX170" s="58"/>
      <c r="CY170" s="58"/>
      <c r="CZ170" s="58"/>
      <c r="DA170" s="58"/>
      <c r="DB170" s="58"/>
      <c r="DC170" s="58"/>
      <c r="DD170" s="58"/>
      <c r="DE170" s="58"/>
      <c r="DF170" s="58"/>
      <c r="DG170" s="58"/>
      <c r="DH170" s="58"/>
      <c r="DI170" s="58"/>
      <c r="DJ170" s="58"/>
    </row>
    <row r="171" spans="1:114" ht="30" customHeight="1" x14ac:dyDescent="0.25">
      <c r="A171" s="7" t="s">
        <v>6</v>
      </c>
      <c r="B171" s="7" t="s">
        <v>1637</v>
      </c>
      <c r="C171" s="144" t="s">
        <v>1674</v>
      </c>
      <c r="D171" s="120">
        <f>COUNTA($E$171:$E171)</f>
        <v>1</v>
      </c>
      <c r="E171" s="155" t="str">
        <f>IFERROR(A171&amp;"   ("&amp;COUNTIFS(#REF!,"="&amp;A171)&amp;")",A171)</f>
        <v>CCI</v>
      </c>
      <c r="F171" s="132"/>
      <c r="G171" s="133"/>
      <c r="H171" s="134"/>
      <c r="I171" s="135"/>
      <c r="J171" s="132"/>
      <c r="K171" s="133"/>
      <c r="L171" s="134"/>
      <c r="M171" s="139"/>
      <c r="N171" s="142"/>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7"/>
    </row>
    <row r="172" spans="1:114" ht="30" customHeight="1" x14ac:dyDescent="0.25">
      <c r="A172" s="7" t="s">
        <v>11</v>
      </c>
      <c r="B172" s="7" t="s">
        <v>1637</v>
      </c>
      <c r="C172" s="144" t="s">
        <v>1674</v>
      </c>
      <c r="D172" s="120">
        <f>COUNTA($E$171:$E172)</f>
        <v>2</v>
      </c>
      <c r="E172" s="155" t="str">
        <f>IFERROR(A172&amp;"   ("&amp;COUNTIFS(#REF!,"="&amp;A172)&amp;")",A172)</f>
        <v>CCV</v>
      </c>
      <c r="F172" s="132"/>
      <c r="G172" s="133"/>
      <c r="H172" s="134"/>
      <c r="I172" s="135"/>
      <c r="J172" s="132"/>
      <c r="K172" s="133"/>
      <c r="L172" s="134"/>
      <c r="M172" s="139"/>
      <c r="N172" s="14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c r="AX172" s="122"/>
      <c r="AY172" s="122"/>
      <c r="AZ172" s="122"/>
      <c r="BA172" s="122"/>
      <c r="BB172" s="122"/>
      <c r="BC172" s="122"/>
      <c r="BD172" s="122"/>
      <c r="BE172" s="122"/>
      <c r="BF172" s="122"/>
      <c r="BG172" s="122"/>
      <c r="BH172" s="122"/>
      <c r="BI172" s="122"/>
      <c r="BJ172" s="122"/>
      <c r="BK172" s="122"/>
      <c r="BL172" s="122"/>
      <c r="BM172" s="122"/>
      <c r="BN172" s="122"/>
      <c r="BO172" s="122"/>
      <c r="BP172" s="122"/>
      <c r="BQ172" s="122"/>
      <c r="BR172" s="122"/>
      <c r="BS172" s="122"/>
      <c r="BT172" s="122"/>
      <c r="BU172" s="122"/>
      <c r="BV172" s="122"/>
      <c r="BW172" s="122"/>
      <c r="BX172" s="122"/>
      <c r="BY172" s="122"/>
      <c r="BZ172" s="122"/>
      <c r="CA172" s="122"/>
      <c r="CB172" s="122"/>
      <c r="CC172" s="122"/>
      <c r="CD172" s="122"/>
      <c r="CE172" s="122"/>
      <c r="CF172" s="122"/>
      <c r="CG172" s="122"/>
      <c r="CH172" s="122"/>
      <c r="CI172" s="122"/>
      <c r="CJ172" s="122"/>
      <c r="CK172" s="122"/>
      <c r="CL172" s="122"/>
      <c r="CM172" s="122"/>
      <c r="CN172" s="122"/>
      <c r="CO172" s="122"/>
      <c r="CP172" s="122"/>
      <c r="CQ172" s="122"/>
      <c r="CR172" s="122"/>
      <c r="CS172" s="122"/>
      <c r="CT172" s="122"/>
      <c r="CU172" s="122"/>
      <c r="CV172" s="122"/>
      <c r="CW172" s="122"/>
      <c r="CX172" s="122"/>
      <c r="CY172" s="122"/>
      <c r="CZ172" s="122"/>
      <c r="DA172" s="122"/>
      <c r="DB172" s="122"/>
      <c r="DC172" s="122"/>
      <c r="DD172" s="122"/>
      <c r="DE172" s="122"/>
      <c r="DF172" s="122"/>
      <c r="DG172" s="122"/>
      <c r="DH172" s="122"/>
      <c r="DI172" s="122"/>
      <c r="DJ172" s="121"/>
    </row>
    <row r="173" spans="1:114" ht="30" customHeight="1" x14ac:dyDescent="0.25">
      <c r="A173" s="7" t="s">
        <v>1670</v>
      </c>
      <c r="B173" s="7" t="s">
        <v>1637</v>
      </c>
      <c r="C173" s="144" t="s">
        <v>1674</v>
      </c>
      <c r="D173" s="120">
        <f>COUNTA($E$171:$E173)</f>
        <v>3</v>
      </c>
      <c r="E173" s="155" t="str">
        <f>IFERROR(A173&amp;"   ("&amp;COUNTIFS(#REF!,"="&amp;A173)&amp;")",A173)</f>
        <v>CMD</v>
      </c>
      <c r="F173" s="132"/>
      <c r="G173" s="133"/>
      <c r="H173" s="134"/>
      <c r="I173" s="135"/>
      <c r="J173" s="132"/>
      <c r="K173" s="133"/>
      <c r="L173" s="134"/>
      <c r="M173" s="139"/>
      <c r="N173" s="142"/>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7"/>
    </row>
    <row r="174" spans="1:114" ht="30" customHeight="1" x14ac:dyDescent="0.25">
      <c r="A174" s="7" t="s">
        <v>17</v>
      </c>
      <c r="B174" s="7" t="s">
        <v>1637</v>
      </c>
      <c r="C174" s="144" t="s">
        <v>1674</v>
      </c>
      <c r="D174" s="120">
        <f>COUNTA($E$171:$E174)</f>
        <v>4</v>
      </c>
      <c r="E174" s="155" t="str">
        <f>IFERROR(A174&amp;"   ("&amp;COUNTIFS(#REF!,"="&amp;A174)&amp;")",A174)</f>
        <v>DO</v>
      </c>
      <c r="F174" s="132"/>
      <c r="G174" s="133"/>
      <c r="H174" s="134"/>
      <c r="I174" s="135"/>
      <c r="J174" s="132"/>
      <c r="K174" s="133"/>
      <c r="L174" s="134"/>
      <c r="M174" s="139"/>
      <c r="N174" s="142"/>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7"/>
    </row>
    <row r="175" spans="1:114" ht="30" customHeight="1" x14ac:dyDescent="0.25">
      <c r="A175" s="7" t="s">
        <v>8</v>
      </c>
      <c r="B175" s="7" t="s">
        <v>1637</v>
      </c>
      <c r="C175" s="144" t="s">
        <v>1674</v>
      </c>
      <c r="D175" s="120">
        <f>COUNTA($E$171:$E175)</f>
        <v>5</v>
      </c>
      <c r="E175" s="155" t="str">
        <f>IFERROR(A175&amp;"   ("&amp;COUNTIFS(#REF!,"="&amp;A175)&amp;")",A175)</f>
        <v>DOA</v>
      </c>
      <c r="F175" s="132"/>
      <c r="G175" s="133"/>
      <c r="H175" s="134"/>
      <c r="I175" s="135"/>
      <c r="J175" s="132"/>
      <c r="K175" s="133"/>
      <c r="L175" s="134"/>
      <c r="M175" s="139"/>
      <c r="N175" s="142"/>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7"/>
    </row>
    <row r="176" spans="1:114" ht="30" customHeight="1" x14ac:dyDescent="0.25">
      <c r="A176" s="7" t="s">
        <v>12</v>
      </c>
      <c r="B176" s="7" t="s">
        <v>1637</v>
      </c>
      <c r="C176" s="144" t="s">
        <v>1674</v>
      </c>
      <c r="D176" s="120">
        <f>COUNTA($E$171:$E176)</f>
        <v>6</v>
      </c>
      <c r="E176" s="155" t="str">
        <f>IFERROR(A176&amp;"   ("&amp;COUNTIFS(#REF!,"="&amp;A176)&amp;")",A176)</f>
        <v>DOB</v>
      </c>
      <c r="F176" s="132"/>
      <c r="G176" s="133"/>
      <c r="H176" s="134"/>
      <c r="I176" s="135"/>
      <c r="J176" s="132"/>
      <c r="K176" s="133"/>
      <c r="L176" s="134"/>
      <c r="M176" s="139"/>
      <c r="N176" s="142"/>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7"/>
    </row>
    <row r="177" spans="1:114" ht="30" customHeight="1" x14ac:dyDescent="0.25">
      <c r="A177" s="7" t="s">
        <v>5</v>
      </c>
      <c r="B177" s="7" t="s">
        <v>1637</v>
      </c>
      <c r="C177" s="144" t="s">
        <v>1674</v>
      </c>
      <c r="D177" s="120">
        <f>COUNTA($E$171:$E177)</f>
        <v>7</v>
      </c>
      <c r="E177" s="155" t="str">
        <f>IFERROR(A177&amp;"   ("&amp;COUNTIFS(#REF!,"="&amp;A177)&amp;")",A177)</f>
        <v>DOC</v>
      </c>
      <c r="F177" s="132"/>
      <c r="G177" s="133"/>
      <c r="H177" s="134"/>
      <c r="I177" s="135"/>
      <c r="J177" s="132"/>
      <c r="K177" s="133"/>
      <c r="L177" s="134"/>
      <c r="M177" s="139"/>
      <c r="N177" s="142"/>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7"/>
    </row>
    <row r="178" spans="1:114" ht="30" customHeight="1" x14ac:dyDescent="0.25">
      <c r="A178" s="7" t="s">
        <v>7</v>
      </c>
      <c r="B178" s="7" t="s">
        <v>1637</v>
      </c>
      <c r="C178" s="144" t="s">
        <v>1674</v>
      </c>
      <c r="D178" s="120">
        <f>COUNTA($E$171:$E178)</f>
        <v>8</v>
      </c>
      <c r="E178" s="155" t="str">
        <f>IFERROR(A178&amp;"   ("&amp;COUNTIFS(#REF!,"="&amp;A178)&amp;")",A178)</f>
        <v>DOD</v>
      </c>
      <c r="F178" s="132"/>
      <c r="G178" s="133"/>
      <c r="H178" s="134"/>
      <c r="I178" s="135"/>
      <c r="J178" s="132"/>
      <c r="K178" s="133"/>
      <c r="L178" s="134"/>
      <c r="M178" s="139"/>
      <c r="N178" s="142"/>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7"/>
    </row>
    <row r="179" spans="1:114" ht="30" customHeight="1" x14ac:dyDescent="0.25">
      <c r="A179" s="7" t="s">
        <v>13</v>
      </c>
      <c r="B179" s="7" t="s">
        <v>1637</v>
      </c>
      <c r="C179" s="144" t="s">
        <v>1674</v>
      </c>
      <c r="D179" s="120">
        <f>COUNTA($E$171:$E179)</f>
        <v>9</v>
      </c>
      <c r="E179" s="155" t="str">
        <f>IFERROR(A179&amp;"   ("&amp;COUNTIFS(#REF!,"="&amp;A179)&amp;")",A179)</f>
        <v>DOF</v>
      </c>
      <c r="F179" s="132"/>
      <c r="G179" s="133"/>
      <c r="H179" s="134"/>
      <c r="I179" s="135"/>
      <c r="J179" s="132"/>
      <c r="K179" s="133"/>
      <c r="L179" s="134"/>
      <c r="M179" s="139"/>
      <c r="N179" s="142"/>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7"/>
    </row>
    <row r="180" spans="1:114" ht="30" customHeight="1" x14ac:dyDescent="0.25">
      <c r="A180" s="7" t="s">
        <v>14</v>
      </c>
      <c r="B180" s="7" t="s">
        <v>1637</v>
      </c>
      <c r="C180" s="144" t="s">
        <v>1674</v>
      </c>
      <c r="D180" s="120">
        <f>COUNTA($E$171:$E180)</f>
        <v>10</v>
      </c>
      <c r="E180" s="155" t="str">
        <f>IFERROR(A180&amp;"   ("&amp;COUNTIFS(#REF!,"="&amp;A180)&amp;")",A180)</f>
        <v>DOK</v>
      </c>
      <c r="F180" s="132"/>
      <c r="G180" s="133"/>
      <c r="H180" s="134"/>
      <c r="I180" s="135"/>
      <c r="J180" s="132"/>
      <c r="K180" s="133"/>
      <c r="L180" s="134"/>
      <c r="M180" s="139"/>
      <c r="N180" s="142"/>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7"/>
    </row>
    <row r="181" spans="1:114" ht="30" customHeight="1" x14ac:dyDescent="0.25">
      <c r="A181" s="7" t="s">
        <v>18</v>
      </c>
      <c r="B181" s="7" t="s">
        <v>1637</v>
      </c>
      <c r="C181" s="144" t="s">
        <v>1674</v>
      </c>
      <c r="D181" s="120">
        <f>COUNTA($E$171:$E181)</f>
        <v>11</v>
      </c>
      <c r="E181" s="155" t="str">
        <f>IFERROR(A181&amp;"   ("&amp;COUNTIFS(#REF!,"="&amp;A181)&amp;")",A181)</f>
        <v>DOM</v>
      </c>
      <c r="F181" s="132"/>
      <c r="G181" s="133"/>
      <c r="H181" s="134"/>
      <c r="I181" s="135"/>
      <c r="J181" s="132"/>
      <c r="K181" s="133"/>
      <c r="L181" s="134"/>
      <c r="M181" s="139"/>
      <c r="N181" s="142"/>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7"/>
    </row>
    <row r="182" spans="1:114" ht="30" customHeight="1" x14ac:dyDescent="0.25">
      <c r="A182" s="7" t="s">
        <v>9</v>
      </c>
      <c r="B182" s="7" t="s">
        <v>1637</v>
      </c>
      <c r="C182" s="144" t="s">
        <v>1674</v>
      </c>
      <c r="D182" s="120">
        <f>COUNTA($E$171:$E182)</f>
        <v>12</v>
      </c>
      <c r="E182" s="155" t="str">
        <f>IFERROR(A182&amp;"   ("&amp;COUNTIFS(#REF!,"="&amp;A182)&amp;")",A182)</f>
        <v>DOT</v>
      </c>
      <c r="F182" s="132"/>
      <c r="G182" s="133"/>
      <c r="H182" s="134"/>
      <c r="I182" s="135"/>
      <c r="J182" s="132"/>
      <c r="K182" s="133"/>
      <c r="L182" s="134"/>
      <c r="M182" s="139"/>
      <c r="N182" s="142"/>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7"/>
    </row>
    <row r="183" spans="1:114" ht="30" customHeight="1" x14ac:dyDescent="0.25">
      <c r="A183" s="7" t="s">
        <v>15</v>
      </c>
      <c r="B183" s="7" t="s">
        <v>1637</v>
      </c>
      <c r="C183" s="144" t="s">
        <v>1674</v>
      </c>
      <c r="D183" s="120">
        <f>COUNTA($E$171:$E183)</f>
        <v>13</v>
      </c>
      <c r="E183" s="155" t="str">
        <f>IFERROR(A183&amp;"   ("&amp;COUNTIFS(#REF!,"="&amp;A183)&amp;")",A183)</f>
        <v>DOX</v>
      </c>
      <c r="F183" s="132"/>
      <c r="G183" s="133"/>
      <c r="H183" s="134"/>
      <c r="I183" s="135"/>
      <c r="J183" s="132"/>
      <c r="K183" s="133"/>
      <c r="L183" s="134"/>
      <c r="M183" s="139"/>
      <c r="N183" s="142"/>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7"/>
    </row>
    <row r="184" spans="1:114" ht="30" customHeight="1" x14ac:dyDescent="0.25">
      <c r="A184" s="7" t="s">
        <v>10</v>
      </c>
      <c r="B184" s="7" t="s">
        <v>1637</v>
      </c>
      <c r="C184" s="144" t="s">
        <v>1674</v>
      </c>
      <c r="D184" s="120">
        <f>COUNTA($E$171:$E184)</f>
        <v>14</v>
      </c>
      <c r="E184" s="155" t="str">
        <f>IFERROR(A184&amp;"   ("&amp;COUNTIFS(#REF!,"="&amp;A184)&amp;")",A184)</f>
        <v>MS</v>
      </c>
      <c r="F184" s="132"/>
      <c r="G184" s="133"/>
      <c r="H184" s="134"/>
      <c r="I184" s="135"/>
      <c r="J184" s="132"/>
      <c r="K184" s="133"/>
      <c r="L184" s="134"/>
      <c r="M184" s="139"/>
      <c r="N184" s="142"/>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7"/>
    </row>
    <row r="185" spans="1:114" ht="30" customHeight="1" x14ac:dyDescent="0.25">
      <c r="A185" s="7" t="s">
        <v>16</v>
      </c>
      <c r="B185" s="7" t="s">
        <v>1637</v>
      </c>
      <c r="C185" s="144" t="s">
        <v>1674</v>
      </c>
      <c r="D185" s="120">
        <f>COUNTA($E$171:$E185)</f>
        <v>15</v>
      </c>
      <c r="E185" s="155" t="str">
        <f>IFERROR(A185&amp;"   ("&amp;COUNTIFS(#REF!,"="&amp;A185)&amp;")",A185)</f>
        <v>UDM</v>
      </c>
      <c r="F185" s="132"/>
      <c r="G185" s="133"/>
      <c r="H185" s="134"/>
      <c r="I185" s="135"/>
      <c r="J185" s="132"/>
      <c r="K185" s="133"/>
      <c r="L185" s="134"/>
      <c r="M185" s="139"/>
      <c r="N185" s="142"/>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7"/>
    </row>
    <row r="186" spans="1:114" ht="30" customHeight="1" x14ac:dyDescent="0.25">
      <c r="A186" s="7" t="s">
        <v>19</v>
      </c>
      <c r="B186" s="7" t="s">
        <v>1637</v>
      </c>
      <c r="C186" s="144" t="s">
        <v>1674</v>
      </c>
      <c r="D186" s="120">
        <f>COUNTA($E$171:$E186)</f>
        <v>16</v>
      </c>
      <c r="E186" s="155" t="str">
        <f>IFERROR(A186&amp;"   ("&amp;COUNTIFS(#REF!,"="&amp;A186)&amp;")",A186)</f>
        <v>UTM</v>
      </c>
      <c r="F186" s="132"/>
      <c r="G186" s="133"/>
      <c r="H186" s="134"/>
      <c r="I186" s="135"/>
      <c r="J186" s="132"/>
      <c r="K186" s="133"/>
      <c r="L186" s="134"/>
      <c r="M186" s="139"/>
      <c r="N186" s="142"/>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7"/>
    </row>
    <row r="187" spans="1:114" ht="20.100000000000001" customHeight="1" x14ac:dyDescent="0.25">
      <c r="A187" s="7" t="s">
        <v>60</v>
      </c>
      <c r="B187" s="7" t="s">
        <v>1637</v>
      </c>
      <c r="C187" s="144"/>
      <c r="D187" s="67"/>
      <c r="E187" s="8"/>
      <c r="N187" s="58"/>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c r="BS187" s="7"/>
      <c r="BT187" s="7"/>
      <c r="BU187" s="7"/>
      <c r="BV187" s="7"/>
      <c r="BW187" s="7"/>
      <c r="BX187" s="7"/>
      <c r="BY187" s="7"/>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c r="DA187" s="7"/>
      <c r="DB187" s="7"/>
      <c r="DC187" s="7"/>
      <c r="DD187" s="7"/>
      <c r="DE187" s="7"/>
      <c r="DF187" s="7"/>
      <c r="DG187" s="7"/>
      <c r="DH187" s="7"/>
      <c r="DI187" s="7"/>
      <c r="DJ187" s="7"/>
    </row>
    <row r="188" spans="1:114" ht="20.100000000000001" customHeight="1" x14ac:dyDescent="0.25">
      <c r="A188" s="7" t="s">
        <v>60</v>
      </c>
      <c r="B188" s="7" t="s">
        <v>42</v>
      </c>
      <c r="C188" s="144"/>
      <c r="D188" s="125" t="s">
        <v>1744</v>
      </c>
      <c r="E188" s="157"/>
      <c r="F188" s="131"/>
      <c r="G188" s="131"/>
      <c r="H188" s="131"/>
      <c r="I188" s="131"/>
      <c r="J188" s="131"/>
      <c r="K188" s="131"/>
      <c r="L188" s="131"/>
      <c r="M188" s="131"/>
      <c r="N188" s="123"/>
      <c r="O188" s="217"/>
      <c r="P188" s="217"/>
      <c r="Q188" s="217"/>
      <c r="R188" s="217"/>
      <c r="S188" s="217"/>
      <c r="T188" s="217"/>
      <c r="U188" s="217"/>
      <c r="V188" s="217"/>
      <c r="W188" s="217"/>
      <c r="X188" s="217"/>
      <c r="Y188" s="217"/>
      <c r="Z188" s="217"/>
      <c r="AA188" s="217"/>
      <c r="AB188" s="217"/>
      <c r="AC188" s="217"/>
      <c r="AD188" s="217"/>
      <c r="AE188" s="217"/>
      <c r="AF188" s="217"/>
      <c r="AG188" s="217"/>
      <c r="AH188" s="217"/>
      <c r="AI188" s="217"/>
      <c r="AJ188" s="217"/>
      <c r="AK188" s="217"/>
      <c r="AL188" s="217"/>
      <c r="AM188" s="217"/>
      <c r="AN188" s="217"/>
      <c r="AO188" s="217"/>
      <c r="AP188" s="217"/>
      <c r="AQ188" s="217"/>
      <c r="AR188" s="217"/>
      <c r="AS188" s="217"/>
      <c r="AT188" s="217"/>
      <c r="AU188" s="217"/>
      <c r="AV188" s="217"/>
      <c r="AW188" s="217"/>
      <c r="AX188" s="217"/>
      <c r="AY188" s="217"/>
      <c r="AZ188" s="217"/>
      <c r="BA188" s="217"/>
      <c r="BB188" s="217"/>
      <c r="BC188" s="217"/>
      <c r="BD188" s="217"/>
      <c r="BE188" s="217"/>
      <c r="BF188" s="217"/>
      <c r="BG188" s="217"/>
      <c r="BH188" s="217"/>
      <c r="BI188" s="217"/>
      <c r="BJ188" s="217"/>
      <c r="BK188" s="217"/>
      <c r="BL188" s="217"/>
      <c r="BM188" s="217"/>
      <c r="BN188" s="217"/>
      <c r="BO188" s="217"/>
      <c r="BP188" s="217"/>
      <c r="BQ188" s="217"/>
      <c r="BR188" s="217"/>
      <c r="BS188" s="217"/>
      <c r="BT188" s="217"/>
      <c r="BU188" s="217"/>
      <c r="BV188" s="217"/>
      <c r="BW188" s="217"/>
      <c r="BX188" s="217"/>
      <c r="BY188" s="217"/>
      <c r="BZ188" s="217"/>
      <c r="CA188" s="217"/>
      <c r="CB188" s="217"/>
      <c r="CC188" s="217"/>
      <c r="CD188" s="217"/>
      <c r="CE188" s="217"/>
      <c r="CF188" s="217"/>
      <c r="CG188" s="217"/>
      <c r="CH188" s="217"/>
      <c r="CI188" s="217"/>
      <c r="CJ188" s="217"/>
      <c r="CK188" s="217"/>
      <c r="CL188" s="217"/>
      <c r="CM188" s="217"/>
      <c r="CN188" s="217"/>
      <c r="CO188" s="217"/>
      <c r="CP188" s="217"/>
      <c r="CQ188" s="217"/>
      <c r="CR188" s="217"/>
      <c r="CS188" s="217"/>
      <c r="CT188" s="217"/>
      <c r="CU188" s="217"/>
      <c r="CV188" s="217"/>
      <c r="CW188" s="217"/>
      <c r="CX188" s="217"/>
      <c r="CY188" s="217"/>
      <c r="CZ188" s="217"/>
      <c r="DA188" s="217"/>
      <c r="DB188" s="217"/>
      <c r="DC188" s="217"/>
      <c r="DD188" s="217"/>
      <c r="DE188" s="217"/>
      <c r="DF188" s="217"/>
      <c r="DG188" s="217"/>
      <c r="DH188" s="217"/>
      <c r="DI188" s="217"/>
      <c r="DJ188" s="218"/>
    </row>
    <row r="189" spans="1:114" ht="30" customHeight="1" x14ac:dyDescent="0.25">
      <c r="A189" s="7" t="s">
        <v>4</v>
      </c>
      <c r="B189" s="7" t="s">
        <v>42</v>
      </c>
      <c r="C189" s="144"/>
      <c r="D189" s="162"/>
      <c r="E189" s="163" t="str">
        <f>IFERROR(A189&amp;"   ("&amp;COUNTIFS(#REF!,"="&amp;A189)&amp;")",A189)</f>
        <v>11 SOIS</v>
      </c>
      <c r="F189" s="164"/>
      <c r="G189" s="165"/>
      <c r="H189" s="166"/>
      <c r="I189" s="167"/>
      <c r="J189" s="164"/>
      <c r="K189" s="165"/>
      <c r="L189" s="166"/>
      <c r="M189" s="167"/>
      <c r="N189" s="161"/>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c r="AX189" s="122"/>
      <c r="AY189" s="122"/>
      <c r="AZ189" s="122"/>
      <c r="BA189" s="122"/>
      <c r="BB189" s="122"/>
      <c r="BC189" s="122"/>
      <c r="BD189" s="122"/>
      <c r="BE189" s="122"/>
      <c r="BF189" s="122"/>
      <c r="BG189" s="122"/>
      <c r="BH189" s="122"/>
      <c r="BI189" s="122"/>
      <c r="BJ189" s="122"/>
      <c r="BK189" s="122"/>
      <c r="BL189" s="122"/>
      <c r="BM189" s="122"/>
      <c r="BN189" s="122"/>
      <c r="BO189" s="122"/>
      <c r="BP189" s="122"/>
      <c r="BQ189" s="122"/>
      <c r="BR189" s="122"/>
      <c r="BS189" s="122"/>
      <c r="BT189" s="122"/>
      <c r="BU189" s="122"/>
      <c r="BV189" s="122"/>
      <c r="BW189" s="122"/>
      <c r="BX189" s="122"/>
      <c r="BY189" s="122"/>
      <c r="BZ189" s="122"/>
      <c r="CA189" s="122"/>
      <c r="CB189" s="122"/>
      <c r="CC189" s="122"/>
      <c r="CD189" s="122"/>
      <c r="CE189" s="122"/>
      <c r="CF189" s="122"/>
      <c r="CG189" s="122"/>
      <c r="CH189" s="122"/>
      <c r="CI189" s="122"/>
      <c r="CJ189" s="122"/>
      <c r="CK189" s="122"/>
      <c r="CL189" s="122"/>
      <c r="CM189" s="122"/>
      <c r="CN189" s="122"/>
      <c r="CO189" s="122"/>
      <c r="CP189" s="122"/>
      <c r="CQ189" s="122"/>
      <c r="CR189" s="122"/>
      <c r="CS189" s="122"/>
      <c r="CT189" s="122"/>
      <c r="CU189" s="122"/>
      <c r="CV189" s="122"/>
      <c r="CW189" s="122"/>
      <c r="CX189" s="122"/>
      <c r="CY189" s="122"/>
      <c r="CZ189" s="122"/>
      <c r="DA189" s="122"/>
      <c r="DB189" s="122"/>
      <c r="DC189" s="122"/>
      <c r="DD189" s="122"/>
      <c r="DE189" s="122"/>
      <c r="DF189" s="122"/>
      <c r="DG189" s="122"/>
      <c r="DH189" s="122"/>
      <c r="DI189" s="122"/>
      <c r="DJ189" s="121"/>
    </row>
    <row r="190" spans="1:114" ht="9.9499999999999993" customHeight="1" x14ac:dyDescent="0.25">
      <c r="A190" s="7" t="s">
        <v>4</v>
      </c>
      <c r="B190" s="7" t="s">
        <v>42</v>
      </c>
      <c r="C190" s="144"/>
      <c r="D190" s="124"/>
      <c r="E190" s="158"/>
      <c r="F190" s="136"/>
      <c r="G190" s="136"/>
      <c r="H190" s="136"/>
      <c r="I190" s="136"/>
      <c r="J190" s="136"/>
      <c r="K190" s="136"/>
      <c r="L190" s="136"/>
      <c r="M190" s="136"/>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c r="BA190" s="58"/>
      <c r="BB190" s="58"/>
      <c r="BC190" s="58"/>
      <c r="BD190" s="58"/>
      <c r="BE190" s="58"/>
      <c r="BF190" s="58"/>
      <c r="BG190" s="58"/>
      <c r="BH190" s="58"/>
      <c r="BI190" s="58"/>
      <c r="BJ190" s="58"/>
      <c r="BK190" s="58"/>
      <c r="BL190" s="58"/>
      <c r="BM190" s="58"/>
      <c r="BN190" s="58"/>
      <c r="BO190" s="58"/>
      <c r="BP190" s="58"/>
      <c r="BQ190" s="58"/>
      <c r="BR190" s="58"/>
      <c r="BS190" s="58"/>
      <c r="BT190" s="58"/>
      <c r="BU190" s="58"/>
      <c r="BV190" s="58"/>
      <c r="BW190" s="58"/>
      <c r="BX190" s="58"/>
      <c r="BY190" s="58"/>
      <c r="BZ190" s="58"/>
      <c r="CA190" s="58"/>
      <c r="CB190" s="58"/>
      <c r="CC190" s="58"/>
      <c r="CD190" s="58"/>
      <c r="CE190" s="58"/>
      <c r="CF190" s="58"/>
      <c r="CG190" s="58"/>
      <c r="CH190" s="58"/>
      <c r="CI190" s="58"/>
      <c r="CJ190" s="58"/>
      <c r="CK190" s="58"/>
      <c r="CL190" s="58"/>
      <c r="CM190" s="58"/>
      <c r="CN190" s="58"/>
      <c r="CO190" s="58"/>
      <c r="CP190" s="58"/>
      <c r="CQ190" s="58"/>
      <c r="CR190" s="58"/>
      <c r="CS190" s="58"/>
      <c r="CT190" s="58"/>
      <c r="CU190" s="58"/>
      <c r="CV190" s="58"/>
      <c r="CW190" s="58"/>
      <c r="CX190" s="58"/>
      <c r="CY190" s="58"/>
      <c r="CZ190" s="58"/>
      <c r="DA190" s="58"/>
      <c r="DB190" s="58"/>
      <c r="DC190" s="58"/>
      <c r="DD190" s="58"/>
      <c r="DE190" s="58"/>
      <c r="DF190" s="58"/>
      <c r="DG190" s="58"/>
      <c r="DH190" s="58"/>
      <c r="DI190" s="58"/>
      <c r="DJ190" s="58"/>
    </row>
    <row r="191" spans="1:114" ht="30" customHeight="1" x14ac:dyDescent="0.25">
      <c r="A191" s="7" t="s">
        <v>6</v>
      </c>
      <c r="B191" s="7" t="s">
        <v>42</v>
      </c>
      <c r="C191" s="144" t="s">
        <v>1674</v>
      </c>
      <c r="D191" s="120">
        <f>COUNTA($E$191:$E191)</f>
        <v>1</v>
      </c>
      <c r="E191" s="155" t="str">
        <f>IFERROR(A191&amp;"   ("&amp;COUNTIFS(#REF!,"="&amp;A191)&amp;")",A191)</f>
        <v>CCI</v>
      </c>
      <c r="F191" s="132"/>
      <c r="G191" s="133"/>
      <c r="H191" s="134"/>
      <c r="I191" s="135"/>
      <c r="J191" s="132"/>
      <c r="K191" s="133"/>
      <c r="L191" s="134"/>
      <c r="M191" s="139"/>
      <c r="N191" s="142"/>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7"/>
    </row>
    <row r="192" spans="1:114" ht="30" customHeight="1" x14ac:dyDescent="0.25">
      <c r="A192" s="7" t="s">
        <v>11</v>
      </c>
      <c r="B192" s="7" t="s">
        <v>42</v>
      </c>
      <c r="C192" s="144" t="s">
        <v>1674</v>
      </c>
      <c r="D192" s="120">
        <f>COUNTA($E$191:$E192)</f>
        <v>2</v>
      </c>
      <c r="E192" s="155" t="str">
        <f>IFERROR(A192&amp;"   ("&amp;COUNTIFS(#REF!,"="&amp;A192)&amp;")",A192)</f>
        <v>CCV</v>
      </c>
      <c r="F192" s="132"/>
      <c r="G192" s="133"/>
      <c r="H192" s="134"/>
      <c r="I192" s="135"/>
      <c r="J192" s="132"/>
      <c r="K192" s="133"/>
      <c r="L192" s="134"/>
      <c r="M192" s="139"/>
      <c r="N192" s="14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c r="AX192" s="122"/>
      <c r="AY192" s="122"/>
      <c r="AZ192" s="122"/>
      <c r="BA192" s="122"/>
      <c r="BB192" s="122"/>
      <c r="BC192" s="122"/>
      <c r="BD192" s="122"/>
      <c r="BE192" s="122"/>
      <c r="BF192" s="122"/>
      <c r="BG192" s="122"/>
      <c r="BH192" s="122"/>
      <c r="BI192" s="122"/>
      <c r="BJ192" s="122"/>
      <c r="BK192" s="122"/>
      <c r="BL192" s="122"/>
      <c r="BM192" s="122"/>
      <c r="BN192" s="122"/>
      <c r="BO192" s="122"/>
      <c r="BP192" s="122"/>
      <c r="BQ192" s="122"/>
      <c r="BR192" s="122"/>
      <c r="BS192" s="122"/>
      <c r="BT192" s="122"/>
      <c r="BU192" s="122"/>
      <c r="BV192" s="122"/>
      <c r="BW192" s="122"/>
      <c r="BX192" s="122"/>
      <c r="BY192" s="122"/>
      <c r="BZ192" s="122"/>
      <c r="CA192" s="122"/>
      <c r="CB192" s="122"/>
      <c r="CC192" s="122"/>
      <c r="CD192" s="122"/>
      <c r="CE192" s="122"/>
      <c r="CF192" s="122"/>
      <c r="CG192" s="122"/>
      <c r="CH192" s="122"/>
      <c r="CI192" s="122"/>
      <c r="CJ192" s="122"/>
      <c r="CK192" s="122"/>
      <c r="CL192" s="122"/>
      <c r="CM192" s="122"/>
      <c r="CN192" s="122"/>
      <c r="CO192" s="122"/>
      <c r="CP192" s="122"/>
      <c r="CQ192" s="122"/>
      <c r="CR192" s="122"/>
      <c r="CS192" s="122"/>
      <c r="CT192" s="122"/>
      <c r="CU192" s="122"/>
      <c r="CV192" s="122"/>
      <c r="CW192" s="122"/>
      <c r="CX192" s="122"/>
      <c r="CY192" s="122"/>
      <c r="CZ192" s="122"/>
      <c r="DA192" s="122"/>
      <c r="DB192" s="122"/>
      <c r="DC192" s="122"/>
      <c r="DD192" s="122"/>
      <c r="DE192" s="122"/>
      <c r="DF192" s="122"/>
      <c r="DG192" s="122"/>
      <c r="DH192" s="122"/>
      <c r="DI192" s="122"/>
      <c r="DJ192" s="121"/>
    </row>
    <row r="193" spans="1:114" ht="30" customHeight="1" x14ac:dyDescent="0.25">
      <c r="A193" s="7" t="s">
        <v>1670</v>
      </c>
      <c r="B193" s="7" t="s">
        <v>42</v>
      </c>
      <c r="C193" s="144" t="s">
        <v>1674</v>
      </c>
      <c r="D193" s="120">
        <f>COUNTA($E$191:$E193)</f>
        <v>3</v>
      </c>
      <c r="E193" s="155" t="str">
        <f>IFERROR(A193&amp;"   ("&amp;COUNTIFS(#REF!,"="&amp;A193)&amp;")",A193)</f>
        <v>CMD</v>
      </c>
      <c r="F193" s="132"/>
      <c r="G193" s="133"/>
      <c r="H193" s="134"/>
      <c r="I193" s="135"/>
      <c r="J193" s="132"/>
      <c r="K193" s="133"/>
      <c r="L193" s="134"/>
      <c r="M193" s="139"/>
      <c r="N193" s="142"/>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7"/>
    </row>
    <row r="194" spans="1:114" ht="30" customHeight="1" x14ac:dyDescent="0.25">
      <c r="A194" s="7" t="s">
        <v>17</v>
      </c>
      <c r="B194" s="7" t="s">
        <v>42</v>
      </c>
      <c r="C194" s="144" t="s">
        <v>1674</v>
      </c>
      <c r="D194" s="120">
        <f>COUNTA($E$191:$E194)</f>
        <v>4</v>
      </c>
      <c r="E194" s="155" t="str">
        <f>IFERROR(A194&amp;"   ("&amp;COUNTIFS(#REF!,"="&amp;A194)&amp;")",A194)</f>
        <v>DO</v>
      </c>
      <c r="F194" s="132"/>
      <c r="G194" s="133"/>
      <c r="H194" s="134"/>
      <c r="I194" s="135"/>
      <c r="J194" s="132"/>
      <c r="K194" s="133"/>
      <c r="L194" s="134"/>
      <c r="M194" s="139"/>
      <c r="N194" s="142"/>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7"/>
    </row>
    <row r="195" spans="1:114" ht="30" customHeight="1" x14ac:dyDescent="0.25">
      <c r="A195" s="7" t="s">
        <v>8</v>
      </c>
      <c r="B195" s="7" t="s">
        <v>42</v>
      </c>
      <c r="C195" s="144" t="s">
        <v>1674</v>
      </c>
      <c r="D195" s="120">
        <f>COUNTA($E$191:$E195)</f>
        <v>5</v>
      </c>
      <c r="E195" s="155" t="str">
        <f>IFERROR(A195&amp;"   ("&amp;COUNTIFS(#REF!,"="&amp;A195)&amp;")",A195)</f>
        <v>DOA</v>
      </c>
      <c r="F195" s="132"/>
      <c r="G195" s="133"/>
      <c r="H195" s="134"/>
      <c r="I195" s="135"/>
      <c r="J195" s="132"/>
      <c r="K195" s="133"/>
      <c r="L195" s="134"/>
      <c r="M195" s="139"/>
      <c r="N195" s="142"/>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119"/>
      <c r="AT195" s="119"/>
      <c r="AU195" s="119"/>
      <c r="AV195" s="119"/>
      <c r="AW195" s="119"/>
      <c r="AX195" s="119"/>
      <c r="AY195" s="119"/>
      <c r="AZ195" s="119"/>
      <c r="BA195" s="119"/>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c r="CB195" s="119"/>
      <c r="CC195" s="119"/>
      <c r="CD195" s="119"/>
      <c r="CE195" s="119"/>
      <c r="CF195" s="119"/>
      <c r="CG195" s="119"/>
      <c r="CH195" s="119"/>
      <c r="CI195" s="119"/>
      <c r="CJ195" s="119"/>
      <c r="CK195" s="119"/>
      <c r="CL195" s="119"/>
      <c r="CM195" s="119"/>
      <c r="CN195" s="119"/>
      <c r="CO195" s="119"/>
      <c r="CP195" s="119"/>
      <c r="CQ195" s="119"/>
      <c r="CR195" s="119"/>
      <c r="CS195" s="119"/>
      <c r="CT195" s="119"/>
      <c r="CU195" s="119"/>
      <c r="CV195" s="119"/>
      <c r="CW195" s="119"/>
      <c r="CX195" s="119"/>
      <c r="CY195" s="119"/>
      <c r="CZ195" s="119"/>
      <c r="DA195" s="119"/>
      <c r="DB195" s="119"/>
      <c r="DC195" s="119"/>
      <c r="DD195" s="119"/>
      <c r="DE195" s="119"/>
      <c r="DF195" s="119"/>
      <c r="DG195" s="119"/>
      <c r="DH195" s="119"/>
      <c r="DI195" s="119"/>
      <c r="DJ195" s="117"/>
    </row>
    <row r="196" spans="1:114" ht="30" customHeight="1" x14ac:dyDescent="0.25">
      <c r="A196" s="7" t="s">
        <v>12</v>
      </c>
      <c r="B196" s="7" t="s">
        <v>42</v>
      </c>
      <c r="C196" s="144" t="s">
        <v>1674</v>
      </c>
      <c r="D196" s="120">
        <f>COUNTA($E$191:$E196)</f>
        <v>6</v>
      </c>
      <c r="E196" s="155" t="str">
        <f>IFERROR(A196&amp;"   ("&amp;COUNTIFS(#REF!,"="&amp;A196)&amp;")",A196)</f>
        <v>DOB</v>
      </c>
      <c r="F196" s="132"/>
      <c r="G196" s="133"/>
      <c r="H196" s="134"/>
      <c r="I196" s="135"/>
      <c r="J196" s="132"/>
      <c r="K196" s="133"/>
      <c r="L196" s="134"/>
      <c r="M196" s="139"/>
      <c r="N196" s="142"/>
      <c r="O196" s="119"/>
      <c r="P196" s="119"/>
      <c r="Q196" s="119"/>
      <c r="R196" s="119"/>
      <c r="S196" s="119"/>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119"/>
      <c r="AT196" s="119"/>
      <c r="AU196" s="119"/>
      <c r="AV196" s="119"/>
      <c r="AW196" s="119"/>
      <c r="AX196" s="119"/>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17"/>
    </row>
    <row r="197" spans="1:114" ht="30" customHeight="1" x14ac:dyDescent="0.25">
      <c r="A197" s="7" t="s">
        <v>5</v>
      </c>
      <c r="B197" s="7" t="s">
        <v>42</v>
      </c>
      <c r="C197" s="144" t="s">
        <v>1674</v>
      </c>
      <c r="D197" s="120">
        <f>COUNTA($E$191:$E197)</f>
        <v>7</v>
      </c>
      <c r="E197" s="155" t="str">
        <f>IFERROR(A197&amp;"   ("&amp;COUNTIFS(#REF!,"="&amp;A197)&amp;")",A197)</f>
        <v>DOC</v>
      </c>
      <c r="F197" s="132"/>
      <c r="G197" s="133"/>
      <c r="H197" s="134"/>
      <c r="I197" s="135"/>
      <c r="J197" s="132"/>
      <c r="K197" s="133"/>
      <c r="L197" s="134"/>
      <c r="M197" s="139"/>
      <c r="N197" s="142"/>
      <c r="O197" s="119"/>
      <c r="P197" s="119"/>
      <c r="Q197" s="119"/>
      <c r="R197" s="119"/>
      <c r="S197" s="119"/>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119"/>
      <c r="AT197" s="119"/>
      <c r="AU197" s="119"/>
      <c r="AV197" s="119"/>
      <c r="AW197" s="119"/>
      <c r="AX197" s="119"/>
      <c r="AY197" s="119"/>
      <c r="AZ197" s="119"/>
      <c r="BA197" s="119"/>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c r="CB197" s="119"/>
      <c r="CC197" s="119"/>
      <c r="CD197" s="119"/>
      <c r="CE197" s="119"/>
      <c r="CF197" s="119"/>
      <c r="CG197" s="119"/>
      <c r="CH197" s="119"/>
      <c r="CI197" s="119"/>
      <c r="CJ197" s="119"/>
      <c r="CK197" s="119"/>
      <c r="CL197" s="119"/>
      <c r="CM197" s="119"/>
      <c r="CN197" s="119"/>
      <c r="CO197" s="119"/>
      <c r="CP197" s="119"/>
      <c r="CQ197" s="119"/>
      <c r="CR197" s="119"/>
      <c r="CS197" s="119"/>
      <c r="CT197" s="119"/>
      <c r="CU197" s="119"/>
      <c r="CV197" s="119"/>
      <c r="CW197" s="119"/>
      <c r="CX197" s="119"/>
      <c r="CY197" s="119"/>
      <c r="CZ197" s="119"/>
      <c r="DA197" s="119"/>
      <c r="DB197" s="119"/>
      <c r="DC197" s="119"/>
      <c r="DD197" s="119"/>
      <c r="DE197" s="119"/>
      <c r="DF197" s="119"/>
      <c r="DG197" s="119"/>
      <c r="DH197" s="119"/>
      <c r="DI197" s="119"/>
      <c r="DJ197" s="117"/>
    </row>
    <row r="198" spans="1:114" ht="30" customHeight="1" x14ac:dyDescent="0.25">
      <c r="A198" s="7" t="s">
        <v>7</v>
      </c>
      <c r="B198" s="7" t="s">
        <v>42</v>
      </c>
      <c r="C198" s="144" t="s">
        <v>1674</v>
      </c>
      <c r="D198" s="120">
        <f>COUNTA($E$191:$E198)</f>
        <v>8</v>
      </c>
      <c r="E198" s="155" t="str">
        <f>IFERROR(A198&amp;"   ("&amp;COUNTIFS(#REF!,"="&amp;A198)&amp;")",A198)</f>
        <v>DOD</v>
      </c>
      <c r="F198" s="132"/>
      <c r="G198" s="133"/>
      <c r="H198" s="134"/>
      <c r="I198" s="135"/>
      <c r="J198" s="132"/>
      <c r="K198" s="133"/>
      <c r="L198" s="134"/>
      <c r="M198" s="139"/>
      <c r="N198" s="142"/>
      <c r="O198" s="119"/>
      <c r="P198" s="119"/>
      <c r="Q198" s="119"/>
      <c r="R198" s="119"/>
      <c r="S198" s="119"/>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119"/>
      <c r="AT198" s="119"/>
      <c r="AU198" s="119"/>
      <c r="AV198" s="119"/>
      <c r="AW198" s="119"/>
      <c r="AX198" s="119"/>
      <c r="AY198" s="119"/>
      <c r="AZ198" s="119"/>
      <c r="BA198" s="119"/>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c r="CB198" s="119"/>
      <c r="CC198" s="119"/>
      <c r="CD198" s="119"/>
      <c r="CE198" s="119"/>
      <c r="CF198" s="119"/>
      <c r="CG198" s="119"/>
      <c r="CH198" s="119"/>
      <c r="CI198" s="119"/>
      <c r="CJ198" s="119"/>
      <c r="CK198" s="119"/>
      <c r="CL198" s="119"/>
      <c r="CM198" s="119"/>
      <c r="CN198" s="119"/>
      <c r="CO198" s="119"/>
      <c r="CP198" s="119"/>
      <c r="CQ198" s="119"/>
      <c r="CR198" s="119"/>
      <c r="CS198" s="119"/>
      <c r="CT198" s="119"/>
      <c r="CU198" s="119"/>
      <c r="CV198" s="119"/>
      <c r="CW198" s="119"/>
      <c r="CX198" s="119"/>
      <c r="CY198" s="119"/>
      <c r="CZ198" s="119"/>
      <c r="DA198" s="119"/>
      <c r="DB198" s="119"/>
      <c r="DC198" s="119"/>
      <c r="DD198" s="119"/>
      <c r="DE198" s="119"/>
      <c r="DF198" s="119"/>
      <c r="DG198" s="119"/>
      <c r="DH198" s="119"/>
      <c r="DI198" s="119"/>
      <c r="DJ198" s="117"/>
    </row>
    <row r="199" spans="1:114" ht="30" customHeight="1" x14ac:dyDescent="0.25">
      <c r="A199" s="7" t="s">
        <v>13</v>
      </c>
      <c r="B199" s="7" t="s">
        <v>42</v>
      </c>
      <c r="C199" s="144" t="s">
        <v>1674</v>
      </c>
      <c r="D199" s="120">
        <f>COUNTA($E$191:$E199)</f>
        <v>9</v>
      </c>
      <c r="E199" s="155" t="str">
        <f>IFERROR(A199&amp;"   ("&amp;COUNTIFS(#REF!,"="&amp;A199)&amp;")",A199)</f>
        <v>DOF</v>
      </c>
      <c r="F199" s="132"/>
      <c r="G199" s="133"/>
      <c r="H199" s="134"/>
      <c r="I199" s="135"/>
      <c r="J199" s="132"/>
      <c r="K199" s="133"/>
      <c r="L199" s="134"/>
      <c r="M199" s="139"/>
      <c r="N199" s="142"/>
      <c r="O199" s="119"/>
      <c r="P199" s="119"/>
      <c r="Q199" s="119"/>
      <c r="R199" s="119"/>
      <c r="S199" s="119"/>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119"/>
      <c r="AT199" s="119"/>
      <c r="AU199" s="119"/>
      <c r="AV199" s="119"/>
      <c r="AW199" s="119"/>
      <c r="AX199" s="119"/>
      <c r="AY199" s="119"/>
      <c r="AZ199" s="119"/>
      <c r="BA199" s="119"/>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c r="CB199" s="119"/>
      <c r="CC199" s="119"/>
      <c r="CD199" s="119"/>
      <c r="CE199" s="119"/>
      <c r="CF199" s="119"/>
      <c r="CG199" s="119"/>
      <c r="CH199" s="119"/>
      <c r="CI199" s="119"/>
      <c r="CJ199" s="119"/>
      <c r="CK199" s="119"/>
      <c r="CL199" s="119"/>
      <c r="CM199" s="119"/>
      <c r="CN199" s="119"/>
      <c r="CO199" s="119"/>
      <c r="CP199" s="119"/>
      <c r="CQ199" s="119"/>
      <c r="CR199" s="119"/>
      <c r="CS199" s="119"/>
      <c r="CT199" s="119"/>
      <c r="CU199" s="119"/>
      <c r="CV199" s="119"/>
      <c r="CW199" s="119"/>
      <c r="CX199" s="119"/>
      <c r="CY199" s="119"/>
      <c r="CZ199" s="119"/>
      <c r="DA199" s="119"/>
      <c r="DB199" s="119"/>
      <c r="DC199" s="119"/>
      <c r="DD199" s="119"/>
      <c r="DE199" s="119"/>
      <c r="DF199" s="119"/>
      <c r="DG199" s="119"/>
      <c r="DH199" s="119"/>
      <c r="DI199" s="119"/>
      <c r="DJ199" s="117"/>
    </row>
    <row r="200" spans="1:114" ht="30" customHeight="1" x14ac:dyDescent="0.25">
      <c r="A200" s="7" t="s">
        <v>14</v>
      </c>
      <c r="B200" s="7" t="s">
        <v>42</v>
      </c>
      <c r="C200" s="144" t="s">
        <v>1674</v>
      </c>
      <c r="D200" s="120">
        <f>COUNTA($E$191:$E200)</f>
        <v>10</v>
      </c>
      <c r="E200" s="155" t="str">
        <f>IFERROR(A200&amp;"   ("&amp;COUNTIFS(#REF!,"="&amp;A200)&amp;")",A200)</f>
        <v>DOK</v>
      </c>
      <c r="F200" s="132"/>
      <c r="G200" s="133"/>
      <c r="H200" s="134"/>
      <c r="I200" s="135"/>
      <c r="J200" s="132"/>
      <c r="K200" s="133"/>
      <c r="L200" s="134"/>
      <c r="M200" s="139"/>
      <c r="N200" s="142"/>
      <c r="O200" s="119"/>
      <c r="P200" s="119"/>
      <c r="Q200" s="119"/>
      <c r="R200" s="119"/>
      <c r="S200" s="119"/>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119"/>
      <c r="AT200" s="119"/>
      <c r="AU200" s="119"/>
      <c r="AV200" s="119"/>
      <c r="AW200" s="119"/>
      <c r="AX200" s="119"/>
      <c r="AY200" s="119"/>
      <c r="AZ200" s="119"/>
      <c r="BA200" s="119"/>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c r="CB200" s="119"/>
      <c r="CC200" s="119"/>
      <c r="CD200" s="119"/>
      <c r="CE200" s="119"/>
      <c r="CF200" s="119"/>
      <c r="CG200" s="119"/>
      <c r="CH200" s="119"/>
      <c r="CI200" s="119"/>
      <c r="CJ200" s="119"/>
      <c r="CK200" s="119"/>
      <c r="CL200" s="119"/>
      <c r="CM200" s="119"/>
      <c r="CN200" s="119"/>
      <c r="CO200" s="119"/>
      <c r="CP200" s="119"/>
      <c r="CQ200" s="119"/>
      <c r="CR200" s="119"/>
      <c r="CS200" s="119"/>
      <c r="CT200" s="119"/>
      <c r="CU200" s="119"/>
      <c r="CV200" s="119"/>
      <c r="CW200" s="119"/>
      <c r="CX200" s="119"/>
      <c r="CY200" s="119"/>
      <c r="CZ200" s="119"/>
      <c r="DA200" s="119"/>
      <c r="DB200" s="119"/>
      <c r="DC200" s="119"/>
      <c r="DD200" s="119"/>
      <c r="DE200" s="119"/>
      <c r="DF200" s="119"/>
      <c r="DG200" s="119"/>
      <c r="DH200" s="119"/>
      <c r="DI200" s="119"/>
      <c r="DJ200" s="117"/>
    </row>
    <row r="201" spans="1:114" ht="30" customHeight="1" x14ac:dyDescent="0.25">
      <c r="A201" s="7" t="s">
        <v>18</v>
      </c>
      <c r="B201" s="7" t="s">
        <v>42</v>
      </c>
      <c r="C201" s="144" t="s">
        <v>1674</v>
      </c>
      <c r="D201" s="120">
        <f>COUNTA($E$191:$E201)</f>
        <v>11</v>
      </c>
      <c r="E201" s="155" t="str">
        <f>IFERROR(A201&amp;"   ("&amp;COUNTIFS(#REF!,"="&amp;A201)&amp;")",A201)</f>
        <v>DOM</v>
      </c>
      <c r="F201" s="132"/>
      <c r="G201" s="133"/>
      <c r="H201" s="134"/>
      <c r="I201" s="135"/>
      <c r="J201" s="132"/>
      <c r="K201" s="133"/>
      <c r="L201" s="134"/>
      <c r="M201" s="139"/>
      <c r="N201" s="142"/>
      <c r="O201" s="119"/>
      <c r="P201" s="119"/>
      <c r="Q201" s="119"/>
      <c r="R201" s="119"/>
      <c r="S201" s="119"/>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119"/>
      <c r="AT201" s="119"/>
      <c r="AU201" s="119"/>
      <c r="AV201" s="119"/>
      <c r="AW201" s="119"/>
      <c r="AX201" s="119"/>
      <c r="AY201" s="119"/>
      <c r="AZ201" s="119"/>
      <c r="BA201" s="119"/>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c r="CB201" s="119"/>
      <c r="CC201" s="119"/>
      <c r="CD201" s="119"/>
      <c r="CE201" s="119"/>
      <c r="CF201" s="119"/>
      <c r="CG201" s="119"/>
      <c r="CH201" s="119"/>
      <c r="CI201" s="119"/>
      <c r="CJ201" s="119"/>
      <c r="CK201" s="119"/>
      <c r="CL201" s="119"/>
      <c r="CM201" s="119"/>
      <c r="CN201" s="119"/>
      <c r="CO201" s="119"/>
      <c r="CP201" s="119"/>
      <c r="CQ201" s="119"/>
      <c r="CR201" s="119"/>
      <c r="CS201" s="119"/>
      <c r="CT201" s="119"/>
      <c r="CU201" s="119"/>
      <c r="CV201" s="119"/>
      <c r="CW201" s="119"/>
      <c r="CX201" s="119"/>
      <c r="CY201" s="119"/>
      <c r="CZ201" s="119"/>
      <c r="DA201" s="119"/>
      <c r="DB201" s="119"/>
      <c r="DC201" s="119"/>
      <c r="DD201" s="119"/>
      <c r="DE201" s="119"/>
      <c r="DF201" s="119"/>
      <c r="DG201" s="119"/>
      <c r="DH201" s="119"/>
      <c r="DI201" s="119"/>
      <c r="DJ201" s="117"/>
    </row>
    <row r="202" spans="1:114" ht="30" customHeight="1" x14ac:dyDescent="0.25">
      <c r="A202" s="7" t="s">
        <v>9</v>
      </c>
      <c r="B202" s="7" t="s">
        <v>42</v>
      </c>
      <c r="C202" s="144" t="s">
        <v>1674</v>
      </c>
      <c r="D202" s="120">
        <f>COUNTA($E$191:$E202)</f>
        <v>12</v>
      </c>
      <c r="E202" s="155" t="str">
        <f>IFERROR(A202&amp;"   ("&amp;COUNTIFS(#REF!,"="&amp;A202)&amp;")",A202)</f>
        <v>DOT</v>
      </c>
      <c r="F202" s="132"/>
      <c r="G202" s="133"/>
      <c r="H202" s="134"/>
      <c r="I202" s="135"/>
      <c r="J202" s="132"/>
      <c r="K202" s="133"/>
      <c r="L202" s="134"/>
      <c r="M202" s="139"/>
      <c r="N202" s="142"/>
      <c r="O202" s="119"/>
      <c r="P202" s="119"/>
      <c r="Q202" s="119"/>
      <c r="R202" s="119"/>
      <c r="S202" s="119"/>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119"/>
      <c r="AT202" s="119"/>
      <c r="AU202" s="119"/>
      <c r="AV202" s="119"/>
      <c r="AW202" s="119"/>
      <c r="AX202" s="119"/>
      <c r="AY202" s="119"/>
      <c r="AZ202" s="119"/>
      <c r="BA202" s="119"/>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c r="CB202" s="119"/>
      <c r="CC202" s="119"/>
      <c r="CD202" s="119"/>
      <c r="CE202" s="119"/>
      <c r="CF202" s="119"/>
      <c r="CG202" s="119"/>
      <c r="CH202" s="119"/>
      <c r="CI202" s="119"/>
      <c r="CJ202" s="119"/>
      <c r="CK202" s="119"/>
      <c r="CL202" s="119"/>
      <c r="CM202" s="119"/>
      <c r="CN202" s="119"/>
      <c r="CO202" s="119"/>
      <c r="CP202" s="119"/>
      <c r="CQ202" s="119"/>
      <c r="CR202" s="119"/>
      <c r="CS202" s="119"/>
      <c r="CT202" s="119"/>
      <c r="CU202" s="119"/>
      <c r="CV202" s="119"/>
      <c r="CW202" s="119"/>
      <c r="CX202" s="119"/>
      <c r="CY202" s="119"/>
      <c r="CZ202" s="119"/>
      <c r="DA202" s="119"/>
      <c r="DB202" s="119"/>
      <c r="DC202" s="119"/>
      <c r="DD202" s="119"/>
      <c r="DE202" s="119"/>
      <c r="DF202" s="119"/>
      <c r="DG202" s="119"/>
      <c r="DH202" s="119"/>
      <c r="DI202" s="119"/>
      <c r="DJ202" s="117"/>
    </row>
    <row r="203" spans="1:114" ht="30" customHeight="1" x14ac:dyDescent="0.25">
      <c r="A203" s="7" t="s">
        <v>15</v>
      </c>
      <c r="B203" s="7" t="s">
        <v>42</v>
      </c>
      <c r="C203" s="144" t="s">
        <v>1674</v>
      </c>
      <c r="D203" s="120">
        <f>COUNTA($E$191:$E203)</f>
        <v>13</v>
      </c>
      <c r="E203" s="155" t="str">
        <f>IFERROR(A203&amp;"   ("&amp;COUNTIFS(#REF!,"="&amp;A203)&amp;")",A203)</f>
        <v>DOX</v>
      </c>
      <c r="F203" s="132"/>
      <c r="G203" s="133"/>
      <c r="H203" s="134"/>
      <c r="I203" s="135"/>
      <c r="J203" s="132"/>
      <c r="K203" s="133"/>
      <c r="L203" s="134"/>
      <c r="M203" s="139"/>
      <c r="N203" s="142"/>
      <c r="O203" s="119"/>
      <c r="P203" s="119"/>
      <c r="Q203" s="119"/>
      <c r="R203" s="119"/>
      <c r="S203" s="119"/>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119"/>
      <c r="AT203" s="119"/>
      <c r="AU203" s="119"/>
      <c r="AV203" s="119"/>
      <c r="AW203" s="119"/>
      <c r="AX203" s="119"/>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17"/>
    </row>
    <row r="204" spans="1:114" ht="30" customHeight="1" x14ac:dyDescent="0.25">
      <c r="A204" s="7" t="s">
        <v>10</v>
      </c>
      <c r="B204" s="7" t="s">
        <v>42</v>
      </c>
      <c r="C204" s="144" t="s">
        <v>1674</v>
      </c>
      <c r="D204" s="120">
        <f>COUNTA($E$191:$E204)</f>
        <v>14</v>
      </c>
      <c r="E204" s="155" t="str">
        <f>IFERROR(A204&amp;"   ("&amp;COUNTIFS(#REF!,"="&amp;A204)&amp;")",A204)</f>
        <v>MS</v>
      </c>
      <c r="F204" s="132"/>
      <c r="G204" s="133"/>
      <c r="H204" s="134"/>
      <c r="I204" s="135"/>
      <c r="J204" s="132"/>
      <c r="K204" s="133"/>
      <c r="L204" s="134"/>
      <c r="M204" s="139"/>
      <c r="N204" s="142"/>
      <c r="O204" s="119"/>
      <c r="P204" s="119"/>
      <c r="Q204" s="119"/>
      <c r="R204" s="119"/>
      <c r="S204" s="119"/>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119"/>
      <c r="AT204" s="119"/>
      <c r="AU204" s="119"/>
      <c r="AV204" s="119"/>
      <c r="AW204" s="119"/>
      <c r="AX204" s="119"/>
      <c r="AY204" s="119"/>
      <c r="AZ204" s="119"/>
      <c r="BA204" s="119"/>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c r="CB204" s="119"/>
      <c r="CC204" s="119"/>
      <c r="CD204" s="119"/>
      <c r="CE204" s="119"/>
      <c r="CF204" s="119"/>
      <c r="CG204" s="119"/>
      <c r="CH204" s="119"/>
      <c r="CI204" s="119"/>
      <c r="CJ204" s="119"/>
      <c r="CK204" s="119"/>
      <c r="CL204" s="119"/>
      <c r="CM204" s="119"/>
      <c r="CN204" s="119"/>
      <c r="CO204" s="119"/>
      <c r="CP204" s="119"/>
      <c r="CQ204" s="119"/>
      <c r="CR204" s="119"/>
      <c r="CS204" s="119"/>
      <c r="CT204" s="119"/>
      <c r="CU204" s="119"/>
      <c r="CV204" s="119"/>
      <c r="CW204" s="119"/>
      <c r="CX204" s="119"/>
      <c r="CY204" s="119"/>
      <c r="CZ204" s="119"/>
      <c r="DA204" s="119"/>
      <c r="DB204" s="119"/>
      <c r="DC204" s="119"/>
      <c r="DD204" s="119"/>
      <c r="DE204" s="119"/>
      <c r="DF204" s="119"/>
      <c r="DG204" s="119"/>
      <c r="DH204" s="119"/>
      <c r="DI204" s="119"/>
      <c r="DJ204" s="117"/>
    </row>
    <row r="205" spans="1:114" ht="30" customHeight="1" x14ac:dyDescent="0.25">
      <c r="A205" s="7" t="s">
        <v>16</v>
      </c>
      <c r="B205" s="7" t="s">
        <v>42</v>
      </c>
      <c r="C205" s="144" t="s">
        <v>1674</v>
      </c>
      <c r="D205" s="120">
        <f>COUNTA($E$191:$E205)</f>
        <v>15</v>
      </c>
      <c r="E205" s="155" t="str">
        <f>IFERROR(A205&amp;"   ("&amp;COUNTIFS(#REF!,"="&amp;A205)&amp;")",A205)</f>
        <v>UDM</v>
      </c>
      <c r="F205" s="132"/>
      <c r="G205" s="133"/>
      <c r="H205" s="134"/>
      <c r="I205" s="135"/>
      <c r="J205" s="132"/>
      <c r="K205" s="133"/>
      <c r="L205" s="134"/>
      <c r="M205" s="139"/>
      <c r="N205" s="142"/>
      <c r="O205" s="119"/>
      <c r="P205" s="119"/>
      <c r="Q205" s="119"/>
      <c r="R205" s="119"/>
      <c r="S205" s="119"/>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119"/>
      <c r="AT205" s="119"/>
      <c r="AU205" s="119"/>
      <c r="AV205" s="119"/>
      <c r="AW205" s="119"/>
      <c r="AX205" s="119"/>
      <c r="AY205" s="119"/>
      <c r="AZ205" s="119"/>
      <c r="BA205" s="119"/>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c r="CB205" s="119"/>
      <c r="CC205" s="119"/>
      <c r="CD205" s="119"/>
      <c r="CE205" s="119"/>
      <c r="CF205" s="119"/>
      <c r="CG205" s="119"/>
      <c r="CH205" s="119"/>
      <c r="CI205" s="119"/>
      <c r="CJ205" s="119"/>
      <c r="CK205" s="119"/>
      <c r="CL205" s="119"/>
      <c r="CM205" s="119"/>
      <c r="CN205" s="119"/>
      <c r="CO205" s="119"/>
      <c r="CP205" s="119"/>
      <c r="CQ205" s="119"/>
      <c r="CR205" s="119"/>
      <c r="CS205" s="119"/>
      <c r="CT205" s="119"/>
      <c r="CU205" s="119"/>
      <c r="CV205" s="119"/>
      <c r="CW205" s="119"/>
      <c r="CX205" s="119"/>
      <c r="CY205" s="119"/>
      <c r="CZ205" s="119"/>
      <c r="DA205" s="119"/>
      <c r="DB205" s="119"/>
      <c r="DC205" s="119"/>
      <c r="DD205" s="119"/>
      <c r="DE205" s="119"/>
      <c r="DF205" s="119"/>
      <c r="DG205" s="119"/>
      <c r="DH205" s="119"/>
      <c r="DI205" s="119"/>
      <c r="DJ205" s="117"/>
    </row>
    <row r="206" spans="1:114" ht="30" customHeight="1" x14ac:dyDescent="0.25">
      <c r="A206" s="7" t="s">
        <v>19</v>
      </c>
      <c r="B206" s="7" t="s">
        <v>42</v>
      </c>
      <c r="C206" s="144" t="s">
        <v>1674</v>
      </c>
      <c r="D206" s="120">
        <f>COUNTA($E$191:$E206)</f>
        <v>16</v>
      </c>
      <c r="E206" s="155" t="str">
        <f>IFERROR(A206&amp;"   ("&amp;COUNTIFS(#REF!,"="&amp;A206)&amp;")",A206)</f>
        <v>UTM</v>
      </c>
      <c r="F206" s="132"/>
      <c r="G206" s="133"/>
      <c r="H206" s="134"/>
      <c r="I206" s="135"/>
      <c r="J206" s="132"/>
      <c r="K206" s="133"/>
      <c r="L206" s="134"/>
      <c r="M206" s="139"/>
      <c r="N206" s="142"/>
      <c r="O206" s="119"/>
      <c r="P206" s="119"/>
      <c r="Q206" s="119"/>
      <c r="R206" s="119"/>
      <c r="S206" s="119"/>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119"/>
      <c r="AT206" s="119"/>
      <c r="AU206" s="119"/>
      <c r="AV206" s="119"/>
      <c r="AW206" s="119"/>
      <c r="AX206" s="119"/>
      <c r="AY206" s="119"/>
      <c r="AZ206" s="119"/>
      <c r="BA206" s="119"/>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c r="CB206" s="119"/>
      <c r="CC206" s="119"/>
      <c r="CD206" s="119"/>
      <c r="CE206" s="119"/>
      <c r="CF206" s="119"/>
      <c r="CG206" s="119"/>
      <c r="CH206" s="119"/>
      <c r="CI206" s="119"/>
      <c r="CJ206" s="119"/>
      <c r="CK206" s="119"/>
      <c r="CL206" s="119"/>
      <c r="CM206" s="119"/>
      <c r="CN206" s="119"/>
      <c r="CO206" s="119"/>
      <c r="CP206" s="119"/>
      <c r="CQ206" s="119"/>
      <c r="CR206" s="119"/>
      <c r="CS206" s="119"/>
      <c r="CT206" s="119"/>
      <c r="CU206" s="119"/>
      <c r="CV206" s="119"/>
      <c r="CW206" s="119"/>
      <c r="CX206" s="119"/>
      <c r="CY206" s="119"/>
      <c r="CZ206" s="119"/>
      <c r="DA206" s="119"/>
      <c r="DB206" s="119"/>
      <c r="DC206" s="119"/>
      <c r="DD206" s="119"/>
      <c r="DE206" s="119"/>
      <c r="DF206" s="119"/>
      <c r="DG206" s="119"/>
      <c r="DH206" s="119"/>
      <c r="DI206" s="119"/>
      <c r="DJ206" s="117"/>
    </row>
    <row r="207" spans="1:114" ht="20.100000000000001" customHeight="1" x14ac:dyDescent="0.25">
      <c r="A207" s="7" t="s">
        <v>60</v>
      </c>
      <c r="B207" s="7" t="s">
        <v>42</v>
      </c>
      <c r="C207" s="144"/>
      <c r="D207" s="67"/>
      <c r="E207" s="8"/>
      <c r="N207" s="58"/>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c r="BS207" s="7"/>
      <c r="BT207" s="7"/>
      <c r="BU207" s="7"/>
      <c r="BV207" s="7"/>
      <c r="BW207" s="7"/>
      <c r="BX207" s="7"/>
      <c r="BY207" s="7"/>
      <c r="BZ207" s="7"/>
      <c r="CA207" s="7"/>
      <c r="CB207" s="7"/>
      <c r="CC207" s="7"/>
      <c r="CD207" s="7"/>
      <c r="CE207" s="7"/>
      <c r="CF207" s="7"/>
      <c r="CG207" s="7"/>
      <c r="CH207" s="7"/>
      <c r="CI207" s="7"/>
      <c r="CJ207" s="7"/>
      <c r="CK207" s="7"/>
      <c r="CL207" s="7"/>
      <c r="CM207" s="7"/>
      <c r="CN207" s="7"/>
      <c r="CO207" s="7"/>
      <c r="CP207" s="7"/>
      <c r="CQ207" s="7"/>
      <c r="CR207" s="7"/>
      <c r="CS207" s="7"/>
      <c r="CT207" s="7"/>
      <c r="CU207" s="7"/>
      <c r="CV207" s="7"/>
      <c r="CW207" s="7"/>
      <c r="CX207" s="7"/>
      <c r="CY207" s="7"/>
      <c r="CZ207" s="7"/>
      <c r="DA207" s="7"/>
      <c r="DB207" s="7"/>
      <c r="DC207" s="7"/>
      <c r="DD207" s="7"/>
      <c r="DE207" s="7"/>
      <c r="DF207" s="7"/>
      <c r="DG207" s="7"/>
      <c r="DH207" s="7"/>
      <c r="DI207" s="7"/>
      <c r="DJ207" s="7"/>
    </row>
    <row r="208" spans="1:114" x14ac:dyDescent="0.25">
      <c r="A208" s="7" t="s">
        <v>60</v>
      </c>
      <c r="B208" s="7" t="s">
        <v>62</v>
      </c>
      <c r="C208" s="144"/>
      <c r="D208" s="126" t="s">
        <v>63</v>
      </c>
      <c r="E208" s="160"/>
      <c r="F208" s="137"/>
      <c r="G208" s="137"/>
      <c r="H208" s="137"/>
      <c r="I208" s="137"/>
      <c r="J208" s="137"/>
      <c r="K208" s="137"/>
      <c r="L208" s="137"/>
      <c r="M208" s="137"/>
      <c r="N208" s="141"/>
      <c r="O208" s="215"/>
      <c r="P208" s="215"/>
      <c r="Q208" s="215"/>
      <c r="R208" s="215"/>
      <c r="S208" s="215"/>
      <c r="T208" s="215"/>
      <c r="U208" s="215"/>
      <c r="V208" s="215"/>
      <c r="W208" s="215"/>
      <c r="X208" s="215"/>
      <c r="Y208" s="215"/>
      <c r="Z208" s="215"/>
      <c r="AA208" s="215"/>
      <c r="AB208" s="215"/>
      <c r="AC208" s="215"/>
      <c r="AD208" s="215"/>
      <c r="AE208" s="215"/>
      <c r="AF208" s="215"/>
      <c r="AG208" s="215"/>
      <c r="AH208" s="215"/>
      <c r="AI208" s="215"/>
      <c r="AJ208" s="215"/>
      <c r="AK208" s="215"/>
      <c r="AL208" s="215"/>
      <c r="AM208" s="215"/>
      <c r="AN208" s="215"/>
      <c r="AO208" s="215"/>
      <c r="AP208" s="215"/>
      <c r="AQ208" s="215"/>
      <c r="AR208" s="215"/>
      <c r="AS208" s="215"/>
      <c r="AT208" s="215"/>
      <c r="AU208" s="215"/>
      <c r="AV208" s="215"/>
      <c r="AW208" s="215"/>
      <c r="AX208" s="215"/>
      <c r="AY208" s="215"/>
      <c r="AZ208" s="215"/>
      <c r="BA208" s="215"/>
      <c r="BB208" s="215"/>
      <c r="BC208" s="215"/>
      <c r="BD208" s="215"/>
      <c r="BE208" s="215"/>
      <c r="BF208" s="215"/>
      <c r="BG208" s="215"/>
      <c r="BH208" s="215"/>
      <c r="BI208" s="215"/>
      <c r="BJ208" s="215"/>
      <c r="BK208" s="215"/>
      <c r="BL208" s="215"/>
      <c r="BM208" s="215"/>
      <c r="BN208" s="215"/>
      <c r="BO208" s="215"/>
      <c r="BP208" s="215"/>
      <c r="BQ208" s="215"/>
      <c r="BR208" s="215"/>
      <c r="BS208" s="215"/>
      <c r="BT208" s="215"/>
      <c r="BU208" s="215"/>
      <c r="BV208" s="215"/>
      <c r="BW208" s="215"/>
      <c r="BX208" s="215"/>
      <c r="BY208" s="215"/>
      <c r="BZ208" s="215"/>
      <c r="CA208" s="215"/>
      <c r="CB208" s="215"/>
      <c r="CC208" s="215"/>
      <c r="CD208" s="215"/>
      <c r="CE208" s="215"/>
      <c r="CF208" s="215"/>
      <c r="CG208" s="215"/>
      <c r="CH208" s="215"/>
      <c r="CI208" s="215"/>
      <c r="CJ208" s="215"/>
      <c r="CK208" s="215"/>
      <c r="CL208" s="215"/>
      <c r="CM208" s="215"/>
      <c r="CN208" s="215"/>
      <c r="CO208" s="215"/>
      <c r="CP208" s="215"/>
      <c r="CQ208" s="215"/>
      <c r="CR208" s="215"/>
      <c r="CS208" s="215"/>
      <c r="CT208" s="215"/>
      <c r="CU208" s="215"/>
      <c r="CV208" s="215"/>
      <c r="CW208" s="215"/>
      <c r="CX208" s="215"/>
      <c r="CY208" s="215"/>
      <c r="CZ208" s="215"/>
      <c r="DA208" s="215"/>
      <c r="DB208" s="215"/>
      <c r="DC208" s="215"/>
      <c r="DD208" s="215"/>
      <c r="DE208" s="215"/>
      <c r="DF208" s="215"/>
      <c r="DG208" s="215"/>
      <c r="DH208" s="215"/>
      <c r="DI208" s="215"/>
      <c r="DJ208" s="216"/>
    </row>
    <row r="209" spans="1:114" x14ac:dyDescent="0.25">
      <c r="A209" s="7" t="s">
        <v>4</v>
      </c>
      <c r="B209" s="7" t="s">
        <v>62</v>
      </c>
      <c r="C209" s="144"/>
      <c r="D209" s="120"/>
      <c r="E209" s="155" t="str">
        <f>IFERROR(A209&amp;"   ("&amp;COUNTIFS(#REF!,"="&amp;A209)&amp;")",A209)</f>
        <v>11 SOIS</v>
      </c>
      <c r="F209" s="132"/>
      <c r="G209" s="133"/>
      <c r="H209" s="134"/>
      <c r="I209" s="135"/>
      <c r="J209" s="132"/>
      <c r="K209" s="133"/>
      <c r="L209" s="134"/>
      <c r="M209" s="139"/>
      <c r="N209" s="142"/>
      <c r="O209" s="119"/>
      <c r="P209" s="119"/>
      <c r="Q209" s="119"/>
      <c r="R209" s="119"/>
      <c r="S209" s="119"/>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119"/>
      <c r="AT209" s="119"/>
      <c r="AU209" s="119"/>
      <c r="AV209" s="119"/>
      <c r="AW209" s="119"/>
      <c r="AX209" s="119"/>
      <c r="AY209" s="119"/>
      <c r="AZ209" s="119"/>
      <c r="BA209" s="119"/>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c r="CB209" s="119"/>
      <c r="CC209" s="119"/>
      <c r="CD209" s="119"/>
      <c r="CE209" s="119"/>
      <c r="CF209" s="119"/>
      <c r="CG209" s="119"/>
      <c r="CH209" s="119"/>
      <c r="CI209" s="119"/>
      <c r="CJ209" s="119"/>
      <c r="CK209" s="119"/>
      <c r="CL209" s="119"/>
      <c r="CM209" s="119"/>
      <c r="CN209" s="119"/>
      <c r="CO209" s="119"/>
      <c r="CP209" s="119"/>
      <c r="CQ209" s="119"/>
      <c r="CR209" s="119"/>
      <c r="CS209" s="119"/>
      <c r="CT209" s="119"/>
      <c r="CU209" s="119"/>
      <c r="CV209" s="119"/>
      <c r="CW209" s="119"/>
      <c r="CX209" s="119"/>
      <c r="CY209" s="119"/>
      <c r="CZ209" s="119"/>
      <c r="DA209" s="119"/>
      <c r="DB209" s="119"/>
      <c r="DC209" s="119"/>
      <c r="DD209" s="119"/>
      <c r="DE209" s="119"/>
      <c r="DF209" s="119"/>
      <c r="DG209" s="119"/>
      <c r="DH209" s="119"/>
      <c r="DI209" s="119"/>
      <c r="DJ209" s="117"/>
    </row>
    <row r="210" spans="1:114" x14ac:dyDescent="0.25">
      <c r="A210" s="7" t="s">
        <v>4</v>
      </c>
      <c r="B210" s="7" t="s">
        <v>62</v>
      </c>
      <c r="C210" s="144"/>
      <c r="D210" s="124"/>
      <c r="E210" s="158"/>
      <c r="F210" s="136"/>
      <c r="G210" s="136"/>
      <c r="H210" s="136"/>
      <c r="I210" s="136"/>
      <c r="J210" s="136"/>
      <c r="K210" s="136"/>
      <c r="L210" s="136"/>
      <c r="M210" s="136"/>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c r="BA210" s="58"/>
      <c r="BB210" s="58"/>
      <c r="BC210" s="58"/>
      <c r="BD210" s="58"/>
      <c r="BE210" s="58"/>
      <c r="BF210" s="58"/>
      <c r="BG210" s="58"/>
      <c r="BH210" s="58"/>
      <c r="BI210" s="58"/>
      <c r="BJ210" s="58"/>
      <c r="BK210" s="58"/>
      <c r="BL210" s="58"/>
      <c r="BM210" s="58"/>
      <c r="BN210" s="58"/>
      <c r="BO210" s="58"/>
      <c r="BP210" s="58"/>
      <c r="BQ210" s="58"/>
      <c r="BR210" s="58"/>
      <c r="BS210" s="58"/>
      <c r="BT210" s="58"/>
      <c r="BU210" s="58"/>
      <c r="BV210" s="58"/>
      <c r="BW210" s="58"/>
      <c r="BX210" s="58"/>
      <c r="BY210" s="58"/>
      <c r="BZ210" s="58"/>
      <c r="CA210" s="58"/>
      <c r="CB210" s="58"/>
      <c r="CC210" s="58"/>
      <c r="CD210" s="58"/>
      <c r="CE210" s="58"/>
      <c r="CF210" s="58"/>
      <c r="CG210" s="58"/>
      <c r="CH210" s="58"/>
      <c r="CI210" s="58"/>
      <c r="CJ210" s="58"/>
      <c r="CK210" s="58"/>
      <c r="CL210" s="58"/>
      <c r="CM210" s="58"/>
      <c r="CN210" s="58"/>
      <c r="CO210" s="58"/>
      <c r="CP210" s="58"/>
      <c r="CQ210" s="58"/>
      <c r="CR210" s="58"/>
      <c r="CS210" s="58"/>
      <c r="CT210" s="58"/>
      <c r="CU210" s="58"/>
      <c r="CV210" s="58"/>
      <c r="CW210" s="58"/>
      <c r="CX210" s="58"/>
      <c r="CY210" s="58"/>
      <c r="CZ210" s="58"/>
      <c r="DA210" s="58"/>
      <c r="DB210" s="58"/>
      <c r="DC210" s="58"/>
      <c r="DD210" s="58"/>
      <c r="DE210" s="58"/>
      <c r="DF210" s="58"/>
      <c r="DG210" s="58"/>
      <c r="DH210" s="58"/>
      <c r="DI210" s="58"/>
      <c r="DJ210" s="58"/>
    </row>
    <row r="211" spans="1:114" x14ac:dyDescent="0.25">
      <c r="A211" s="7" t="s">
        <v>6</v>
      </c>
      <c r="B211" s="7" t="s">
        <v>62</v>
      </c>
      <c r="C211" s="144" t="s">
        <v>1674</v>
      </c>
      <c r="D211" s="120">
        <f>COUNTA($E$211:$E211)</f>
        <v>1</v>
      </c>
      <c r="E211" s="155" t="str">
        <f>IFERROR(A211&amp;"   ("&amp;COUNTIFS(#REF!,"="&amp;A211)&amp;")",A211)</f>
        <v>CCI</v>
      </c>
      <c r="F211" s="132"/>
      <c r="G211" s="133"/>
      <c r="H211" s="134"/>
      <c r="I211" s="135"/>
      <c r="J211" s="132"/>
      <c r="K211" s="133"/>
      <c r="L211" s="134"/>
      <c r="M211" s="139"/>
      <c r="N211" s="142"/>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119"/>
      <c r="AT211" s="119"/>
      <c r="AU211" s="119"/>
      <c r="AV211" s="119"/>
      <c r="AW211" s="119"/>
      <c r="AX211" s="119"/>
      <c r="AY211" s="119"/>
      <c r="AZ211" s="119"/>
      <c r="BA211" s="119"/>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c r="CB211" s="119"/>
      <c r="CC211" s="119"/>
      <c r="CD211" s="119"/>
      <c r="CE211" s="119"/>
      <c r="CF211" s="119"/>
      <c r="CG211" s="119"/>
      <c r="CH211" s="119"/>
      <c r="CI211" s="119"/>
      <c r="CJ211" s="119"/>
      <c r="CK211" s="119"/>
      <c r="CL211" s="119"/>
      <c r="CM211" s="119"/>
      <c r="CN211" s="119"/>
      <c r="CO211" s="119"/>
      <c r="CP211" s="119"/>
      <c r="CQ211" s="119"/>
      <c r="CR211" s="119"/>
      <c r="CS211" s="119"/>
      <c r="CT211" s="119"/>
      <c r="CU211" s="119"/>
      <c r="CV211" s="119"/>
      <c r="CW211" s="119"/>
      <c r="CX211" s="119"/>
      <c r="CY211" s="119"/>
      <c r="CZ211" s="119"/>
      <c r="DA211" s="119"/>
      <c r="DB211" s="119"/>
      <c r="DC211" s="119"/>
      <c r="DD211" s="119"/>
      <c r="DE211" s="119"/>
      <c r="DF211" s="119"/>
      <c r="DG211" s="119"/>
      <c r="DH211" s="119"/>
      <c r="DI211" s="119"/>
      <c r="DJ211" s="117"/>
    </row>
    <row r="212" spans="1:114" x14ac:dyDescent="0.25">
      <c r="A212" s="7" t="s">
        <v>11</v>
      </c>
      <c r="B212" s="7" t="s">
        <v>62</v>
      </c>
      <c r="C212" s="144" t="s">
        <v>1674</v>
      </c>
      <c r="D212" s="120">
        <f>COUNTA($E$211:$E212)</f>
        <v>2</v>
      </c>
      <c r="E212" s="155" t="str">
        <f>IFERROR(A212&amp;"   ("&amp;COUNTIFS(#REF!,"="&amp;A212)&amp;")",A212)</f>
        <v>CCV</v>
      </c>
      <c r="F212" s="132"/>
      <c r="G212" s="133"/>
      <c r="H212" s="134"/>
      <c r="I212" s="135"/>
      <c r="J212" s="132"/>
      <c r="K212" s="133"/>
      <c r="L212" s="134"/>
      <c r="M212" s="139"/>
      <c r="N212" s="142"/>
      <c r="O212" s="122"/>
      <c r="P212" s="122"/>
      <c r="Q212" s="122"/>
      <c r="R212" s="122"/>
      <c r="S212" s="122"/>
      <c r="T212" s="122"/>
      <c r="U212" s="122"/>
      <c r="V212" s="122"/>
      <c r="W212" s="122"/>
      <c r="X212" s="122"/>
      <c r="Y212" s="122"/>
      <c r="Z212" s="122"/>
      <c r="AA212" s="122"/>
      <c r="AB212" s="122"/>
      <c r="AC212" s="122"/>
      <c r="AD212" s="122"/>
      <c r="AE212" s="122"/>
      <c r="AF212" s="122"/>
      <c r="AG212" s="122"/>
      <c r="AH212" s="122"/>
      <c r="AI212" s="122"/>
      <c r="AJ212" s="122"/>
      <c r="AK212" s="122"/>
      <c r="AL212" s="122"/>
      <c r="AM212" s="122"/>
      <c r="AN212" s="122"/>
      <c r="AO212" s="122"/>
      <c r="AP212" s="122"/>
      <c r="AQ212" s="122"/>
      <c r="AR212" s="122"/>
      <c r="AS212" s="122"/>
      <c r="AT212" s="122"/>
      <c r="AU212" s="122"/>
      <c r="AV212" s="122"/>
      <c r="AW212" s="122"/>
      <c r="AX212" s="122"/>
      <c r="AY212" s="122"/>
      <c r="AZ212" s="122"/>
      <c r="BA212" s="122"/>
      <c r="BB212" s="122"/>
      <c r="BC212" s="122"/>
      <c r="BD212" s="122"/>
      <c r="BE212" s="122"/>
      <c r="BF212" s="122"/>
      <c r="BG212" s="122"/>
      <c r="BH212" s="122"/>
      <c r="BI212" s="122"/>
      <c r="BJ212" s="122"/>
      <c r="BK212" s="122"/>
      <c r="BL212" s="122"/>
      <c r="BM212" s="122"/>
      <c r="BN212" s="122"/>
      <c r="BO212" s="122"/>
      <c r="BP212" s="122"/>
      <c r="BQ212" s="122"/>
      <c r="BR212" s="122"/>
      <c r="BS212" s="122"/>
      <c r="BT212" s="122"/>
      <c r="BU212" s="122"/>
      <c r="BV212" s="122"/>
      <c r="BW212" s="122"/>
      <c r="BX212" s="122"/>
      <c r="BY212" s="122"/>
      <c r="BZ212" s="122"/>
      <c r="CA212" s="122"/>
      <c r="CB212" s="122"/>
      <c r="CC212" s="122"/>
      <c r="CD212" s="122"/>
      <c r="CE212" s="122"/>
      <c r="CF212" s="122"/>
      <c r="CG212" s="122"/>
      <c r="CH212" s="122"/>
      <c r="CI212" s="122"/>
      <c r="CJ212" s="122"/>
      <c r="CK212" s="122"/>
      <c r="CL212" s="122"/>
      <c r="CM212" s="122"/>
      <c r="CN212" s="122"/>
      <c r="CO212" s="122"/>
      <c r="CP212" s="122"/>
      <c r="CQ212" s="122"/>
      <c r="CR212" s="122"/>
      <c r="CS212" s="122"/>
      <c r="CT212" s="122"/>
      <c r="CU212" s="122"/>
      <c r="CV212" s="122"/>
      <c r="CW212" s="122"/>
      <c r="CX212" s="122"/>
      <c r="CY212" s="122"/>
      <c r="CZ212" s="122"/>
      <c r="DA212" s="122"/>
      <c r="DB212" s="122"/>
      <c r="DC212" s="122"/>
      <c r="DD212" s="122"/>
      <c r="DE212" s="122"/>
      <c r="DF212" s="122"/>
      <c r="DG212" s="122"/>
      <c r="DH212" s="122"/>
      <c r="DI212" s="122"/>
      <c r="DJ212" s="121"/>
    </row>
    <row r="213" spans="1:114" x14ac:dyDescent="0.25">
      <c r="A213" s="7" t="s">
        <v>1670</v>
      </c>
      <c r="B213" s="7" t="s">
        <v>62</v>
      </c>
      <c r="C213" s="144" t="s">
        <v>1674</v>
      </c>
      <c r="D213" s="120">
        <f>COUNTA($E$211:$E213)</f>
        <v>3</v>
      </c>
      <c r="E213" s="155" t="str">
        <f>IFERROR(A213&amp;"   ("&amp;COUNTIFS(#REF!,"="&amp;A213)&amp;")",A213)</f>
        <v>CMD</v>
      </c>
      <c r="F213" s="132"/>
      <c r="G213" s="133"/>
      <c r="H213" s="134"/>
      <c r="I213" s="135"/>
      <c r="J213" s="132"/>
      <c r="K213" s="133"/>
      <c r="L213" s="134"/>
      <c r="M213" s="139"/>
      <c r="N213" s="142"/>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119"/>
      <c r="AT213" s="119"/>
      <c r="AU213" s="119"/>
      <c r="AV213" s="119"/>
      <c r="AW213" s="119"/>
      <c r="AX213" s="119"/>
      <c r="AY213" s="119"/>
      <c r="AZ213" s="119"/>
      <c r="BA213" s="119"/>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c r="CB213" s="119"/>
      <c r="CC213" s="119"/>
      <c r="CD213" s="119"/>
      <c r="CE213" s="119"/>
      <c r="CF213" s="119"/>
      <c r="CG213" s="119"/>
      <c r="CH213" s="119"/>
      <c r="CI213" s="119"/>
      <c r="CJ213" s="119"/>
      <c r="CK213" s="119"/>
      <c r="CL213" s="119"/>
      <c r="CM213" s="119"/>
      <c r="CN213" s="119"/>
      <c r="CO213" s="119"/>
      <c r="CP213" s="119"/>
      <c r="CQ213" s="119"/>
      <c r="CR213" s="119"/>
      <c r="CS213" s="119"/>
      <c r="CT213" s="119"/>
      <c r="CU213" s="119"/>
      <c r="CV213" s="119"/>
      <c r="CW213" s="119"/>
      <c r="CX213" s="119"/>
      <c r="CY213" s="119"/>
      <c r="CZ213" s="119"/>
      <c r="DA213" s="119"/>
      <c r="DB213" s="119"/>
      <c r="DC213" s="119"/>
      <c r="DD213" s="119"/>
      <c r="DE213" s="119"/>
      <c r="DF213" s="119"/>
      <c r="DG213" s="119"/>
      <c r="DH213" s="119"/>
      <c r="DI213" s="119"/>
      <c r="DJ213" s="117"/>
    </row>
    <row r="214" spans="1:114" x14ac:dyDescent="0.25">
      <c r="A214" s="7" t="s">
        <v>17</v>
      </c>
      <c r="B214" s="7" t="s">
        <v>62</v>
      </c>
      <c r="C214" s="144" t="s">
        <v>1674</v>
      </c>
      <c r="D214" s="120">
        <f>COUNTA($E$211:$E214)</f>
        <v>4</v>
      </c>
      <c r="E214" s="155" t="str">
        <f>IFERROR(A214&amp;"   ("&amp;COUNTIFS(#REF!,"="&amp;A214)&amp;")",A214)</f>
        <v>DO</v>
      </c>
      <c r="F214" s="132"/>
      <c r="G214" s="133"/>
      <c r="H214" s="134"/>
      <c r="I214" s="135"/>
      <c r="J214" s="132"/>
      <c r="K214" s="133"/>
      <c r="L214" s="134"/>
      <c r="M214" s="139"/>
      <c r="N214" s="142"/>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119"/>
      <c r="AT214" s="119"/>
      <c r="AU214" s="119"/>
      <c r="AV214" s="119"/>
      <c r="AW214" s="119"/>
      <c r="AX214" s="119"/>
      <c r="AY214" s="119"/>
      <c r="AZ214" s="119"/>
      <c r="BA214" s="119"/>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119"/>
      <c r="CH214" s="119"/>
      <c r="CI214" s="119"/>
      <c r="CJ214" s="119"/>
      <c r="CK214" s="119"/>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119"/>
      <c r="DH214" s="119"/>
      <c r="DI214" s="119"/>
      <c r="DJ214" s="117"/>
    </row>
    <row r="215" spans="1:114" x14ac:dyDescent="0.25">
      <c r="A215" s="7" t="s">
        <v>8</v>
      </c>
      <c r="B215" s="7" t="s">
        <v>62</v>
      </c>
      <c r="C215" s="144" t="s">
        <v>1674</v>
      </c>
      <c r="D215" s="120">
        <f>COUNTA($E$211:$E215)</f>
        <v>5</v>
      </c>
      <c r="E215" s="155" t="str">
        <f>IFERROR(A215&amp;"   ("&amp;COUNTIFS(#REF!,"="&amp;A215)&amp;")",A215)</f>
        <v>DOA</v>
      </c>
      <c r="F215" s="132"/>
      <c r="G215" s="133"/>
      <c r="H215" s="134"/>
      <c r="I215" s="135"/>
      <c r="J215" s="132"/>
      <c r="K215" s="133"/>
      <c r="L215" s="134"/>
      <c r="M215" s="139"/>
      <c r="N215" s="142"/>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119"/>
      <c r="AT215" s="119"/>
      <c r="AU215" s="119"/>
      <c r="AV215" s="119"/>
      <c r="AW215" s="119"/>
      <c r="AX215" s="119"/>
      <c r="AY215" s="119"/>
      <c r="AZ215" s="119"/>
      <c r="BA215" s="119"/>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c r="CB215" s="119"/>
      <c r="CC215" s="119"/>
      <c r="CD215" s="119"/>
      <c r="CE215" s="119"/>
      <c r="CF215" s="119"/>
      <c r="CG215" s="119"/>
      <c r="CH215" s="119"/>
      <c r="CI215" s="119"/>
      <c r="CJ215" s="119"/>
      <c r="CK215" s="119"/>
      <c r="CL215" s="119"/>
      <c r="CM215" s="119"/>
      <c r="CN215" s="119"/>
      <c r="CO215" s="119"/>
      <c r="CP215" s="119"/>
      <c r="CQ215" s="119"/>
      <c r="CR215" s="119"/>
      <c r="CS215" s="119"/>
      <c r="CT215" s="119"/>
      <c r="CU215" s="119"/>
      <c r="CV215" s="119"/>
      <c r="CW215" s="119"/>
      <c r="CX215" s="119"/>
      <c r="CY215" s="119"/>
      <c r="CZ215" s="119"/>
      <c r="DA215" s="119"/>
      <c r="DB215" s="119"/>
      <c r="DC215" s="119"/>
      <c r="DD215" s="119"/>
      <c r="DE215" s="119"/>
      <c r="DF215" s="119"/>
      <c r="DG215" s="119"/>
      <c r="DH215" s="119"/>
      <c r="DI215" s="119"/>
      <c r="DJ215" s="117"/>
    </row>
    <row r="216" spans="1:114" x14ac:dyDescent="0.25">
      <c r="A216" s="7" t="s">
        <v>12</v>
      </c>
      <c r="B216" s="7" t="s">
        <v>62</v>
      </c>
      <c r="C216" s="144" t="s">
        <v>1674</v>
      </c>
      <c r="D216" s="120">
        <f>COUNTA($E$211:$E216)</f>
        <v>6</v>
      </c>
      <c r="E216" s="155" t="str">
        <f>IFERROR(A216&amp;"   ("&amp;COUNTIFS(#REF!,"="&amp;A216)&amp;")",A216)</f>
        <v>DOB</v>
      </c>
      <c r="F216" s="132"/>
      <c r="G216" s="133"/>
      <c r="H216" s="134"/>
      <c r="I216" s="135"/>
      <c r="J216" s="132"/>
      <c r="K216" s="133"/>
      <c r="L216" s="134"/>
      <c r="M216" s="139"/>
      <c r="N216" s="142"/>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119"/>
      <c r="AT216" s="119"/>
      <c r="AU216" s="119"/>
      <c r="AV216" s="119"/>
      <c r="AW216" s="119"/>
      <c r="AX216" s="119"/>
      <c r="AY216" s="119"/>
      <c r="AZ216" s="119"/>
      <c r="BA216" s="119"/>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c r="CB216" s="119"/>
      <c r="CC216" s="119"/>
      <c r="CD216" s="119"/>
      <c r="CE216" s="119"/>
      <c r="CF216" s="119"/>
      <c r="CG216" s="119"/>
      <c r="CH216" s="119"/>
      <c r="CI216" s="119"/>
      <c r="CJ216" s="119"/>
      <c r="CK216" s="119"/>
      <c r="CL216" s="119"/>
      <c r="CM216" s="119"/>
      <c r="CN216" s="119"/>
      <c r="CO216" s="119"/>
      <c r="CP216" s="119"/>
      <c r="CQ216" s="119"/>
      <c r="CR216" s="119"/>
      <c r="CS216" s="119"/>
      <c r="CT216" s="119"/>
      <c r="CU216" s="119"/>
      <c r="CV216" s="119"/>
      <c r="CW216" s="119"/>
      <c r="CX216" s="119"/>
      <c r="CY216" s="119"/>
      <c r="CZ216" s="119"/>
      <c r="DA216" s="119"/>
      <c r="DB216" s="119"/>
      <c r="DC216" s="119"/>
      <c r="DD216" s="119"/>
      <c r="DE216" s="119"/>
      <c r="DF216" s="119"/>
      <c r="DG216" s="119"/>
      <c r="DH216" s="119"/>
      <c r="DI216" s="119"/>
      <c r="DJ216" s="117"/>
    </row>
    <row r="217" spans="1:114" x14ac:dyDescent="0.25">
      <c r="A217" s="7" t="s">
        <v>5</v>
      </c>
      <c r="B217" s="7" t="s">
        <v>62</v>
      </c>
      <c r="C217" s="144" t="s">
        <v>1674</v>
      </c>
      <c r="D217" s="120">
        <f>COUNTA($E$211:$E217)</f>
        <v>7</v>
      </c>
      <c r="E217" s="155" t="str">
        <f>IFERROR(A217&amp;"   ("&amp;COUNTIFS(#REF!,"="&amp;A217)&amp;")",A217)</f>
        <v>DOC</v>
      </c>
      <c r="F217" s="132"/>
      <c r="G217" s="133"/>
      <c r="H217" s="134"/>
      <c r="I217" s="135"/>
      <c r="J217" s="132"/>
      <c r="K217" s="133"/>
      <c r="L217" s="134"/>
      <c r="M217" s="139"/>
      <c r="N217" s="142"/>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119"/>
      <c r="AT217" s="119"/>
      <c r="AU217" s="119"/>
      <c r="AV217" s="119"/>
      <c r="AW217" s="119"/>
      <c r="AX217" s="119"/>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17"/>
    </row>
    <row r="218" spans="1:114" x14ac:dyDescent="0.25">
      <c r="A218" s="7" t="s">
        <v>7</v>
      </c>
      <c r="B218" s="7" t="s">
        <v>62</v>
      </c>
      <c r="C218" s="144" t="s">
        <v>1674</v>
      </c>
      <c r="D218" s="120">
        <f>COUNTA($E$211:$E218)</f>
        <v>8</v>
      </c>
      <c r="E218" s="155" t="str">
        <f>IFERROR(A218&amp;"   ("&amp;COUNTIFS(#REF!,"="&amp;A218)&amp;")",A218)</f>
        <v>DOD</v>
      </c>
      <c r="F218" s="132"/>
      <c r="G218" s="133"/>
      <c r="H218" s="134"/>
      <c r="I218" s="135"/>
      <c r="J218" s="132"/>
      <c r="K218" s="133"/>
      <c r="L218" s="134"/>
      <c r="M218" s="139"/>
      <c r="N218" s="142"/>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119"/>
      <c r="AT218" s="119"/>
      <c r="AU218" s="119"/>
      <c r="AV218" s="119"/>
      <c r="AW218" s="119"/>
      <c r="AX218" s="119"/>
      <c r="AY218" s="119"/>
      <c r="AZ218" s="119"/>
      <c r="BA218" s="119"/>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c r="CB218" s="119"/>
      <c r="CC218" s="119"/>
      <c r="CD218" s="119"/>
      <c r="CE218" s="119"/>
      <c r="CF218" s="119"/>
      <c r="CG218" s="119"/>
      <c r="CH218" s="119"/>
      <c r="CI218" s="119"/>
      <c r="CJ218" s="119"/>
      <c r="CK218" s="119"/>
      <c r="CL218" s="119"/>
      <c r="CM218" s="119"/>
      <c r="CN218" s="119"/>
      <c r="CO218" s="119"/>
      <c r="CP218" s="119"/>
      <c r="CQ218" s="119"/>
      <c r="CR218" s="119"/>
      <c r="CS218" s="119"/>
      <c r="CT218" s="119"/>
      <c r="CU218" s="119"/>
      <c r="CV218" s="119"/>
      <c r="CW218" s="119"/>
      <c r="CX218" s="119"/>
      <c r="CY218" s="119"/>
      <c r="CZ218" s="119"/>
      <c r="DA218" s="119"/>
      <c r="DB218" s="119"/>
      <c r="DC218" s="119"/>
      <c r="DD218" s="119"/>
      <c r="DE218" s="119"/>
      <c r="DF218" s="119"/>
      <c r="DG218" s="119"/>
      <c r="DH218" s="119"/>
      <c r="DI218" s="119"/>
      <c r="DJ218" s="117"/>
    </row>
    <row r="219" spans="1:114" x14ac:dyDescent="0.25">
      <c r="A219" s="7" t="s">
        <v>13</v>
      </c>
      <c r="B219" s="7" t="s">
        <v>62</v>
      </c>
      <c r="C219" s="144" t="s">
        <v>1674</v>
      </c>
      <c r="D219" s="120">
        <f>COUNTA($E$211:$E219)</f>
        <v>9</v>
      </c>
      <c r="E219" s="155" t="str">
        <f>IFERROR(A219&amp;"   ("&amp;COUNTIFS(#REF!,"="&amp;A219)&amp;")",A219)</f>
        <v>DOF</v>
      </c>
      <c r="F219" s="132"/>
      <c r="G219" s="133"/>
      <c r="H219" s="134"/>
      <c r="I219" s="135"/>
      <c r="J219" s="132"/>
      <c r="K219" s="133"/>
      <c r="L219" s="134"/>
      <c r="M219" s="139"/>
      <c r="N219" s="142"/>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119"/>
      <c r="AT219" s="119"/>
      <c r="AU219" s="119"/>
      <c r="AV219" s="119"/>
      <c r="AW219" s="119"/>
      <c r="AX219" s="119"/>
      <c r="AY219" s="119"/>
      <c r="AZ219" s="119"/>
      <c r="BA219" s="119"/>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c r="CB219" s="119"/>
      <c r="CC219" s="119"/>
      <c r="CD219" s="119"/>
      <c r="CE219" s="119"/>
      <c r="CF219" s="119"/>
      <c r="CG219" s="119"/>
      <c r="CH219" s="119"/>
      <c r="CI219" s="119"/>
      <c r="CJ219" s="119"/>
      <c r="CK219" s="119"/>
      <c r="CL219" s="119"/>
      <c r="CM219" s="119"/>
      <c r="CN219" s="119"/>
      <c r="CO219" s="119"/>
      <c r="CP219" s="119"/>
      <c r="CQ219" s="119"/>
      <c r="CR219" s="119"/>
      <c r="CS219" s="119"/>
      <c r="CT219" s="119"/>
      <c r="CU219" s="119"/>
      <c r="CV219" s="119"/>
      <c r="CW219" s="119"/>
      <c r="CX219" s="119"/>
      <c r="CY219" s="119"/>
      <c r="CZ219" s="119"/>
      <c r="DA219" s="119"/>
      <c r="DB219" s="119"/>
      <c r="DC219" s="119"/>
      <c r="DD219" s="119"/>
      <c r="DE219" s="119"/>
      <c r="DF219" s="119"/>
      <c r="DG219" s="119"/>
      <c r="DH219" s="119"/>
      <c r="DI219" s="119"/>
      <c r="DJ219" s="117"/>
    </row>
    <row r="220" spans="1:114" x14ac:dyDescent="0.25">
      <c r="A220" s="7" t="s">
        <v>14</v>
      </c>
      <c r="B220" s="7" t="s">
        <v>62</v>
      </c>
      <c r="C220" s="144" t="s">
        <v>1674</v>
      </c>
      <c r="D220" s="120">
        <f>COUNTA($E$211:$E220)</f>
        <v>10</v>
      </c>
      <c r="E220" s="155" t="str">
        <f>IFERROR(A220&amp;"   ("&amp;COUNTIFS(#REF!,"="&amp;A220)&amp;")",A220)</f>
        <v>DOK</v>
      </c>
      <c r="F220" s="132"/>
      <c r="G220" s="133"/>
      <c r="H220" s="134"/>
      <c r="I220" s="135"/>
      <c r="J220" s="132"/>
      <c r="K220" s="133"/>
      <c r="L220" s="134"/>
      <c r="M220" s="139"/>
      <c r="N220" s="142"/>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119"/>
      <c r="AT220" s="119"/>
      <c r="AU220" s="119"/>
      <c r="AV220" s="119"/>
      <c r="AW220" s="119"/>
      <c r="AX220" s="119"/>
      <c r="AY220" s="119"/>
      <c r="AZ220" s="119"/>
      <c r="BA220" s="119"/>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c r="CB220" s="119"/>
      <c r="CC220" s="119"/>
      <c r="CD220" s="119"/>
      <c r="CE220" s="119"/>
      <c r="CF220" s="119"/>
      <c r="CG220" s="119"/>
      <c r="CH220" s="119"/>
      <c r="CI220" s="119"/>
      <c r="CJ220" s="119"/>
      <c r="CK220" s="119"/>
      <c r="CL220" s="119"/>
      <c r="CM220" s="119"/>
      <c r="CN220" s="119"/>
      <c r="CO220" s="119"/>
      <c r="CP220" s="119"/>
      <c r="CQ220" s="119"/>
      <c r="CR220" s="119"/>
      <c r="CS220" s="119"/>
      <c r="CT220" s="119"/>
      <c r="CU220" s="119"/>
      <c r="CV220" s="119"/>
      <c r="CW220" s="119"/>
      <c r="CX220" s="119"/>
      <c r="CY220" s="119"/>
      <c r="CZ220" s="119"/>
      <c r="DA220" s="119"/>
      <c r="DB220" s="119"/>
      <c r="DC220" s="119"/>
      <c r="DD220" s="119"/>
      <c r="DE220" s="119"/>
      <c r="DF220" s="119"/>
      <c r="DG220" s="119"/>
      <c r="DH220" s="119"/>
      <c r="DI220" s="119"/>
      <c r="DJ220" s="117"/>
    </row>
    <row r="221" spans="1:114" x14ac:dyDescent="0.25">
      <c r="A221" s="7" t="s">
        <v>18</v>
      </c>
      <c r="B221" s="7" t="s">
        <v>62</v>
      </c>
      <c r="C221" s="144" t="s">
        <v>1674</v>
      </c>
      <c r="D221" s="120">
        <f>COUNTA($E$211:$E221)</f>
        <v>11</v>
      </c>
      <c r="E221" s="155" t="str">
        <f>IFERROR(A221&amp;"   ("&amp;COUNTIFS(#REF!,"="&amp;A221)&amp;")",A221)</f>
        <v>DOM</v>
      </c>
      <c r="F221" s="132"/>
      <c r="G221" s="133"/>
      <c r="H221" s="134"/>
      <c r="I221" s="135"/>
      <c r="J221" s="132"/>
      <c r="K221" s="133"/>
      <c r="L221" s="134"/>
      <c r="M221" s="139"/>
      <c r="N221" s="142"/>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119"/>
      <c r="AT221" s="119"/>
      <c r="AU221" s="119"/>
      <c r="AV221" s="119"/>
      <c r="AW221" s="119"/>
      <c r="AX221" s="119"/>
      <c r="AY221" s="119"/>
      <c r="AZ221" s="119"/>
      <c r="BA221" s="119"/>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c r="CB221" s="119"/>
      <c r="CC221" s="119"/>
      <c r="CD221" s="119"/>
      <c r="CE221" s="119"/>
      <c r="CF221" s="119"/>
      <c r="CG221" s="119"/>
      <c r="CH221" s="119"/>
      <c r="CI221" s="119"/>
      <c r="CJ221" s="119"/>
      <c r="CK221" s="119"/>
      <c r="CL221" s="119"/>
      <c r="CM221" s="119"/>
      <c r="CN221" s="119"/>
      <c r="CO221" s="119"/>
      <c r="CP221" s="119"/>
      <c r="CQ221" s="119"/>
      <c r="CR221" s="119"/>
      <c r="CS221" s="119"/>
      <c r="CT221" s="119"/>
      <c r="CU221" s="119"/>
      <c r="CV221" s="119"/>
      <c r="CW221" s="119"/>
      <c r="CX221" s="119"/>
      <c r="CY221" s="119"/>
      <c r="CZ221" s="119"/>
      <c r="DA221" s="119"/>
      <c r="DB221" s="119"/>
      <c r="DC221" s="119"/>
      <c r="DD221" s="119"/>
      <c r="DE221" s="119"/>
      <c r="DF221" s="119"/>
      <c r="DG221" s="119"/>
      <c r="DH221" s="119"/>
      <c r="DI221" s="119"/>
      <c r="DJ221" s="117"/>
    </row>
    <row r="222" spans="1:114" x14ac:dyDescent="0.25">
      <c r="A222" s="7" t="s">
        <v>9</v>
      </c>
      <c r="B222" s="7" t="s">
        <v>62</v>
      </c>
      <c r="C222" s="144" t="s">
        <v>1674</v>
      </c>
      <c r="D222" s="120">
        <f>COUNTA($E$211:$E222)</f>
        <v>12</v>
      </c>
      <c r="E222" s="155" t="str">
        <f>IFERROR(A222&amp;"   ("&amp;COUNTIFS(#REF!,"="&amp;A222)&amp;")",A222)</f>
        <v>DOT</v>
      </c>
      <c r="F222" s="132"/>
      <c r="G222" s="133"/>
      <c r="H222" s="134"/>
      <c r="I222" s="135"/>
      <c r="J222" s="132"/>
      <c r="K222" s="133"/>
      <c r="L222" s="134"/>
      <c r="M222" s="139"/>
      <c r="N222" s="142"/>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119"/>
      <c r="AT222" s="119"/>
      <c r="AU222" s="119"/>
      <c r="AV222" s="119"/>
      <c r="AW222" s="119"/>
      <c r="AX222" s="119"/>
      <c r="AY222" s="119"/>
      <c r="AZ222" s="119"/>
      <c r="BA222" s="119"/>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c r="CB222" s="119"/>
      <c r="CC222" s="119"/>
      <c r="CD222" s="119"/>
      <c r="CE222" s="119"/>
      <c r="CF222" s="119"/>
      <c r="CG222" s="119"/>
      <c r="CH222" s="119"/>
      <c r="CI222" s="119"/>
      <c r="CJ222" s="119"/>
      <c r="CK222" s="119"/>
      <c r="CL222" s="119"/>
      <c r="CM222" s="119"/>
      <c r="CN222" s="119"/>
      <c r="CO222" s="119"/>
      <c r="CP222" s="119"/>
      <c r="CQ222" s="119"/>
      <c r="CR222" s="119"/>
      <c r="CS222" s="119"/>
      <c r="CT222" s="119"/>
      <c r="CU222" s="119"/>
      <c r="CV222" s="119"/>
      <c r="CW222" s="119"/>
      <c r="CX222" s="119"/>
      <c r="CY222" s="119"/>
      <c r="CZ222" s="119"/>
      <c r="DA222" s="119"/>
      <c r="DB222" s="119"/>
      <c r="DC222" s="119"/>
      <c r="DD222" s="119"/>
      <c r="DE222" s="119"/>
      <c r="DF222" s="119"/>
      <c r="DG222" s="119"/>
      <c r="DH222" s="119"/>
      <c r="DI222" s="119"/>
      <c r="DJ222" s="117"/>
    </row>
    <row r="223" spans="1:114" x14ac:dyDescent="0.25">
      <c r="A223" s="7" t="s">
        <v>15</v>
      </c>
      <c r="B223" s="7" t="s">
        <v>62</v>
      </c>
      <c r="C223" s="144" t="s">
        <v>1674</v>
      </c>
      <c r="D223" s="120">
        <f>COUNTA($E$211:$E223)</f>
        <v>13</v>
      </c>
      <c r="E223" s="155" t="str">
        <f>IFERROR(A223&amp;"   ("&amp;COUNTIFS(#REF!,"="&amp;A223)&amp;")",A223)</f>
        <v>DOX</v>
      </c>
      <c r="F223" s="132"/>
      <c r="G223" s="133"/>
      <c r="H223" s="134"/>
      <c r="I223" s="135"/>
      <c r="J223" s="132"/>
      <c r="K223" s="133"/>
      <c r="L223" s="134"/>
      <c r="M223" s="139"/>
      <c r="N223" s="142"/>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119"/>
      <c r="AT223" s="119"/>
      <c r="AU223" s="119"/>
      <c r="AV223" s="119"/>
      <c r="AW223" s="119"/>
      <c r="AX223" s="119"/>
      <c r="AY223" s="119"/>
      <c r="AZ223" s="119"/>
      <c r="BA223" s="119"/>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c r="CB223" s="119"/>
      <c r="CC223" s="119"/>
      <c r="CD223" s="119"/>
      <c r="CE223" s="119"/>
      <c r="CF223" s="119"/>
      <c r="CG223" s="119"/>
      <c r="CH223" s="119"/>
      <c r="CI223" s="119"/>
      <c r="CJ223" s="119"/>
      <c r="CK223" s="119"/>
      <c r="CL223" s="119"/>
      <c r="CM223" s="119"/>
      <c r="CN223" s="119"/>
      <c r="CO223" s="119"/>
      <c r="CP223" s="119"/>
      <c r="CQ223" s="119"/>
      <c r="CR223" s="119"/>
      <c r="CS223" s="119"/>
      <c r="CT223" s="119"/>
      <c r="CU223" s="119"/>
      <c r="CV223" s="119"/>
      <c r="CW223" s="119"/>
      <c r="CX223" s="119"/>
      <c r="CY223" s="119"/>
      <c r="CZ223" s="119"/>
      <c r="DA223" s="119"/>
      <c r="DB223" s="119"/>
      <c r="DC223" s="119"/>
      <c r="DD223" s="119"/>
      <c r="DE223" s="119"/>
      <c r="DF223" s="119"/>
      <c r="DG223" s="119"/>
      <c r="DH223" s="119"/>
      <c r="DI223" s="119"/>
      <c r="DJ223" s="117"/>
    </row>
    <row r="224" spans="1:114" x14ac:dyDescent="0.25">
      <c r="A224" s="7" t="s">
        <v>10</v>
      </c>
      <c r="B224" s="7" t="s">
        <v>62</v>
      </c>
      <c r="C224" s="144" t="s">
        <v>1674</v>
      </c>
      <c r="D224" s="120">
        <f>COUNTA($E$211:$E224)</f>
        <v>14</v>
      </c>
      <c r="E224" s="155" t="str">
        <f>IFERROR(A224&amp;"   ("&amp;COUNTIFS(#REF!,"="&amp;A224)&amp;")",A224)</f>
        <v>MS</v>
      </c>
      <c r="F224" s="132"/>
      <c r="G224" s="133"/>
      <c r="H224" s="134"/>
      <c r="I224" s="135"/>
      <c r="J224" s="132"/>
      <c r="K224" s="133"/>
      <c r="L224" s="134"/>
      <c r="M224" s="139"/>
      <c r="N224" s="142"/>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17"/>
    </row>
    <row r="225" spans="1:114" x14ac:dyDescent="0.25">
      <c r="A225" s="7" t="s">
        <v>16</v>
      </c>
      <c r="B225" s="7" t="s">
        <v>62</v>
      </c>
      <c r="C225" s="144" t="s">
        <v>1674</v>
      </c>
      <c r="D225" s="120">
        <f>COUNTA($E$211:$E225)</f>
        <v>15</v>
      </c>
      <c r="E225" s="155" t="str">
        <f>IFERROR(A225&amp;"   ("&amp;COUNTIFS(#REF!,"="&amp;A225)&amp;")",A225)</f>
        <v>UDM</v>
      </c>
      <c r="F225" s="132"/>
      <c r="G225" s="133"/>
      <c r="H225" s="134"/>
      <c r="I225" s="135"/>
      <c r="J225" s="132"/>
      <c r="K225" s="133"/>
      <c r="L225" s="134"/>
      <c r="M225" s="139"/>
      <c r="N225" s="142"/>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119"/>
      <c r="AT225" s="119"/>
      <c r="AU225" s="119"/>
      <c r="AV225" s="119"/>
      <c r="AW225" s="119"/>
      <c r="AX225" s="119"/>
      <c r="AY225" s="119"/>
      <c r="AZ225" s="119"/>
      <c r="BA225" s="119"/>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c r="CB225" s="119"/>
      <c r="CC225" s="119"/>
      <c r="CD225" s="119"/>
      <c r="CE225" s="119"/>
      <c r="CF225" s="119"/>
      <c r="CG225" s="119"/>
      <c r="CH225" s="119"/>
      <c r="CI225" s="119"/>
      <c r="CJ225" s="119"/>
      <c r="CK225" s="119"/>
      <c r="CL225" s="119"/>
      <c r="CM225" s="119"/>
      <c r="CN225" s="119"/>
      <c r="CO225" s="119"/>
      <c r="CP225" s="119"/>
      <c r="CQ225" s="119"/>
      <c r="CR225" s="119"/>
      <c r="CS225" s="119"/>
      <c r="CT225" s="119"/>
      <c r="CU225" s="119"/>
      <c r="CV225" s="119"/>
      <c r="CW225" s="119"/>
      <c r="CX225" s="119"/>
      <c r="CY225" s="119"/>
      <c r="CZ225" s="119"/>
      <c r="DA225" s="119"/>
      <c r="DB225" s="119"/>
      <c r="DC225" s="119"/>
      <c r="DD225" s="119"/>
      <c r="DE225" s="119"/>
      <c r="DF225" s="119"/>
      <c r="DG225" s="119"/>
      <c r="DH225" s="119"/>
      <c r="DI225" s="119"/>
      <c r="DJ225" s="117"/>
    </row>
    <row r="226" spans="1:114" x14ac:dyDescent="0.25">
      <c r="A226" s="7" t="s">
        <v>19</v>
      </c>
      <c r="B226" s="7" t="s">
        <v>62</v>
      </c>
      <c r="C226" s="144" t="s">
        <v>1674</v>
      </c>
      <c r="D226" s="120">
        <f>COUNTA($E$211:$E226)</f>
        <v>16</v>
      </c>
      <c r="E226" s="155" t="str">
        <f>IFERROR(A226&amp;"   ("&amp;COUNTIFS(#REF!,"="&amp;A226)&amp;")",A226)</f>
        <v>UTM</v>
      </c>
      <c r="F226" s="132"/>
      <c r="G226" s="133"/>
      <c r="H226" s="134"/>
      <c r="I226" s="135"/>
      <c r="J226" s="132"/>
      <c r="K226" s="133"/>
      <c r="L226" s="134"/>
      <c r="M226" s="139"/>
      <c r="N226" s="142"/>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119"/>
      <c r="AT226" s="119"/>
      <c r="AU226" s="119"/>
      <c r="AV226" s="119"/>
      <c r="AW226" s="119"/>
      <c r="AX226" s="119"/>
      <c r="AY226" s="119"/>
      <c r="AZ226" s="119"/>
      <c r="BA226" s="119"/>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c r="CB226" s="119"/>
      <c r="CC226" s="119"/>
      <c r="CD226" s="119"/>
      <c r="CE226" s="119"/>
      <c r="CF226" s="119"/>
      <c r="CG226" s="119"/>
      <c r="CH226" s="119"/>
      <c r="CI226" s="119"/>
      <c r="CJ226" s="119"/>
      <c r="CK226" s="119"/>
      <c r="CL226" s="119"/>
      <c r="CM226" s="119"/>
      <c r="CN226" s="119"/>
      <c r="CO226" s="119"/>
      <c r="CP226" s="119"/>
      <c r="CQ226" s="119"/>
      <c r="CR226" s="119"/>
      <c r="CS226" s="119"/>
      <c r="CT226" s="119"/>
      <c r="CU226" s="119"/>
      <c r="CV226" s="119"/>
      <c r="CW226" s="119"/>
      <c r="CX226" s="119"/>
      <c r="CY226" s="119"/>
      <c r="CZ226" s="119"/>
      <c r="DA226" s="119"/>
      <c r="DB226" s="119"/>
      <c r="DC226" s="119"/>
      <c r="DD226" s="119"/>
      <c r="DE226" s="119"/>
      <c r="DF226" s="119"/>
      <c r="DG226" s="119"/>
      <c r="DH226" s="119"/>
      <c r="DI226" s="119"/>
      <c r="DJ226" s="117"/>
    </row>
    <row r="227" spans="1:114" x14ac:dyDescent="0.25">
      <c r="A227" s="7" t="s">
        <v>60</v>
      </c>
      <c r="B227" s="7" t="s">
        <v>62</v>
      </c>
      <c r="C227" s="144"/>
      <c r="D227" s="67"/>
      <c r="E227" s="8"/>
      <c r="N227" s="58"/>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c r="AQ227" s="7"/>
      <c r="AR227" s="7"/>
      <c r="AS227" s="7"/>
      <c r="AT227" s="7"/>
      <c r="AU227" s="7"/>
      <c r="AV227" s="7"/>
      <c r="AW227" s="7"/>
      <c r="AX227" s="7"/>
      <c r="AY227" s="7"/>
      <c r="AZ227" s="7"/>
      <c r="BA227" s="7"/>
      <c r="BB227" s="7"/>
      <c r="BC227" s="7"/>
      <c r="BD227" s="7"/>
      <c r="BE227" s="7"/>
      <c r="BF227" s="7"/>
      <c r="BG227" s="7"/>
      <c r="BH227" s="7"/>
      <c r="BI227" s="7"/>
      <c r="BJ227" s="7"/>
      <c r="BK227" s="7"/>
      <c r="BL227" s="7"/>
      <c r="BM227" s="7"/>
      <c r="BN227" s="7"/>
      <c r="BO227" s="7"/>
      <c r="BP227" s="7"/>
      <c r="BQ227" s="7"/>
      <c r="BR227" s="7"/>
      <c r="BS227" s="7"/>
      <c r="BT227" s="7"/>
      <c r="BU227" s="7"/>
      <c r="BV227" s="7"/>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c r="DA227" s="7"/>
      <c r="DB227" s="7"/>
      <c r="DC227" s="7"/>
      <c r="DD227" s="7"/>
      <c r="DE227" s="7"/>
      <c r="DF227" s="7"/>
      <c r="DG227" s="7"/>
      <c r="DH227" s="7"/>
      <c r="DI227" s="7"/>
      <c r="DJ227" s="7"/>
    </row>
  </sheetData>
  <mergeCells count="15">
    <mergeCell ref="O1:DJ1"/>
    <mergeCell ref="D2:DJ2"/>
    <mergeCell ref="D3:DJ3"/>
    <mergeCell ref="D4:DJ4"/>
    <mergeCell ref="O208:DJ208"/>
    <mergeCell ref="O108:DJ108"/>
    <mergeCell ref="O128:DJ128"/>
    <mergeCell ref="O168:DJ168"/>
    <mergeCell ref="O188:DJ188"/>
    <mergeCell ref="O8:DJ8"/>
    <mergeCell ref="O28:DJ28"/>
    <mergeCell ref="O48:DJ48"/>
    <mergeCell ref="O68:DJ68"/>
    <mergeCell ref="O88:DJ88"/>
    <mergeCell ref="O148:DJ148"/>
  </mergeCells>
  <conditionalFormatting sqref="O9:DJ27 O169:DJ187 O189:DJ207 O209:DJ1004 O129:DJ147">
    <cfRule type="expression" priority="56" stopIfTrue="1">
      <formula>$F9=""</formula>
    </cfRule>
    <cfRule type="expression" dxfId="71" priority="57">
      <formula>AND(COLUMNS($O$9:O9)&gt;($F9+$G9+$H9),COLUMNS(O$9:O9)&lt;=100)</formula>
    </cfRule>
    <cfRule type="expression" dxfId="70" priority="58">
      <formula>AND(COLUMNS($O$9:O9)&gt;($F9+$G9),COLUMNS($O$9:O9)&lt;=($F9+$G9+$H9))</formula>
    </cfRule>
    <cfRule type="expression" dxfId="69" priority="59">
      <formula>AND(COLUMNS($O$9:O9)&gt;$F9,COLUMNS($O$9:O9)&lt;=($F9+$G9))</formula>
    </cfRule>
    <cfRule type="expression" dxfId="68" priority="60">
      <formula>COLUMNS($O$9:O9)&lt;=$F9</formula>
    </cfRule>
  </conditionalFormatting>
  <conditionalFormatting sqref="O29:DJ47">
    <cfRule type="expression" priority="51" stopIfTrue="1">
      <formula>$F29=""</formula>
    </cfRule>
    <cfRule type="expression" dxfId="67" priority="52">
      <formula>AND(COLUMNS($O$9:O29)&gt;($F29+$G29+$H29),COLUMNS(O$9:O29)&lt;=100)</formula>
    </cfRule>
    <cfRule type="expression" dxfId="66" priority="53">
      <formula>AND(COLUMNS($O$9:O29)&gt;($F29+$G29),COLUMNS($O$9:O29)&lt;=($F29+$G29+$H29))</formula>
    </cfRule>
    <cfRule type="expression" dxfId="65" priority="54">
      <formula>AND(COLUMNS($O$9:O29)&gt;$F29,COLUMNS($O$9:O29)&lt;=($F29+$G29))</formula>
    </cfRule>
    <cfRule type="expression" dxfId="64" priority="55">
      <formula>COLUMNS($O$9:O29)&lt;=$F29</formula>
    </cfRule>
  </conditionalFormatting>
  <conditionalFormatting sqref="O49:DJ67">
    <cfRule type="expression" priority="46" stopIfTrue="1">
      <formula>$F49=""</formula>
    </cfRule>
    <cfRule type="expression" dxfId="63" priority="47">
      <formula>AND(COLUMNS($O$9:O49)&gt;($F49+$G49+$H49),COLUMNS(O$9:O49)&lt;=100)</formula>
    </cfRule>
    <cfRule type="expression" dxfId="62" priority="48">
      <formula>AND(COLUMNS($O$9:O49)&gt;($F49+$G49),COLUMNS($O$9:O49)&lt;=($F49+$G49+$H49))</formula>
    </cfRule>
    <cfRule type="expression" dxfId="61" priority="49">
      <formula>AND(COLUMNS($O$9:O49)&gt;$F49,COLUMNS($O$9:O49)&lt;=($F49+$G49))</formula>
    </cfRule>
    <cfRule type="expression" dxfId="60" priority="50">
      <formula>COLUMNS($O$9:O49)&lt;=$F49</formula>
    </cfRule>
  </conditionalFormatting>
  <conditionalFormatting sqref="O69:DJ87">
    <cfRule type="expression" priority="41" stopIfTrue="1">
      <formula>$F69=""</formula>
    </cfRule>
    <cfRule type="expression" dxfId="59" priority="42">
      <formula>AND(COLUMNS($O$9:O69)&gt;($F69+$G69+$H69),COLUMNS(O$9:O69)&lt;=100)</formula>
    </cfRule>
    <cfRule type="expression" dxfId="58" priority="43">
      <formula>AND(COLUMNS($O$9:O69)&gt;($F69+$G69),COLUMNS($O$9:O69)&lt;=($F69+$G69+$H69))</formula>
    </cfRule>
    <cfRule type="expression" dxfId="57" priority="44">
      <formula>AND(COLUMNS($O$9:O69)&gt;$F69,COLUMNS($O$9:O69)&lt;=($F69+$G69))</formula>
    </cfRule>
    <cfRule type="expression" dxfId="56" priority="45">
      <formula>COLUMNS($O$9:O69)&lt;=$F69</formula>
    </cfRule>
  </conditionalFormatting>
  <conditionalFormatting sqref="O89:DJ107">
    <cfRule type="expression" priority="36" stopIfTrue="1">
      <formula>$F89=""</formula>
    </cfRule>
    <cfRule type="expression" dxfId="55" priority="37">
      <formula>AND(COLUMNS($O$9:O89)&gt;($F89+$G89+$H89),COLUMNS(O$9:O89)&lt;=100)</formula>
    </cfRule>
    <cfRule type="expression" dxfId="54" priority="38">
      <formula>AND(COLUMNS($O$9:O89)&gt;($F89+$G89),COLUMNS($O$9:O89)&lt;=($F89+$G89+$H89))</formula>
    </cfRule>
    <cfRule type="expression" dxfId="53" priority="39">
      <formula>AND(COLUMNS($O$9:O89)&gt;$F89,COLUMNS($O$9:O89)&lt;=($F89+$G89))</formula>
    </cfRule>
    <cfRule type="expression" dxfId="52" priority="40">
      <formula>COLUMNS($O$9:O89)&lt;=$F89</formula>
    </cfRule>
  </conditionalFormatting>
  <conditionalFormatting sqref="O109:DJ127">
    <cfRule type="expression" priority="31" stopIfTrue="1">
      <formula>$F109=""</formula>
    </cfRule>
    <cfRule type="expression" dxfId="51" priority="32">
      <formula>AND(COLUMNS($O$9:O109)&gt;($F109+$G109+$H109),COLUMNS(O$9:O109)&lt;=100)</formula>
    </cfRule>
    <cfRule type="expression" dxfId="50" priority="33">
      <formula>AND(COLUMNS($O$9:O109)&gt;($F109+$G109),COLUMNS($O$9:O109)&lt;=($F109+$G109+$H109))</formula>
    </cfRule>
    <cfRule type="expression" dxfId="49" priority="34">
      <formula>AND(COLUMNS($O$9:O109)&gt;$F109,COLUMNS($O$9:O109)&lt;=($F109+$G109))</formula>
    </cfRule>
    <cfRule type="expression" dxfId="48" priority="35">
      <formula>COLUMNS($O$9:O109)&lt;=$F109</formula>
    </cfRule>
  </conditionalFormatting>
  <conditionalFormatting sqref="O149:DJ167">
    <cfRule type="expression" priority="1" stopIfTrue="1">
      <formula>$F149=""</formula>
    </cfRule>
    <cfRule type="expression" dxfId="47" priority="2">
      <formula>AND(COLUMNS($O$9:O149)&gt;($F149+$G149+$H149),COLUMNS(O$9:O149)&lt;=100)</formula>
    </cfRule>
    <cfRule type="expression" dxfId="46" priority="3">
      <formula>AND(COLUMNS($O$9:O149)&gt;($F149+$G149),COLUMNS($O$9:O149)&lt;=($F149+$G149+$H149))</formula>
    </cfRule>
    <cfRule type="expression" dxfId="45" priority="4">
      <formula>AND(COLUMNS($O$9:O149)&gt;$F149,COLUMNS($O$9:O149)&lt;=($F149+$G149))</formula>
    </cfRule>
    <cfRule type="expression" dxfId="44" priority="5">
      <formula>COLUMNS($O$9:O149)&lt;=$F149</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8"/>
  <sheetViews>
    <sheetView workbookViewId="0">
      <selection activeCell="A15" sqref="A15"/>
    </sheetView>
  </sheetViews>
  <sheetFormatPr defaultRowHeight="15" x14ac:dyDescent="0.25"/>
  <cols>
    <col min="2" max="2" width="30.85546875" customWidth="1"/>
    <col min="3" max="4" width="23" style="83" customWidth="1"/>
    <col min="5" max="5" width="23" customWidth="1"/>
  </cols>
  <sheetData>
    <row r="1" spans="1:5" s="19" customFormat="1" x14ac:dyDescent="0.25">
      <c r="A1" s="19" t="s">
        <v>92</v>
      </c>
      <c r="B1" s="219" t="s">
        <v>96</v>
      </c>
      <c r="C1" s="219"/>
      <c r="D1" s="219"/>
      <c r="E1" s="19" t="s">
        <v>97</v>
      </c>
    </row>
    <row r="2" spans="1:5" x14ac:dyDescent="0.25">
      <c r="A2" t="s">
        <v>4</v>
      </c>
      <c r="B2" t="s">
        <v>1547</v>
      </c>
      <c r="C2" s="83" t="s">
        <v>1548</v>
      </c>
      <c r="D2" s="83">
        <v>43518</v>
      </c>
      <c r="E2" t="s">
        <v>93</v>
      </c>
    </row>
    <row r="3" spans="1:5" x14ac:dyDescent="0.25">
      <c r="A3" t="s">
        <v>6</v>
      </c>
      <c r="B3" t="s">
        <v>20</v>
      </c>
      <c r="C3" s="83" t="s">
        <v>1548</v>
      </c>
      <c r="D3" s="83">
        <v>43508</v>
      </c>
      <c r="E3" t="s">
        <v>94</v>
      </c>
    </row>
    <row r="4" spans="1:5" x14ac:dyDescent="0.25">
      <c r="A4" t="s">
        <v>11</v>
      </c>
      <c r="B4" t="s">
        <v>98</v>
      </c>
      <c r="C4" s="83" t="s">
        <v>1548</v>
      </c>
      <c r="D4" s="83">
        <v>43510</v>
      </c>
      <c r="E4" t="s">
        <v>95</v>
      </c>
    </row>
    <row r="5" spans="1:5" x14ac:dyDescent="0.25">
      <c r="A5" t="s">
        <v>1670</v>
      </c>
      <c r="B5" t="s">
        <v>65</v>
      </c>
      <c r="C5" s="83" t="s">
        <v>1548</v>
      </c>
      <c r="D5" s="83">
        <v>43510</v>
      </c>
    </row>
    <row r="6" spans="1:5" x14ac:dyDescent="0.25">
      <c r="A6" t="s">
        <v>17</v>
      </c>
      <c r="B6" t="s">
        <v>55</v>
      </c>
      <c r="C6" s="83" t="s">
        <v>1548</v>
      </c>
      <c r="D6" s="83">
        <v>43511</v>
      </c>
    </row>
    <row r="7" spans="1:5" x14ac:dyDescent="0.25">
      <c r="A7" t="s">
        <v>8</v>
      </c>
      <c r="B7" t="s">
        <v>75</v>
      </c>
      <c r="C7" s="83" t="s">
        <v>1548</v>
      </c>
      <c r="D7" s="83">
        <v>43508</v>
      </c>
    </row>
    <row r="8" spans="1:5" x14ac:dyDescent="0.25">
      <c r="A8" t="s">
        <v>12</v>
      </c>
      <c r="B8" t="s">
        <v>80</v>
      </c>
      <c r="C8" s="83" t="s">
        <v>1548</v>
      </c>
      <c r="D8" s="83">
        <v>43508</v>
      </c>
    </row>
    <row r="9" spans="1:5" x14ac:dyDescent="0.25">
      <c r="A9" t="s">
        <v>5</v>
      </c>
      <c r="B9" t="s">
        <v>89</v>
      </c>
      <c r="C9" s="83" t="s">
        <v>1548</v>
      </c>
      <c r="D9" s="83">
        <v>43518</v>
      </c>
    </row>
    <row r="10" spans="1:5" x14ac:dyDescent="0.25">
      <c r="A10" t="s">
        <v>7</v>
      </c>
      <c r="B10" t="s">
        <v>1853</v>
      </c>
      <c r="C10" s="83" t="s">
        <v>1548</v>
      </c>
      <c r="D10" s="83">
        <v>43509</v>
      </c>
    </row>
    <row r="11" spans="1:5" x14ac:dyDescent="0.25">
      <c r="A11" t="s">
        <v>13</v>
      </c>
      <c r="B11" t="s">
        <v>1636</v>
      </c>
      <c r="C11" s="83" t="s">
        <v>1548</v>
      </c>
      <c r="D11" s="83">
        <v>43472</v>
      </c>
    </row>
    <row r="12" spans="1:5" x14ac:dyDescent="0.25">
      <c r="A12" t="s">
        <v>14</v>
      </c>
      <c r="B12" t="s">
        <v>1744</v>
      </c>
      <c r="C12" s="83" t="s">
        <v>1548</v>
      </c>
      <c r="D12" s="83">
        <v>43518</v>
      </c>
    </row>
    <row r="13" spans="1:5" x14ac:dyDescent="0.25">
      <c r="A13" t="s">
        <v>18</v>
      </c>
    </row>
    <row r="14" spans="1:5" x14ac:dyDescent="0.25">
      <c r="A14" t="s">
        <v>9</v>
      </c>
    </row>
    <row r="15" spans="1:5" x14ac:dyDescent="0.25">
      <c r="A15" t="s">
        <v>15</v>
      </c>
    </row>
    <row r="16" spans="1:5" x14ac:dyDescent="0.25">
      <c r="A16" t="s">
        <v>10</v>
      </c>
    </row>
    <row r="17" spans="1:1" x14ac:dyDescent="0.25">
      <c r="A17" t="s">
        <v>16</v>
      </c>
    </row>
    <row r="18" spans="1:1" x14ac:dyDescent="0.25">
      <c r="A18" t="s">
        <v>19</v>
      </c>
    </row>
  </sheetData>
  <mergeCells count="1">
    <mergeCell ref="B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14"/>
  <sheetViews>
    <sheetView zoomScale="87" zoomScaleNormal="87" workbookViewId="0">
      <pane ySplit="6" topLeftCell="A184" activePane="bottomLeft" state="frozen"/>
      <selection pane="bottomLeft" activeCell="B120" sqref="B120"/>
    </sheetView>
  </sheetViews>
  <sheetFormatPr defaultRowHeight="15" x14ac:dyDescent="0.25"/>
  <cols>
    <col min="1" max="1" width="9.140625" style="13"/>
    <col min="2" max="2" width="8" style="13" bestFit="1" customWidth="1"/>
    <col min="3" max="3" width="0.85546875" style="22" customWidth="1"/>
    <col min="4" max="4" width="40.7109375" style="19" customWidth="1"/>
    <col min="5" max="9" width="12.7109375" style="44" customWidth="1"/>
    <col min="10" max="10" width="9.140625" style="107" hidden="1" customWidth="1"/>
    <col min="11" max="13" width="9.140625" style="96" hidden="1" customWidth="1"/>
    <col min="14" max="14" width="9.140625" hidden="1" customWidth="1"/>
    <col min="15" max="15" width="9.140625" customWidth="1"/>
  </cols>
  <sheetData>
    <row r="1" spans="1:14" ht="39.950000000000003" customHeight="1" x14ac:dyDescent="0.25">
      <c r="D1" s="170" t="s">
        <v>67</v>
      </c>
      <c r="E1" s="32"/>
      <c r="F1" s="33"/>
      <c r="G1" s="32"/>
      <c r="H1" s="179" t="s">
        <v>71</v>
      </c>
      <c r="I1" s="180"/>
      <c r="J1" s="95"/>
    </row>
    <row r="2" spans="1:14" s="93" customFormat="1" ht="30" customHeight="1" x14ac:dyDescent="0.25">
      <c r="C2" s="94"/>
      <c r="D2" s="183" t="s">
        <v>69</v>
      </c>
      <c r="E2" s="184"/>
      <c r="F2" s="184"/>
      <c r="G2" s="184"/>
      <c r="H2" s="184"/>
      <c r="I2" s="185"/>
      <c r="J2" s="97"/>
      <c r="K2" s="98"/>
      <c r="L2" s="98"/>
      <c r="M2" s="98"/>
    </row>
    <row r="3" spans="1:14" s="14" customFormat="1" x14ac:dyDescent="0.25">
      <c r="C3" s="23"/>
      <c r="D3" s="186" t="s">
        <v>68</v>
      </c>
      <c r="E3" s="187"/>
      <c r="F3" s="187"/>
      <c r="G3" s="187"/>
      <c r="H3" s="187"/>
      <c r="I3" s="188"/>
      <c r="J3" s="99"/>
      <c r="K3" s="100"/>
      <c r="L3" s="100"/>
      <c r="M3" s="100"/>
    </row>
    <row r="4" spans="1:14" s="14" customFormat="1" x14ac:dyDescent="0.25">
      <c r="C4" s="23"/>
      <c r="D4" s="186" t="s">
        <v>70</v>
      </c>
      <c r="E4" s="187"/>
      <c r="F4" s="187"/>
      <c r="G4" s="187"/>
      <c r="H4" s="187"/>
      <c r="I4" s="188"/>
      <c r="J4" s="99"/>
      <c r="K4" s="100"/>
      <c r="L4" s="100"/>
      <c r="M4" s="100"/>
    </row>
    <row r="5" spans="1:14" s="2" customFormat="1" ht="5.0999999999999996" customHeight="1" x14ac:dyDescent="0.25">
      <c r="A5" s="15"/>
      <c r="B5" s="15"/>
      <c r="C5" s="24"/>
      <c r="D5" s="181"/>
      <c r="E5" s="34"/>
      <c r="F5" s="34"/>
      <c r="G5" s="34"/>
      <c r="H5" s="34"/>
      <c r="I5" s="92"/>
      <c r="J5" s="101"/>
      <c r="K5" s="102"/>
      <c r="L5" s="102"/>
      <c r="M5" s="102"/>
    </row>
    <row r="6" spans="1:14" s="13" customFormat="1" ht="15" customHeight="1" x14ac:dyDescent="0.25">
      <c r="C6" s="22"/>
      <c r="D6" s="182"/>
      <c r="E6" s="27" t="s">
        <v>30</v>
      </c>
      <c r="F6" s="28" t="s">
        <v>32</v>
      </c>
      <c r="G6" s="29" t="s">
        <v>54</v>
      </c>
      <c r="H6" s="30" t="s">
        <v>59</v>
      </c>
      <c r="I6" s="21" t="s">
        <v>31</v>
      </c>
      <c r="J6" s="103"/>
      <c r="K6" s="104"/>
      <c r="L6" s="105"/>
      <c r="M6" s="106"/>
    </row>
    <row r="7" spans="1:14" ht="3" customHeight="1" x14ac:dyDescent="0.25">
      <c r="A7" s="14"/>
      <c r="B7" s="16"/>
      <c r="C7"/>
    </row>
    <row r="8" spans="1:14" s="5" customFormat="1" ht="20.100000000000001" customHeight="1" x14ac:dyDescent="0.25">
      <c r="A8" s="14" t="s">
        <v>38</v>
      </c>
      <c r="B8" s="16" t="s">
        <v>0</v>
      </c>
      <c r="C8" s="25" t="s">
        <v>60</v>
      </c>
      <c r="D8" s="6" t="s">
        <v>76</v>
      </c>
      <c r="E8" s="37"/>
      <c r="F8" s="37"/>
      <c r="G8" s="37"/>
      <c r="H8" s="37"/>
      <c r="I8" s="48"/>
      <c r="J8" s="108"/>
      <c r="K8" s="109"/>
      <c r="L8" s="109"/>
      <c r="M8" s="109"/>
    </row>
    <row r="9" spans="1:14" ht="9.9499999999999993" customHeight="1" x14ac:dyDescent="0.25">
      <c r="A9" s="14"/>
      <c r="B9" s="16"/>
      <c r="C9" t="s">
        <v>39</v>
      </c>
    </row>
    <row r="10" spans="1:14" s="5" customFormat="1" ht="20.100000000000001" customHeight="1" x14ac:dyDescent="0.25">
      <c r="A10" s="14" t="s">
        <v>4</v>
      </c>
      <c r="B10" s="14"/>
      <c r="C10" s="25" t="s">
        <v>60</v>
      </c>
      <c r="D10" s="20" t="str">
        <f>IFERROR(A10&amp;"   ("&amp;COUNTIFS(#REF!,"="&amp;A10)&amp;")",A10)</f>
        <v>11 SOIS</v>
      </c>
      <c r="E10" s="45"/>
      <c r="F10" s="45"/>
      <c r="G10" s="45"/>
      <c r="H10" s="45"/>
      <c r="I10" s="46"/>
      <c r="J10" s="103"/>
      <c r="K10" s="104"/>
      <c r="L10" s="105"/>
      <c r="M10" s="106"/>
      <c r="N10" s="5" t="s">
        <v>1672</v>
      </c>
    </row>
    <row r="11" spans="1:14" s="5" customFormat="1" ht="20.100000000000001" customHeight="1" x14ac:dyDescent="0.25">
      <c r="A11" s="14" t="s">
        <v>4</v>
      </c>
      <c r="B11" s="16" t="s">
        <v>20</v>
      </c>
      <c r="C11" s="25" t="s">
        <v>60</v>
      </c>
      <c r="D11" s="6" t="s">
        <v>20</v>
      </c>
      <c r="E11" s="37"/>
      <c r="F11" s="37"/>
      <c r="G11" s="37"/>
      <c r="H11" s="37"/>
      <c r="I11" s="48"/>
      <c r="J11" s="103"/>
      <c r="K11" s="104"/>
      <c r="L11" s="105"/>
      <c r="M11" s="106"/>
      <c r="N11" s="5" t="s">
        <v>1673</v>
      </c>
    </row>
    <row r="12" spans="1:14" s="5" customFormat="1" ht="30" customHeight="1" x14ac:dyDescent="0.25">
      <c r="A12" s="14" t="s">
        <v>4</v>
      </c>
      <c r="B12" s="16" t="s">
        <v>20</v>
      </c>
      <c r="C12" s="25" t="s">
        <v>61</v>
      </c>
      <c r="D12" s="168" t="s">
        <v>25</v>
      </c>
      <c r="E12" s="38">
        <v>0</v>
      </c>
      <c r="F12" s="39">
        <v>0</v>
      </c>
      <c r="G12" s="40">
        <v>0</v>
      </c>
      <c r="H12" s="41">
        <v>0</v>
      </c>
      <c r="I12" s="42">
        <f>SUM(E12:H12)</f>
        <v>0</v>
      </c>
      <c r="J12" s="103" t="str">
        <f>IFERROR(E12/$I12*100,"")</f>
        <v/>
      </c>
      <c r="K12" s="104" t="str">
        <f>IFERROR(F12/$I12*100,"")</f>
        <v/>
      </c>
      <c r="L12" s="105" t="str">
        <f>IFERROR(G12/$I12*100,"")</f>
        <v/>
      </c>
      <c r="M12" s="106" t="str">
        <f>IFERROR(H12/$I12*100,"")</f>
        <v/>
      </c>
      <c r="N12" s="5" t="s">
        <v>1671</v>
      </c>
    </row>
    <row r="13" spans="1:14" ht="5.0999999999999996" customHeight="1" x14ac:dyDescent="0.25">
      <c r="A13" s="14" t="s">
        <v>4</v>
      </c>
      <c r="B13" s="16" t="s">
        <v>20</v>
      </c>
      <c r="C13"/>
      <c r="D13" s="57"/>
      <c r="E13" s="59"/>
      <c r="F13" s="59"/>
      <c r="G13" s="59"/>
      <c r="H13" s="59"/>
      <c r="I13" s="59"/>
      <c r="J13" s="103"/>
      <c r="K13" s="104"/>
      <c r="L13" s="105"/>
      <c r="M13" s="106" t="str">
        <f t="shared" ref="M13:M76" si="0">IFERROR(H13/$I13*100,"")</f>
        <v/>
      </c>
    </row>
    <row r="14" spans="1:14" s="5" customFormat="1" ht="20.100000000000001" customHeight="1" x14ac:dyDescent="0.25">
      <c r="A14" s="14" t="s">
        <v>4</v>
      </c>
      <c r="B14" s="16" t="s">
        <v>26</v>
      </c>
      <c r="C14" s="25" t="s">
        <v>60</v>
      </c>
      <c r="D14" s="116" t="s">
        <v>98</v>
      </c>
      <c r="E14" s="37"/>
      <c r="F14" s="37"/>
      <c r="G14" s="37"/>
      <c r="H14" s="37"/>
      <c r="I14" s="47"/>
      <c r="J14" s="103"/>
      <c r="K14" s="104"/>
      <c r="L14" s="105"/>
      <c r="M14" s="106" t="str">
        <f t="shared" si="0"/>
        <v/>
      </c>
      <c r="N14" s="5" t="s">
        <v>1673</v>
      </c>
    </row>
    <row r="15" spans="1:14" s="5" customFormat="1" ht="30" customHeight="1" x14ac:dyDescent="0.25">
      <c r="A15" s="14" t="s">
        <v>4</v>
      </c>
      <c r="B15" s="16" t="s">
        <v>26</v>
      </c>
      <c r="C15" s="25" t="s">
        <v>61</v>
      </c>
      <c r="D15" s="169" t="s">
        <v>21</v>
      </c>
      <c r="E15" s="38">
        <v>0</v>
      </c>
      <c r="F15" s="39">
        <v>0</v>
      </c>
      <c r="G15" s="40">
        <v>0</v>
      </c>
      <c r="H15" s="41">
        <v>0</v>
      </c>
      <c r="I15" s="42">
        <f t="shared" ref="I15:I22" si="1">SUM(E15:H15)</f>
        <v>0</v>
      </c>
      <c r="J15" s="103" t="str">
        <f t="shared" ref="J15:L22" si="2">IFERROR(E15/$I15*100,"")</f>
        <v/>
      </c>
      <c r="K15" s="104" t="str">
        <f t="shared" si="2"/>
        <v/>
      </c>
      <c r="L15" s="105" t="str">
        <f t="shared" si="2"/>
        <v/>
      </c>
      <c r="M15" s="106" t="str">
        <f t="shared" si="0"/>
        <v/>
      </c>
    </row>
    <row r="16" spans="1:14" s="5" customFormat="1" ht="30" customHeight="1" x14ac:dyDescent="0.25">
      <c r="A16" s="14" t="s">
        <v>4</v>
      </c>
      <c r="B16" s="16" t="s">
        <v>26</v>
      </c>
      <c r="C16" s="25" t="s">
        <v>61</v>
      </c>
      <c r="D16" s="169" t="s">
        <v>22</v>
      </c>
      <c r="E16" s="38">
        <v>0</v>
      </c>
      <c r="F16" s="39">
        <v>0</v>
      </c>
      <c r="G16" s="40">
        <v>0</v>
      </c>
      <c r="H16" s="41">
        <v>0</v>
      </c>
      <c r="I16" s="42">
        <f t="shared" si="1"/>
        <v>0</v>
      </c>
      <c r="J16" s="103" t="str">
        <f t="shared" si="2"/>
        <v/>
      </c>
      <c r="K16" s="104" t="str">
        <f t="shared" si="2"/>
        <v/>
      </c>
      <c r="L16" s="105" t="str">
        <f t="shared" si="2"/>
        <v/>
      </c>
      <c r="M16" s="106" t="str">
        <f t="shared" si="0"/>
        <v/>
      </c>
    </row>
    <row r="17" spans="1:14" s="5" customFormat="1" ht="30" customHeight="1" x14ac:dyDescent="0.25">
      <c r="A17" s="14" t="s">
        <v>4</v>
      </c>
      <c r="B17" s="16" t="s">
        <v>26</v>
      </c>
      <c r="C17" s="25" t="s">
        <v>61</v>
      </c>
      <c r="D17" s="169" t="s">
        <v>27</v>
      </c>
      <c r="E17" s="38">
        <v>0</v>
      </c>
      <c r="F17" s="39">
        <v>0</v>
      </c>
      <c r="G17" s="40">
        <v>0</v>
      </c>
      <c r="H17" s="41">
        <v>0</v>
      </c>
      <c r="I17" s="42">
        <f t="shared" si="1"/>
        <v>0</v>
      </c>
      <c r="J17" s="103" t="str">
        <f t="shared" si="2"/>
        <v/>
      </c>
      <c r="K17" s="104" t="str">
        <f t="shared" si="2"/>
        <v/>
      </c>
      <c r="L17" s="105" t="str">
        <f t="shared" si="2"/>
        <v/>
      </c>
      <c r="M17" s="106" t="str">
        <f t="shared" si="0"/>
        <v/>
      </c>
    </row>
    <row r="18" spans="1:14" s="5" customFormat="1" ht="30" customHeight="1" x14ac:dyDescent="0.25">
      <c r="A18" s="14" t="s">
        <v>4</v>
      </c>
      <c r="B18" s="16" t="s">
        <v>26</v>
      </c>
      <c r="C18" s="25" t="s">
        <v>61</v>
      </c>
      <c r="D18" s="169" t="s">
        <v>23</v>
      </c>
      <c r="E18" s="38">
        <v>0</v>
      </c>
      <c r="F18" s="39">
        <v>0</v>
      </c>
      <c r="G18" s="40">
        <v>0</v>
      </c>
      <c r="H18" s="41">
        <v>0</v>
      </c>
      <c r="I18" s="42">
        <f t="shared" si="1"/>
        <v>0</v>
      </c>
      <c r="J18" s="103" t="str">
        <f t="shared" si="2"/>
        <v/>
      </c>
      <c r="K18" s="104" t="str">
        <f t="shared" si="2"/>
        <v/>
      </c>
      <c r="L18" s="105" t="str">
        <f t="shared" si="2"/>
        <v/>
      </c>
      <c r="M18" s="106" t="str">
        <f t="shared" si="0"/>
        <v/>
      </c>
    </row>
    <row r="19" spans="1:14" s="5" customFormat="1" ht="30" customHeight="1" x14ac:dyDescent="0.25">
      <c r="A19" s="14" t="s">
        <v>4</v>
      </c>
      <c r="B19" s="16" t="s">
        <v>26</v>
      </c>
      <c r="C19" s="25" t="s">
        <v>61</v>
      </c>
      <c r="D19" s="169" t="s">
        <v>24</v>
      </c>
      <c r="E19" s="38">
        <v>0</v>
      </c>
      <c r="F19" s="39">
        <v>0</v>
      </c>
      <c r="G19" s="40">
        <v>0</v>
      </c>
      <c r="H19" s="41">
        <v>0</v>
      </c>
      <c r="I19" s="42">
        <f t="shared" si="1"/>
        <v>0</v>
      </c>
      <c r="J19" s="103" t="str">
        <f t="shared" si="2"/>
        <v/>
      </c>
      <c r="K19" s="104" t="str">
        <f t="shared" si="2"/>
        <v/>
      </c>
      <c r="L19" s="105" t="str">
        <f t="shared" si="2"/>
        <v/>
      </c>
      <c r="M19" s="106" t="str">
        <f t="shared" si="0"/>
        <v/>
      </c>
    </row>
    <row r="20" spans="1:14" s="5" customFormat="1" ht="30" customHeight="1" x14ac:dyDescent="0.25">
      <c r="A20" s="14" t="s">
        <v>4</v>
      </c>
      <c r="B20" s="16" t="s">
        <v>26</v>
      </c>
      <c r="C20" s="25" t="s">
        <v>61</v>
      </c>
      <c r="D20" s="169" t="s">
        <v>41</v>
      </c>
      <c r="E20" s="38">
        <v>0</v>
      </c>
      <c r="F20" s="39">
        <v>0</v>
      </c>
      <c r="G20" s="40">
        <v>0</v>
      </c>
      <c r="H20" s="41">
        <v>0</v>
      </c>
      <c r="I20" s="42">
        <f t="shared" si="1"/>
        <v>0</v>
      </c>
      <c r="J20" s="103" t="str">
        <f t="shared" si="2"/>
        <v/>
      </c>
      <c r="K20" s="104" t="str">
        <f t="shared" si="2"/>
        <v/>
      </c>
      <c r="L20" s="105" t="str">
        <f t="shared" si="2"/>
        <v/>
      </c>
      <c r="M20" s="106" t="str">
        <f t="shared" si="0"/>
        <v/>
      </c>
      <c r="N20" s="3"/>
    </row>
    <row r="21" spans="1:14" s="5" customFormat="1" ht="30" customHeight="1" x14ac:dyDescent="0.25">
      <c r="A21" s="14" t="s">
        <v>4</v>
      </c>
      <c r="B21" s="16" t="s">
        <v>26</v>
      </c>
      <c r="C21" s="25" t="s">
        <v>61</v>
      </c>
      <c r="D21" s="169" t="s">
        <v>28</v>
      </c>
      <c r="E21" s="38">
        <v>0</v>
      </c>
      <c r="F21" s="39">
        <v>0</v>
      </c>
      <c r="G21" s="40">
        <v>0</v>
      </c>
      <c r="H21" s="41">
        <v>0</v>
      </c>
      <c r="I21" s="42">
        <f t="shared" si="1"/>
        <v>0</v>
      </c>
      <c r="J21" s="103" t="str">
        <f t="shared" si="2"/>
        <v/>
      </c>
      <c r="K21" s="104" t="str">
        <f t="shared" si="2"/>
        <v/>
      </c>
      <c r="L21" s="105" t="str">
        <f t="shared" si="2"/>
        <v/>
      </c>
      <c r="M21" s="106" t="str">
        <f t="shared" si="0"/>
        <v/>
      </c>
    </row>
    <row r="22" spans="1:14" s="5" customFormat="1" ht="30" customHeight="1" x14ac:dyDescent="0.25">
      <c r="A22" s="14" t="s">
        <v>4</v>
      </c>
      <c r="B22" s="16" t="s">
        <v>26</v>
      </c>
      <c r="C22" s="25" t="s">
        <v>61</v>
      </c>
      <c r="D22" s="169" t="s">
        <v>40</v>
      </c>
      <c r="E22" s="38">
        <v>0</v>
      </c>
      <c r="F22" s="39">
        <v>0</v>
      </c>
      <c r="G22" s="40">
        <v>0</v>
      </c>
      <c r="H22" s="41">
        <v>0</v>
      </c>
      <c r="I22" s="42">
        <f t="shared" si="1"/>
        <v>0</v>
      </c>
      <c r="J22" s="103" t="str">
        <f t="shared" si="2"/>
        <v/>
      </c>
      <c r="K22" s="104" t="str">
        <f t="shared" si="2"/>
        <v/>
      </c>
      <c r="L22" s="105" t="str">
        <f t="shared" si="2"/>
        <v/>
      </c>
      <c r="M22" s="106" t="str">
        <f t="shared" si="0"/>
        <v/>
      </c>
    </row>
    <row r="23" spans="1:14" s="5" customFormat="1" ht="30" customHeight="1" x14ac:dyDescent="0.25">
      <c r="A23" s="14" t="s">
        <v>4</v>
      </c>
      <c r="B23" s="16" t="s">
        <v>26</v>
      </c>
      <c r="C23" s="25"/>
      <c r="D23" s="9" t="s">
        <v>29</v>
      </c>
      <c r="E23" s="38">
        <f>SUM(E15:E22)</f>
        <v>0</v>
      </c>
      <c r="F23" s="39">
        <f t="shared" ref="F23:I23" si="3">SUM(F15:F22)</f>
        <v>0</v>
      </c>
      <c r="G23" s="40">
        <f t="shared" si="3"/>
        <v>0</v>
      </c>
      <c r="H23" s="41">
        <f t="shared" si="3"/>
        <v>0</v>
      </c>
      <c r="I23" s="43">
        <f t="shared" si="3"/>
        <v>0</v>
      </c>
      <c r="J23" s="103" t="str">
        <f>IFERROR(E23/SUM($E23:$H23)*100,"")</f>
        <v/>
      </c>
      <c r="K23" s="104" t="str">
        <f>IFERROR(F23/SUM($E23:$H23)*100,"")</f>
        <v/>
      </c>
      <c r="L23" s="105" t="str">
        <f>IFERROR(G23/SUM($E23:$H23)*100,"")</f>
        <v/>
      </c>
      <c r="M23" s="106" t="str">
        <f t="shared" si="0"/>
        <v/>
      </c>
      <c r="N23" s="5" t="s">
        <v>1671</v>
      </c>
    </row>
    <row r="24" spans="1:14" ht="5.0999999999999996" customHeight="1" x14ac:dyDescent="0.25">
      <c r="A24" s="14" t="s">
        <v>4</v>
      </c>
      <c r="B24" s="16" t="s">
        <v>26</v>
      </c>
      <c r="C24"/>
      <c r="D24" s="57"/>
      <c r="E24" s="59"/>
      <c r="F24" s="59"/>
      <c r="G24" s="59"/>
      <c r="H24" s="59"/>
      <c r="I24" s="59"/>
      <c r="J24" s="103"/>
      <c r="K24" s="104"/>
      <c r="L24" s="105"/>
      <c r="M24" s="106" t="str">
        <f t="shared" si="0"/>
        <v/>
      </c>
    </row>
    <row r="25" spans="1:14" s="5" customFormat="1" ht="20.100000000000001" customHeight="1" x14ac:dyDescent="0.25">
      <c r="A25" s="14" t="s">
        <v>4</v>
      </c>
      <c r="B25" s="16" t="s">
        <v>64</v>
      </c>
      <c r="C25" s="25" t="s">
        <v>60</v>
      </c>
      <c r="D25" s="6" t="s">
        <v>65</v>
      </c>
      <c r="E25" s="37"/>
      <c r="F25" s="37"/>
      <c r="G25" s="37"/>
      <c r="H25" s="37"/>
      <c r="I25" s="48"/>
      <c r="J25" s="103"/>
      <c r="K25" s="104"/>
      <c r="L25" s="105"/>
      <c r="M25" s="106" t="str">
        <f t="shared" si="0"/>
        <v/>
      </c>
      <c r="N25" s="5" t="s">
        <v>1673</v>
      </c>
    </row>
    <row r="26" spans="1:14" s="5" customFormat="1" ht="30" customHeight="1" x14ac:dyDescent="0.25">
      <c r="A26" s="14" t="s">
        <v>4</v>
      </c>
      <c r="B26" s="16" t="s">
        <v>64</v>
      </c>
      <c r="C26" s="25" t="s">
        <v>61</v>
      </c>
      <c r="D26" s="168" t="s">
        <v>66</v>
      </c>
      <c r="E26" s="38">
        <v>0</v>
      </c>
      <c r="F26" s="39">
        <v>0</v>
      </c>
      <c r="G26" s="40">
        <v>0</v>
      </c>
      <c r="H26" s="41">
        <v>0</v>
      </c>
      <c r="I26" s="42">
        <f>SUM(E26:H26)</f>
        <v>0</v>
      </c>
      <c r="J26" s="103" t="str">
        <f>IFERROR(E26/$I26*100,"")</f>
        <v/>
      </c>
      <c r="K26" s="104" t="str">
        <f>IFERROR(F26/$I26*100,"")</f>
        <v/>
      </c>
      <c r="L26" s="105" t="str">
        <f>IFERROR(G26/$I26*100,"")</f>
        <v/>
      </c>
      <c r="M26" s="106" t="str">
        <f t="shared" si="0"/>
        <v/>
      </c>
      <c r="N26" s="5" t="s">
        <v>1671</v>
      </c>
    </row>
    <row r="27" spans="1:14" ht="5.0999999999999996" customHeight="1" x14ac:dyDescent="0.25">
      <c r="A27" s="14" t="s">
        <v>4</v>
      </c>
      <c r="B27" s="16" t="s">
        <v>64</v>
      </c>
      <c r="C27"/>
      <c r="D27" s="57"/>
      <c r="E27" s="59"/>
      <c r="F27" s="59"/>
      <c r="G27" s="59"/>
      <c r="H27" s="59"/>
      <c r="I27" s="59"/>
      <c r="J27" s="103"/>
      <c r="K27" s="104"/>
      <c r="L27" s="105"/>
      <c r="M27" s="106" t="str">
        <f t="shared" si="0"/>
        <v/>
      </c>
    </row>
    <row r="28" spans="1:14" s="5" customFormat="1" ht="20.100000000000001" customHeight="1" x14ac:dyDescent="0.25">
      <c r="A28" s="14" t="s">
        <v>4</v>
      </c>
      <c r="B28" s="16" t="s">
        <v>55</v>
      </c>
      <c r="C28" s="25" t="s">
        <v>60</v>
      </c>
      <c r="D28" s="6" t="s">
        <v>55</v>
      </c>
      <c r="E28" s="37"/>
      <c r="F28" s="37"/>
      <c r="G28" s="37"/>
      <c r="H28" s="37"/>
      <c r="I28" s="48"/>
      <c r="J28" s="103"/>
      <c r="K28" s="104"/>
      <c r="L28" s="105"/>
      <c r="M28" s="106" t="str">
        <f t="shared" si="0"/>
        <v/>
      </c>
      <c r="N28" s="5" t="s">
        <v>1673</v>
      </c>
    </row>
    <row r="29" spans="1:14" s="3" customFormat="1" ht="30" customHeight="1" x14ac:dyDescent="0.25">
      <c r="A29" s="14" t="s">
        <v>4</v>
      </c>
      <c r="B29" s="16" t="s">
        <v>55</v>
      </c>
      <c r="C29" s="25" t="s">
        <v>61</v>
      </c>
      <c r="D29" s="168" t="s">
        <v>56</v>
      </c>
      <c r="E29" s="38">
        <v>0</v>
      </c>
      <c r="F29" s="39">
        <v>0</v>
      </c>
      <c r="G29" s="40">
        <v>0</v>
      </c>
      <c r="H29" s="41">
        <v>0</v>
      </c>
      <c r="I29" s="42">
        <f>SUM(E29:H29)</f>
        <v>0</v>
      </c>
      <c r="J29" s="103" t="str">
        <f t="shared" ref="J29:L31" si="4">IFERROR(E29/$I29*100,"")</f>
        <v/>
      </c>
      <c r="K29" s="104" t="str">
        <f t="shared" si="4"/>
        <v/>
      </c>
      <c r="L29" s="105" t="str">
        <f t="shared" si="4"/>
        <v/>
      </c>
      <c r="M29" s="106" t="str">
        <f t="shared" si="0"/>
        <v/>
      </c>
      <c r="N29" s="5"/>
    </row>
    <row r="30" spans="1:14" s="3" customFormat="1" ht="30" customHeight="1" x14ac:dyDescent="0.25">
      <c r="A30" s="14" t="s">
        <v>4</v>
      </c>
      <c r="B30" s="16" t="s">
        <v>55</v>
      </c>
      <c r="C30" s="25" t="s">
        <v>61</v>
      </c>
      <c r="D30" s="168" t="s">
        <v>57</v>
      </c>
      <c r="E30" s="38">
        <v>0</v>
      </c>
      <c r="F30" s="39">
        <v>0</v>
      </c>
      <c r="G30" s="40">
        <v>0</v>
      </c>
      <c r="H30" s="41">
        <v>0</v>
      </c>
      <c r="I30" s="42">
        <f>SUM(E30:H30)</f>
        <v>0</v>
      </c>
      <c r="J30" s="103" t="str">
        <f t="shared" si="4"/>
        <v/>
      </c>
      <c r="K30" s="104" t="str">
        <f t="shared" si="4"/>
        <v/>
      </c>
      <c r="L30" s="105" t="str">
        <f t="shared" si="4"/>
        <v/>
      </c>
      <c r="M30" s="106" t="str">
        <f t="shared" si="0"/>
        <v/>
      </c>
    </row>
    <row r="31" spans="1:14" s="3" customFormat="1" ht="30" customHeight="1" x14ac:dyDescent="0.25">
      <c r="A31" s="14" t="s">
        <v>4</v>
      </c>
      <c r="B31" s="16" t="s">
        <v>55</v>
      </c>
      <c r="C31" s="25"/>
      <c r="D31" s="168" t="s">
        <v>29</v>
      </c>
      <c r="E31" s="38">
        <f>SUM(E29:E30)</f>
        <v>0</v>
      </c>
      <c r="F31" s="39">
        <f t="shared" ref="F31:I31" si="5">SUM(F29:F30)</f>
        <v>0</v>
      </c>
      <c r="G31" s="40">
        <f t="shared" si="5"/>
        <v>0</v>
      </c>
      <c r="H31" s="41">
        <f t="shared" si="5"/>
        <v>0</v>
      </c>
      <c r="I31" s="42">
        <f t="shared" si="5"/>
        <v>0</v>
      </c>
      <c r="J31" s="103" t="str">
        <f t="shared" si="4"/>
        <v/>
      </c>
      <c r="K31" s="104" t="str">
        <f t="shared" si="4"/>
        <v/>
      </c>
      <c r="L31" s="105" t="str">
        <f t="shared" si="4"/>
        <v/>
      </c>
      <c r="M31" s="106" t="str">
        <f t="shared" si="0"/>
        <v/>
      </c>
      <c r="N31" s="5" t="s">
        <v>1671</v>
      </c>
    </row>
    <row r="32" spans="1:14" ht="5.0999999999999996" customHeight="1" x14ac:dyDescent="0.25">
      <c r="A32" s="14" t="s">
        <v>4</v>
      </c>
      <c r="B32" s="16" t="s">
        <v>55</v>
      </c>
      <c r="C32"/>
      <c r="D32" s="57"/>
      <c r="E32" s="59"/>
      <c r="F32" s="59"/>
      <c r="G32" s="59"/>
      <c r="H32" s="59"/>
      <c r="I32" s="59"/>
      <c r="J32" s="103"/>
      <c r="K32" s="104"/>
      <c r="L32" s="105"/>
      <c r="M32" s="106" t="str">
        <f t="shared" si="0"/>
        <v/>
      </c>
    </row>
    <row r="33" spans="1:14" s="5" customFormat="1" ht="20.100000000000001" customHeight="1" x14ac:dyDescent="0.25">
      <c r="A33" s="14" t="s">
        <v>4</v>
      </c>
      <c r="B33" s="16" t="s">
        <v>74</v>
      </c>
      <c r="C33" s="25" t="s">
        <v>60</v>
      </c>
      <c r="D33" s="6" t="s">
        <v>75</v>
      </c>
      <c r="E33" s="37"/>
      <c r="F33" s="37"/>
      <c r="G33" s="37"/>
      <c r="H33" s="37"/>
      <c r="I33" s="48"/>
      <c r="J33" s="103"/>
      <c r="K33" s="104"/>
      <c r="L33" s="105"/>
      <c r="M33" s="106" t="str">
        <f t="shared" si="0"/>
        <v/>
      </c>
      <c r="N33" s="5" t="s">
        <v>1673</v>
      </c>
    </row>
    <row r="34" spans="1:14" s="3" customFormat="1" ht="30" customHeight="1" x14ac:dyDescent="0.25">
      <c r="A34" s="14" t="s">
        <v>4</v>
      </c>
      <c r="B34" s="16" t="s">
        <v>74</v>
      </c>
      <c r="C34" s="25" t="s">
        <v>61</v>
      </c>
      <c r="D34" s="168" t="s">
        <v>77</v>
      </c>
      <c r="E34" s="38">
        <v>0</v>
      </c>
      <c r="F34" s="39">
        <v>0</v>
      </c>
      <c r="G34" s="40">
        <v>0</v>
      </c>
      <c r="H34" s="41">
        <v>0</v>
      </c>
      <c r="I34" s="42">
        <f>SUM(E34:H34)</f>
        <v>0</v>
      </c>
      <c r="J34" s="103" t="str">
        <f>IFERROR(E34/$I34*100,"")</f>
        <v/>
      </c>
      <c r="K34" s="104" t="str">
        <f>IFERROR(F34/$I34*100,"")</f>
        <v/>
      </c>
      <c r="L34" s="105" t="str">
        <f>IFERROR(G34/$I34*100,"")</f>
        <v/>
      </c>
      <c r="M34" s="106" t="str">
        <f t="shared" si="0"/>
        <v/>
      </c>
      <c r="N34" s="3" t="s">
        <v>1671</v>
      </c>
    </row>
    <row r="35" spans="1:14" ht="5.0999999999999996" customHeight="1" x14ac:dyDescent="0.25">
      <c r="A35" s="14" t="s">
        <v>4</v>
      </c>
      <c r="B35" s="16" t="s">
        <v>74</v>
      </c>
      <c r="C35"/>
      <c r="D35" s="57"/>
      <c r="E35" s="59"/>
      <c r="F35" s="59"/>
      <c r="G35" s="59"/>
      <c r="H35" s="59"/>
      <c r="I35" s="59"/>
      <c r="J35" s="103"/>
      <c r="K35" s="104"/>
      <c r="L35" s="105"/>
      <c r="M35" s="106" t="str">
        <f t="shared" si="0"/>
        <v/>
      </c>
    </row>
    <row r="36" spans="1:14" s="5" customFormat="1" ht="20.100000000000001" customHeight="1" x14ac:dyDescent="0.25">
      <c r="A36" s="14" t="s">
        <v>4</v>
      </c>
      <c r="B36" s="16" t="s">
        <v>78</v>
      </c>
      <c r="C36" s="25" t="s">
        <v>60</v>
      </c>
      <c r="D36" s="6" t="s">
        <v>80</v>
      </c>
      <c r="E36" s="37"/>
      <c r="F36" s="37"/>
      <c r="G36" s="37"/>
      <c r="H36" s="37"/>
      <c r="I36" s="48"/>
      <c r="J36" s="103"/>
      <c r="K36" s="104"/>
      <c r="L36" s="105"/>
      <c r="M36" s="106" t="str">
        <f t="shared" si="0"/>
        <v/>
      </c>
      <c r="N36" s="5" t="s">
        <v>1673</v>
      </c>
    </row>
    <row r="37" spans="1:14" s="5" customFormat="1" ht="30" customHeight="1" x14ac:dyDescent="0.25">
      <c r="A37" s="14" t="s">
        <v>4</v>
      </c>
      <c r="B37" s="16" t="s">
        <v>78</v>
      </c>
      <c r="C37" s="25" t="s">
        <v>61</v>
      </c>
      <c r="D37" s="168" t="s">
        <v>81</v>
      </c>
      <c r="E37" s="38">
        <v>0</v>
      </c>
      <c r="F37" s="39">
        <v>0</v>
      </c>
      <c r="G37" s="40">
        <v>0</v>
      </c>
      <c r="H37" s="41">
        <v>0</v>
      </c>
      <c r="I37" s="42">
        <f t="shared" ref="I37:I43" si="6">SUM(E37:H37)</f>
        <v>0</v>
      </c>
      <c r="J37" s="103" t="str">
        <f t="shared" ref="J37:L43" si="7">IFERROR(E37/$I37*100,"")</f>
        <v/>
      </c>
      <c r="K37" s="104" t="str">
        <f t="shared" si="7"/>
        <v/>
      </c>
      <c r="L37" s="105" t="str">
        <f t="shared" si="7"/>
        <v/>
      </c>
      <c r="M37" s="106" t="str">
        <f t="shared" si="0"/>
        <v/>
      </c>
    </row>
    <row r="38" spans="1:14" s="5" customFormat="1" ht="30" customHeight="1" x14ac:dyDescent="0.25">
      <c r="A38" s="14" t="s">
        <v>4</v>
      </c>
      <c r="B38" s="16" t="s">
        <v>78</v>
      </c>
      <c r="C38" s="25" t="s">
        <v>61</v>
      </c>
      <c r="D38" s="168" t="s">
        <v>82</v>
      </c>
      <c r="E38" s="38">
        <v>0</v>
      </c>
      <c r="F38" s="39">
        <v>0</v>
      </c>
      <c r="G38" s="40">
        <v>0</v>
      </c>
      <c r="H38" s="41">
        <v>0</v>
      </c>
      <c r="I38" s="42">
        <f t="shared" si="6"/>
        <v>0</v>
      </c>
      <c r="J38" s="103" t="str">
        <f t="shared" si="7"/>
        <v/>
      </c>
      <c r="K38" s="104" t="str">
        <f t="shared" si="7"/>
        <v/>
      </c>
      <c r="L38" s="105" t="str">
        <f t="shared" si="7"/>
        <v/>
      </c>
      <c r="M38" s="106" t="str">
        <f t="shared" si="0"/>
        <v/>
      </c>
    </row>
    <row r="39" spans="1:14" s="5" customFormat="1" ht="30" customHeight="1" x14ac:dyDescent="0.25">
      <c r="A39" s="14" t="s">
        <v>4</v>
      </c>
      <c r="B39" s="16" t="s">
        <v>78</v>
      </c>
      <c r="C39" s="25" t="s">
        <v>61</v>
      </c>
      <c r="D39" s="168" t="s">
        <v>83</v>
      </c>
      <c r="E39" s="38">
        <v>0</v>
      </c>
      <c r="F39" s="39">
        <v>0</v>
      </c>
      <c r="G39" s="40">
        <v>0</v>
      </c>
      <c r="H39" s="41">
        <v>0</v>
      </c>
      <c r="I39" s="42">
        <f t="shared" si="6"/>
        <v>0</v>
      </c>
      <c r="J39" s="103" t="str">
        <f t="shared" si="7"/>
        <v/>
      </c>
      <c r="K39" s="104" t="str">
        <f t="shared" si="7"/>
        <v/>
      </c>
      <c r="L39" s="105" t="str">
        <f t="shared" si="7"/>
        <v/>
      </c>
      <c r="M39" s="106" t="str">
        <f t="shared" si="0"/>
        <v/>
      </c>
    </row>
    <row r="40" spans="1:14" s="5" customFormat="1" ht="30" customHeight="1" x14ac:dyDescent="0.25">
      <c r="A40" s="14" t="s">
        <v>4</v>
      </c>
      <c r="B40" s="16" t="s">
        <v>78</v>
      </c>
      <c r="C40" s="25" t="s">
        <v>61</v>
      </c>
      <c r="D40" s="168" t="s">
        <v>88</v>
      </c>
      <c r="E40" s="38">
        <v>0</v>
      </c>
      <c r="F40" s="39">
        <v>0</v>
      </c>
      <c r="G40" s="40">
        <v>0</v>
      </c>
      <c r="H40" s="41">
        <v>0</v>
      </c>
      <c r="I40" s="42">
        <f t="shared" si="6"/>
        <v>0</v>
      </c>
      <c r="J40" s="103" t="str">
        <f t="shared" si="7"/>
        <v/>
      </c>
      <c r="K40" s="104" t="str">
        <f t="shared" si="7"/>
        <v/>
      </c>
      <c r="L40" s="105" t="str">
        <f t="shared" si="7"/>
        <v/>
      </c>
      <c r="M40" s="106" t="str">
        <f t="shared" si="0"/>
        <v/>
      </c>
    </row>
    <row r="41" spans="1:14" s="5" customFormat="1" ht="30" customHeight="1" x14ac:dyDescent="0.25">
      <c r="A41" s="14" t="s">
        <v>4</v>
      </c>
      <c r="B41" s="16" t="s">
        <v>78</v>
      </c>
      <c r="C41" s="25" t="s">
        <v>61</v>
      </c>
      <c r="D41" s="168" t="s">
        <v>87</v>
      </c>
      <c r="E41" s="38">
        <v>0</v>
      </c>
      <c r="F41" s="39">
        <v>0</v>
      </c>
      <c r="G41" s="40">
        <v>0</v>
      </c>
      <c r="H41" s="41">
        <v>0</v>
      </c>
      <c r="I41" s="42">
        <f t="shared" si="6"/>
        <v>0</v>
      </c>
      <c r="J41" s="103" t="str">
        <f t="shared" si="7"/>
        <v/>
      </c>
      <c r="K41" s="104" t="str">
        <f t="shared" si="7"/>
        <v/>
      </c>
      <c r="L41" s="105" t="str">
        <f t="shared" si="7"/>
        <v/>
      </c>
      <c r="M41" s="106" t="str">
        <f t="shared" si="0"/>
        <v/>
      </c>
    </row>
    <row r="42" spans="1:14" s="5" customFormat="1" ht="30" customHeight="1" x14ac:dyDescent="0.25">
      <c r="A42" s="14" t="s">
        <v>4</v>
      </c>
      <c r="B42" s="16" t="s">
        <v>78</v>
      </c>
      <c r="C42" s="25" t="s">
        <v>61</v>
      </c>
      <c r="D42" s="168" t="s">
        <v>84</v>
      </c>
      <c r="E42" s="38">
        <v>0</v>
      </c>
      <c r="F42" s="39">
        <v>0</v>
      </c>
      <c r="G42" s="40">
        <v>0</v>
      </c>
      <c r="H42" s="41">
        <v>0</v>
      </c>
      <c r="I42" s="42">
        <f t="shared" si="6"/>
        <v>0</v>
      </c>
      <c r="J42" s="103" t="str">
        <f t="shared" si="7"/>
        <v/>
      </c>
      <c r="K42" s="104" t="str">
        <f t="shared" si="7"/>
        <v/>
      </c>
      <c r="L42" s="105" t="str">
        <f t="shared" si="7"/>
        <v/>
      </c>
      <c r="M42" s="106" t="str">
        <f t="shared" si="0"/>
        <v/>
      </c>
    </row>
    <row r="43" spans="1:14" s="5" customFormat="1" ht="30" customHeight="1" x14ac:dyDescent="0.25">
      <c r="A43" s="14" t="s">
        <v>4</v>
      </c>
      <c r="B43" s="16" t="s">
        <v>78</v>
      </c>
      <c r="C43" s="25" t="s">
        <v>86</v>
      </c>
      <c r="D43" s="168" t="s">
        <v>79</v>
      </c>
      <c r="E43" s="38">
        <v>0</v>
      </c>
      <c r="F43" s="39">
        <v>0</v>
      </c>
      <c r="G43" s="40">
        <v>0</v>
      </c>
      <c r="H43" s="41">
        <v>0</v>
      </c>
      <c r="I43" s="42">
        <f t="shared" si="6"/>
        <v>0</v>
      </c>
      <c r="J43" s="103" t="str">
        <f t="shared" si="7"/>
        <v/>
      </c>
      <c r="K43" s="104" t="str">
        <f t="shared" si="7"/>
        <v/>
      </c>
      <c r="L43" s="105" t="str">
        <f t="shared" si="7"/>
        <v/>
      </c>
      <c r="M43" s="106" t="str">
        <f t="shared" si="0"/>
        <v/>
      </c>
      <c r="N43" s="5" t="s">
        <v>1671</v>
      </c>
    </row>
    <row r="44" spans="1:14" ht="5.0999999999999996" customHeight="1" x14ac:dyDescent="0.25">
      <c r="A44" s="14" t="s">
        <v>4</v>
      </c>
      <c r="B44" s="16" t="s">
        <v>78</v>
      </c>
      <c r="C44"/>
      <c r="D44" s="57"/>
      <c r="E44" s="59"/>
      <c r="F44" s="59"/>
      <c r="G44" s="59"/>
      <c r="H44" s="59"/>
      <c r="I44" s="59"/>
      <c r="J44" s="103"/>
      <c r="K44" s="104"/>
      <c r="L44" s="105"/>
      <c r="M44" s="106" t="str">
        <f t="shared" si="0"/>
        <v/>
      </c>
    </row>
    <row r="45" spans="1:14" s="5" customFormat="1" ht="20.100000000000001" customHeight="1" x14ac:dyDescent="0.25">
      <c r="A45" s="14" t="s">
        <v>4</v>
      </c>
      <c r="B45" s="16" t="s">
        <v>1642</v>
      </c>
      <c r="C45" s="25" t="s">
        <v>60</v>
      </c>
      <c r="D45" s="6" t="s">
        <v>1644</v>
      </c>
      <c r="E45" s="37"/>
      <c r="F45" s="37"/>
      <c r="G45" s="37"/>
      <c r="H45" s="37"/>
      <c r="I45" s="48"/>
      <c r="J45" s="103"/>
      <c r="K45" s="104"/>
      <c r="L45" s="105"/>
      <c r="M45" s="106" t="str">
        <f t="shared" si="0"/>
        <v/>
      </c>
      <c r="N45" s="5" t="s">
        <v>1673</v>
      </c>
    </row>
    <row r="46" spans="1:14" s="5" customFormat="1" ht="30" customHeight="1" x14ac:dyDescent="0.25">
      <c r="A46" s="14" t="s">
        <v>4</v>
      </c>
      <c r="B46" s="16" t="s">
        <v>1642</v>
      </c>
      <c r="C46" s="25" t="s">
        <v>61</v>
      </c>
      <c r="D46" s="168" t="s">
        <v>1643</v>
      </c>
      <c r="E46" s="38">
        <v>0</v>
      </c>
      <c r="F46" s="39">
        <v>0</v>
      </c>
      <c r="G46" s="40">
        <v>0</v>
      </c>
      <c r="H46" s="41">
        <v>0</v>
      </c>
      <c r="I46" s="42">
        <f t="shared" ref="I46" si="8">SUM(E46:H46)</f>
        <v>0</v>
      </c>
      <c r="J46" s="103" t="str">
        <f>IFERROR(E46/$I46*100,"")</f>
        <v/>
      </c>
      <c r="K46" s="104" t="str">
        <f>IFERROR(F46/$I46*100,"")</f>
        <v/>
      </c>
      <c r="L46" s="105" t="str">
        <f>IFERROR(G46/$I46*100,"")</f>
        <v/>
      </c>
      <c r="M46" s="106" t="str">
        <f t="shared" si="0"/>
        <v/>
      </c>
      <c r="N46" s="5" t="s">
        <v>1671</v>
      </c>
    </row>
    <row r="47" spans="1:14" ht="5.0999999999999996" customHeight="1" x14ac:dyDescent="0.25">
      <c r="A47" s="14" t="s">
        <v>4</v>
      </c>
      <c r="B47" s="16" t="s">
        <v>1642</v>
      </c>
      <c r="C47"/>
      <c r="D47" s="57"/>
      <c r="E47" s="59"/>
      <c r="F47" s="59"/>
      <c r="G47" s="59"/>
      <c r="H47" s="59"/>
      <c r="I47" s="59"/>
      <c r="J47" s="103"/>
      <c r="K47" s="104"/>
      <c r="L47" s="105"/>
      <c r="M47" s="106" t="str">
        <f t="shared" si="0"/>
        <v/>
      </c>
    </row>
    <row r="48" spans="1:14" s="5" customFormat="1" ht="20.100000000000001" customHeight="1" x14ac:dyDescent="0.25">
      <c r="A48" s="14" t="s">
        <v>4</v>
      </c>
      <c r="B48" s="16" t="s">
        <v>91</v>
      </c>
      <c r="C48" s="25" t="s">
        <v>60</v>
      </c>
      <c r="D48" s="6" t="s">
        <v>89</v>
      </c>
      <c r="E48" s="37"/>
      <c r="F48" s="37"/>
      <c r="G48" s="37"/>
      <c r="H48" s="37"/>
      <c r="I48" s="48"/>
      <c r="J48" s="103"/>
      <c r="K48" s="104"/>
      <c r="L48" s="105"/>
      <c r="M48" s="106" t="str">
        <f t="shared" si="0"/>
        <v/>
      </c>
      <c r="N48" s="5" t="s">
        <v>1673</v>
      </c>
    </row>
    <row r="49" spans="1:14" s="5" customFormat="1" ht="30" customHeight="1" x14ac:dyDescent="0.25">
      <c r="A49" s="14" t="s">
        <v>4</v>
      </c>
      <c r="B49" s="16" t="s">
        <v>91</v>
      </c>
      <c r="C49" s="25" t="s">
        <v>61</v>
      </c>
      <c r="D49" s="168" t="s">
        <v>90</v>
      </c>
      <c r="E49" s="38">
        <v>0</v>
      </c>
      <c r="F49" s="39">
        <v>0</v>
      </c>
      <c r="G49" s="40">
        <v>0</v>
      </c>
      <c r="H49" s="41">
        <v>0</v>
      </c>
      <c r="I49" s="42">
        <f t="shared" ref="I49" si="9">SUM(E49:H49)</f>
        <v>0</v>
      </c>
      <c r="J49" s="103" t="str">
        <f>IFERROR(E49/$I49*100,"")</f>
        <v/>
      </c>
      <c r="K49" s="104" t="str">
        <f>IFERROR(F49/$I49*100,"")</f>
        <v/>
      </c>
      <c r="L49" s="105" t="str">
        <f>IFERROR(G49/$I49*100,"")</f>
        <v/>
      </c>
      <c r="M49" s="106" t="str">
        <f t="shared" si="0"/>
        <v/>
      </c>
      <c r="N49" s="5" t="s">
        <v>1671</v>
      </c>
    </row>
    <row r="50" spans="1:14" ht="5.0999999999999996" customHeight="1" x14ac:dyDescent="0.25">
      <c r="A50" s="14" t="s">
        <v>4</v>
      </c>
      <c r="B50" s="16" t="s">
        <v>91</v>
      </c>
      <c r="C50"/>
      <c r="D50" s="57"/>
      <c r="E50" s="59"/>
      <c r="F50" s="59"/>
      <c r="G50" s="59"/>
      <c r="H50" s="59"/>
      <c r="I50" s="59"/>
      <c r="J50" s="103"/>
      <c r="K50" s="104"/>
      <c r="L50" s="105"/>
      <c r="M50" s="106" t="str">
        <f t="shared" si="0"/>
        <v/>
      </c>
    </row>
    <row r="51" spans="1:14" s="5" customFormat="1" ht="20.100000000000001" customHeight="1" x14ac:dyDescent="0.25">
      <c r="A51" s="14" t="s">
        <v>4</v>
      </c>
      <c r="B51" s="16" t="s">
        <v>1637</v>
      </c>
      <c r="C51" s="25" t="s">
        <v>60</v>
      </c>
      <c r="D51" s="6" t="s">
        <v>1636</v>
      </c>
      <c r="E51" s="37"/>
      <c r="F51" s="37"/>
      <c r="G51" s="37"/>
      <c r="H51" s="37"/>
      <c r="I51" s="48"/>
      <c r="J51" s="103"/>
      <c r="K51" s="104"/>
      <c r="L51" s="105"/>
      <c r="M51" s="106" t="str">
        <f t="shared" si="0"/>
        <v/>
      </c>
      <c r="N51" s="5" t="s">
        <v>1673</v>
      </c>
    </row>
    <row r="52" spans="1:14" s="3" customFormat="1" ht="30" customHeight="1" x14ac:dyDescent="0.25">
      <c r="A52" s="14" t="s">
        <v>4</v>
      </c>
      <c r="B52" s="16" t="s">
        <v>1637</v>
      </c>
      <c r="C52" s="25" t="s">
        <v>61</v>
      </c>
      <c r="D52" s="168" t="s">
        <v>1638</v>
      </c>
      <c r="E52" s="38">
        <v>0</v>
      </c>
      <c r="F52" s="39">
        <v>0</v>
      </c>
      <c r="G52" s="40">
        <v>0</v>
      </c>
      <c r="H52" s="41">
        <v>0</v>
      </c>
      <c r="I52" s="42">
        <f t="shared" ref="I52:I57" si="10">SUM(E52:H52)</f>
        <v>0</v>
      </c>
      <c r="J52" s="103" t="str">
        <f t="shared" ref="J52:L56" si="11">IFERROR(E52/$I52*100,"")</f>
        <v/>
      </c>
      <c r="K52" s="104" t="str">
        <f t="shared" si="11"/>
        <v/>
      </c>
      <c r="L52" s="105" t="str">
        <f t="shared" si="11"/>
        <v/>
      </c>
      <c r="M52" s="106" t="str">
        <f t="shared" si="0"/>
        <v/>
      </c>
    </row>
    <row r="53" spans="1:14" s="3" customFormat="1" ht="30" customHeight="1" x14ac:dyDescent="0.25">
      <c r="A53" s="14" t="s">
        <v>4</v>
      </c>
      <c r="B53" s="16" t="s">
        <v>1637</v>
      </c>
      <c r="C53" s="25" t="s">
        <v>61</v>
      </c>
      <c r="D53" s="168" t="s">
        <v>1669</v>
      </c>
      <c r="E53" s="38">
        <v>0</v>
      </c>
      <c r="F53" s="39">
        <v>0</v>
      </c>
      <c r="G53" s="40">
        <v>0</v>
      </c>
      <c r="H53" s="41">
        <v>0</v>
      </c>
      <c r="I53" s="42">
        <f t="shared" si="10"/>
        <v>0</v>
      </c>
      <c r="J53" s="103" t="str">
        <f t="shared" si="11"/>
        <v/>
      </c>
      <c r="K53" s="104" t="str">
        <f t="shared" si="11"/>
        <v/>
      </c>
      <c r="L53" s="105" t="str">
        <f t="shared" si="11"/>
        <v/>
      </c>
      <c r="M53" s="106" t="str">
        <f t="shared" si="0"/>
        <v/>
      </c>
    </row>
    <row r="54" spans="1:14" s="3" customFormat="1" ht="30" customHeight="1" x14ac:dyDescent="0.25">
      <c r="A54" s="14" t="s">
        <v>4</v>
      </c>
      <c r="B54" s="16" t="s">
        <v>1637</v>
      </c>
      <c r="C54" s="25" t="s">
        <v>61</v>
      </c>
      <c r="D54" s="168" t="s">
        <v>1640</v>
      </c>
      <c r="E54" s="38">
        <v>0</v>
      </c>
      <c r="F54" s="39">
        <v>0</v>
      </c>
      <c r="G54" s="40">
        <v>0</v>
      </c>
      <c r="H54" s="41">
        <v>0</v>
      </c>
      <c r="I54" s="42">
        <f t="shared" si="10"/>
        <v>0</v>
      </c>
      <c r="J54" s="103" t="str">
        <f t="shared" si="11"/>
        <v/>
      </c>
      <c r="K54" s="104" t="str">
        <f t="shared" si="11"/>
        <v/>
      </c>
      <c r="L54" s="105" t="str">
        <f t="shared" si="11"/>
        <v/>
      </c>
      <c r="M54" s="106" t="str">
        <f t="shared" si="0"/>
        <v/>
      </c>
    </row>
    <row r="55" spans="1:14" s="3" customFormat="1" ht="30" customHeight="1" x14ac:dyDescent="0.25">
      <c r="A55" s="14" t="s">
        <v>4</v>
      </c>
      <c r="B55" s="16" t="s">
        <v>1637</v>
      </c>
      <c r="C55" s="25" t="s">
        <v>61</v>
      </c>
      <c r="D55" s="168" t="s">
        <v>1639</v>
      </c>
      <c r="E55" s="38">
        <v>0</v>
      </c>
      <c r="F55" s="39">
        <v>0</v>
      </c>
      <c r="G55" s="40">
        <v>0</v>
      </c>
      <c r="H55" s="41">
        <v>0</v>
      </c>
      <c r="I55" s="42">
        <f t="shared" si="10"/>
        <v>0</v>
      </c>
      <c r="J55" s="103" t="str">
        <f t="shared" si="11"/>
        <v/>
      </c>
      <c r="K55" s="104" t="str">
        <f t="shared" si="11"/>
        <v/>
      </c>
      <c r="L55" s="105" t="str">
        <f t="shared" si="11"/>
        <v/>
      </c>
      <c r="M55" s="106" t="str">
        <f t="shared" si="0"/>
        <v/>
      </c>
    </row>
    <row r="56" spans="1:14" s="3" customFormat="1" ht="30" customHeight="1" x14ac:dyDescent="0.25">
      <c r="A56" s="14" t="s">
        <v>4</v>
      </c>
      <c r="B56" s="16" t="s">
        <v>1637</v>
      </c>
      <c r="C56" s="25" t="s">
        <v>61</v>
      </c>
      <c r="D56" s="168" t="s">
        <v>1641</v>
      </c>
      <c r="E56" s="38">
        <v>0</v>
      </c>
      <c r="F56" s="39">
        <v>0</v>
      </c>
      <c r="G56" s="40">
        <v>0</v>
      </c>
      <c r="H56" s="41">
        <v>0</v>
      </c>
      <c r="I56" s="42">
        <f t="shared" si="10"/>
        <v>0</v>
      </c>
      <c r="J56" s="103" t="str">
        <f t="shared" si="11"/>
        <v/>
      </c>
      <c r="K56" s="104" t="str">
        <f t="shared" si="11"/>
        <v/>
      </c>
      <c r="L56" s="105" t="str">
        <f t="shared" si="11"/>
        <v/>
      </c>
      <c r="M56" s="106" t="str">
        <f t="shared" si="0"/>
        <v/>
      </c>
    </row>
    <row r="57" spans="1:14" s="3" customFormat="1" ht="30" customHeight="1" x14ac:dyDescent="0.25">
      <c r="A57" s="14" t="s">
        <v>4</v>
      </c>
      <c r="B57" s="16" t="s">
        <v>1637</v>
      </c>
      <c r="C57" s="25"/>
      <c r="D57" s="168" t="s">
        <v>29</v>
      </c>
      <c r="E57" s="38">
        <f>SUM(E52:E56)</f>
        <v>0</v>
      </c>
      <c r="F57" s="39">
        <f>SUM(F52:F56)</f>
        <v>0</v>
      </c>
      <c r="G57" s="40">
        <f>SUM(G52:G56)</f>
        <v>0</v>
      </c>
      <c r="H57" s="41">
        <f>SUM(H52:H56)</f>
        <v>0</v>
      </c>
      <c r="I57" s="42">
        <f t="shared" si="10"/>
        <v>0</v>
      </c>
      <c r="J57" s="103" t="str">
        <f>IFERROR(E57/SUM($E57:$H57)*100,"")</f>
        <v/>
      </c>
      <c r="K57" s="104" t="str">
        <f>IFERROR(F57/SUM($E57:$H57)*100,"")</f>
        <v/>
      </c>
      <c r="L57" s="105" t="str">
        <f>IFERROR(G57/SUM($E57:$H57)*100,"")</f>
        <v/>
      </c>
      <c r="M57" s="106" t="str">
        <f t="shared" si="0"/>
        <v/>
      </c>
      <c r="N57" s="5" t="s">
        <v>1671</v>
      </c>
    </row>
    <row r="58" spans="1:14" ht="5.0999999999999996" customHeight="1" x14ac:dyDescent="0.25">
      <c r="A58" s="14" t="s">
        <v>4</v>
      </c>
      <c r="B58" s="16" t="s">
        <v>1637</v>
      </c>
      <c r="C58"/>
      <c r="J58" s="103"/>
      <c r="K58" s="104"/>
      <c r="L58" s="105"/>
      <c r="M58" s="106" t="str">
        <f t="shared" si="0"/>
        <v/>
      </c>
    </row>
    <row r="59" spans="1:14" s="5" customFormat="1" ht="20.100000000000001" customHeight="1" x14ac:dyDescent="0.25">
      <c r="A59" s="14" t="s">
        <v>4</v>
      </c>
      <c r="B59" s="16" t="s">
        <v>42</v>
      </c>
      <c r="C59" s="25" t="s">
        <v>60</v>
      </c>
      <c r="D59" s="6" t="s">
        <v>1744</v>
      </c>
      <c r="E59" s="37"/>
      <c r="F59" s="37"/>
      <c r="G59" s="37"/>
      <c r="H59" s="37"/>
      <c r="I59" s="48"/>
      <c r="J59" s="103"/>
      <c r="K59" s="104"/>
      <c r="L59" s="105"/>
      <c r="M59" s="106" t="str">
        <f t="shared" si="0"/>
        <v/>
      </c>
      <c r="N59" s="5" t="s">
        <v>1673</v>
      </c>
    </row>
    <row r="60" spans="1:14" s="5" customFormat="1" ht="30" customHeight="1" x14ac:dyDescent="0.25">
      <c r="A60" s="14" t="s">
        <v>4</v>
      </c>
      <c r="B60" s="16" t="s">
        <v>42</v>
      </c>
      <c r="C60" s="25" t="s">
        <v>61</v>
      </c>
      <c r="D60" s="168" t="s">
        <v>43</v>
      </c>
      <c r="E60" s="38">
        <v>0</v>
      </c>
      <c r="F60" s="39">
        <v>0</v>
      </c>
      <c r="G60" s="40">
        <v>0</v>
      </c>
      <c r="H60" s="41">
        <v>0</v>
      </c>
      <c r="I60" s="42">
        <f t="shared" ref="I60:I69" si="12">SUM(E60:H60)</f>
        <v>0</v>
      </c>
      <c r="J60" s="103" t="str">
        <f t="shared" ref="J60:L69" si="13">IFERROR(E60/$I60*100,"")</f>
        <v/>
      </c>
      <c r="K60" s="104" t="str">
        <f t="shared" si="13"/>
        <v/>
      </c>
      <c r="L60" s="105" t="str">
        <f t="shared" si="13"/>
        <v/>
      </c>
      <c r="M60" s="106" t="str">
        <f t="shared" si="0"/>
        <v/>
      </c>
      <c r="N60" s="3"/>
    </row>
    <row r="61" spans="1:14" s="5" customFormat="1" ht="30" customHeight="1" x14ac:dyDescent="0.25">
      <c r="A61" s="14" t="s">
        <v>4</v>
      </c>
      <c r="B61" s="16" t="s">
        <v>42</v>
      </c>
      <c r="C61" s="25" t="s">
        <v>61</v>
      </c>
      <c r="D61" s="168" t="s">
        <v>44</v>
      </c>
      <c r="E61" s="38">
        <v>0</v>
      </c>
      <c r="F61" s="39">
        <v>0</v>
      </c>
      <c r="G61" s="40">
        <v>0</v>
      </c>
      <c r="H61" s="41">
        <v>0</v>
      </c>
      <c r="I61" s="42">
        <f t="shared" si="12"/>
        <v>0</v>
      </c>
      <c r="J61" s="103" t="str">
        <f t="shared" si="13"/>
        <v/>
      </c>
      <c r="K61" s="104" t="str">
        <f t="shared" si="13"/>
        <v/>
      </c>
      <c r="L61" s="105" t="str">
        <f t="shared" si="13"/>
        <v/>
      </c>
      <c r="M61" s="106" t="str">
        <f t="shared" si="0"/>
        <v/>
      </c>
      <c r="N61" s="3"/>
    </row>
    <row r="62" spans="1:14" s="5" customFormat="1" ht="30" customHeight="1" x14ac:dyDescent="0.25">
      <c r="A62" s="14" t="s">
        <v>4</v>
      </c>
      <c r="B62" s="16" t="s">
        <v>42</v>
      </c>
      <c r="C62" s="25" t="s">
        <v>61</v>
      </c>
      <c r="D62" s="168" t="s">
        <v>45</v>
      </c>
      <c r="E62" s="38">
        <v>0</v>
      </c>
      <c r="F62" s="39">
        <v>0</v>
      </c>
      <c r="G62" s="40">
        <v>0</v>
      </c>
      <c r="H62" s="41">
        <v>0</v>
      </c>
      <c r="I62" s="42">
        <f t="shared" si="12"/>
        <v>0</v>
      </c>
      <c r="J62" s="103" t="str">
        <f t="shared" si="13"/>
        <v/>
      </c>
      <c r="K62" s="104" t="str">
        <f t="shared" si="13"/>
        <v/>
      </c>
      <c r="L62" s="105" t="str">
        <f t="shared" si="13"/>
        <v/>
      </c>
      <c r="M62" s="106" t="str">
        <f t="shared" si="0"/>
        <v/>
      </c>
      <c r="N62" s="3"/>
    </row>
    <row r="63" spans="1:14" s="5" customFormat="1" ht="30" customHeight="1" x14ac:dyDescent="0.25">
      <c r="A63" s="14" t="s">
        <v>4</v>
      </c>
      <c r="B63" s="16" t="s">
        <v>42</v>
      </c>
      <c r="C63" s="25" t="s">
        <v>61</v>
      </c>
      <c r="D63" s="168" t="s">
        <v>46</v>
      </c>
      <c r="E63" s="38">
        <v>0</v>
      </c>
      <c r="F63" s="39">
        <v>0</v>
      </c>
      <c r="G63" s="40">
        <v>0</v>
      </c>
      <c r="H63" s="41">
        <v>0</v>
      </c>
      <c r="I63" s="42">
        <f t="shared" si="12"/>
        <v>0</v>
      </c>
      <c r="J63" s="103" t="str">
        <f t="shared" si="13"/>
        <v/>
      </c>
      <c r="K63" s="104" t="str">
        <f t="shared" si="13"/>
        <v/>
      </c>
      <c r="L63" s="105" t="str">
        <f t="shared" si="13"/>
        <v/>
      </c>
      <c r="M63" s="106" t="str">
        <f t="shared" si="0"/>
        <v/>
      </c>
      <c r="N63" s="3"/>
    </row>
    <row r="64" spans="1:14" s="5" customFormat="1" ht="30" customHeight="1" x14ac:dyDescent="0.25">
      <c r="A64" s="14" t="s">
        <v>4</v>
      </c>
      <c r="B64" s="16" t="s">
        <v>42</v>
      </c>
      <c r="C64" s="25" t="s">
        <v>61</v>
      </c>
      <c r="D64" s="168" t="s">
        <v>51</v>
      </c>
      <c r="E64" s="38">
        <v>0</v>
      </c>
      <c r="F64" s="39">
        <v>0</v>
      </c>
      <c r="G64" s="40">
        <v>0</v>
      </c>
      <c r="H64" s="41">
        <v>0</v>
      </c>
      <c r="I64" s="42">
        <f t="shared" si="12"/>
        <v>0</v>
      </c>
      <c r="J64" s="103" t="str">
        <f t="shared" si="13"/>
        <v/>
      </c>
      <c r="K64" s="104" t="str">
        <f t="shared" si="13"/>
        <v/>
      </c>
      <c r="L64" s="105" t="str">
        <f t="shared" si="13"/>
        <v/>
      </c>
      <c r="M64" s="106" t="str">
        <f t="shared" si="0"/>
        <v/>
      </c>
      <c r="N64" s="3"/>
    </row>
    <row r="65" spans="1:14" s="5" customFormat="1" ht="30" customHeight="1" x14ac:dyDescent="0.25">
      <c r="A65" s="14" t="s">
        <v>4</v>
      </c>
      <c r="B65" s="16" t="s">
        <v>42</v>
      </c>
      <c r="C65" s="25" t="s">
        <v>61</v>
      </c>
      <c r="D65" s="168" t="s">
        <v>52</v>
      </c>
      <c r="E65" s="38">
        <v>0</v>
      </c>
      <c r="F65" s="39">
        <v>0</v>
      </c>
      <c r="G65" s="40">
        <v>0</v>
      </c>
      <c r="H65" s="41">
        <v>0</v>
      </c>
      <c r="I65" s="42">
        <f t="shared" si="12"/>
        <v>0</v>
      </c>
      <c r="J65" s="103" t="str">
        <f t="shared" si="13"/>
        <v/>
      </c>
      <c r="K65" s="104" t="str">
        <f t="shared" si="13"/>
        <v/>
      </c>
      <c r="L65" s="105" t="str">
        <f t="shared" si="13"/>
        <v/>
      </c>
      <c r="M65" s="106" t="str">
        <f t="shared" si="0"/>
        <v/>
      </c>
      <c r="N65" s="3"/>
    </row>
    <row r="66" spans="1:14" s="5" customFormat="1" ht="30" customHeight="1" x14ac:dyDescent="0.25">
      <c r="A66" s="14" t="s">
        <v>4</v>
      </c>
      <c r="B66" s="16" t="s">
        <v>42</v>
      </c>
      <c r="C66" s="25" t="s">
        <v>61</v>
      </c>
      <c r="D66" s="168" t="s">
        <v>47</v>
      </c>
      <c r="E66" s="38">
        <v>0</v>
      </c>
      <c r="F66" s="39">
        <v>0</v>
      </c>
      <c r="G66" s="40">
        <v>0</v>
      </c>
      <c r="H66" s="41">
        <v>0</v>
      </c>
      <c r="I66" s="42">
        <f t="shared" si="12"/>
        <v>0</v>
      </c>
      <c r="J66" s="103" t="str">
        <f t="shared" si="13"/>
        <v/>
      </c>
      <c r="K66" s="104" t="str">
        <f t="shared" si="13"/>
        <v/>
      </c>
      <c r="L66" s="105" t="str">
        <f t="shared" si="13"/>
        <v/>
      </c>
      <c r="M66" s="106" t="str">
        <f t="shared" si="0"/>
        <v/>
      </c>
      <c r="N66" s="3"/>
    </row>
    <row r="67" spans="1:14" s="5" customFormat="1" ht="30" customHeight="1" x14ac:dyDescent="0.25">
      <c r="A67" s="14" t="s">
        <v>4</v>
      </c>
      <c r="B67" s="16" t="s">
        <v>42</v>
      </c>
      <c r="C67" s="25" t="s">
        <v>61</v>
      </c>
      <c r="D67" s="168" t="s">
        <v>48</v>
      </c>
      <c r="E67" s="38">
        <v>0</v>
      </c>
      <c r="F67" s="39">
        <v>0</v>
      </c>
      <c r="G67" s="40">
        <v>0</v>
      </c>
      <c r="H67" s="41">
        <v>0</v>
      </c>
      <c r="I67" s="42">
        <f t="shared" si="12"/>
        <v>0</v>
      </c>
      <c r="J67" s="103" t="str">
        <f t="shared" si="13"/>
        <v/>
      </c>
      <c r="K67" s="104" t="str">
        <f t="shared" si="13"/>
        <v/>
      </c>
      <c r="L67" s="105" t="str">
        <f t="shared" si="13"/>
        <v/>
      </c>
      <c r="M67" s="106" t="str">
        <f t="shared" si="0"/>
        <v/>
      </c>
      <c r="N67" s="3"/>
    </row>
    <row r="68" spans="1:14" s="5" customFormat="1" ht="30" customHeight="1" x14ac:dyDescent="0.25">
      <c r="A68" s="14" t="s">
        <v>4</v>
      </c>
      <c r="B68" s="16" t="s">
        <v>42</v>
      </c>
      <c r="C68" s="25" t="s">
        <v>61</v>
      </c>
      <c r="D68" s="168" t="s">
        <v>49</v>
      </c>
      <c r="E68" s="38">
        <v>0</v>
      </c>
      <c r="F68" s="39">
        <v>0</v>
      </c>
      <c r="G68" s="40">
        <v>0</v>
      </c>
      <c r="H68" s="41">
        <v>0</v>
      </c>
      <c r="I68" s="42">
        <f t="shared" si="12"/>
        <v>0</v>
      </c>
      <c r="J68" s="103" t="str">
        <f t="shared" si="13"/>
        <v/>
      </c>
      <c r="K68" s="104" t="str">
        <f t="shared" si="13"/>
        <v/>
      </c>
      <c r="L68" s="105" t="str">
        <f t="shared" si="13"/>
        <v/>
      </c>
      <c r="M68" s="106" t="str">
        <f t="shared" si="0"/>
        <v/>
      </c>
      <c r="N68" s="3"/>
    </row>
    <row r="69" spans="1:14" s="5" customFormat="1" ht="30" customHeight="1" x14ac:dyDescent="0.25">
      <c r="A69" s="14" t="s">
        <v>4</v>
      </c>
      <c r="B69" s="16" t="s">
        <v>42</v>
      </c>
      <c r="C69" s="25" t="s">
        <v>61</v>
      </c>
      <c r="D69" s="168" t="s">
        <v>50</v>
      </c>
      <c r="E69" s="38">
        <v>0</v>
      </c>
      <c r="F69" s="39">
        <v>0</v>
      </c>
      <c r="G69" s="40">
        <v>0</v>
      </c>
      <c r="H69" s="41">
        <v>0</v>
      </c>
      <c r="I69" s="42">
        <f t="shared" si="12"/>
        <v>0</v>
      </c>
      <c r="J69" s="103" t="str">
        <f t="shared" si="13"/>
        <v/>
      </c>
      <c r="K69" s="104" t="str">
        <f t="shared" si="13"/>
        <v/>
      </c>
      <c r="L69" s="105" t="str">
        <f t="shared" si="13"/>
        <v/>
      </c>
      <c r="M69" s="106" t="str">
        <f t="shared" si="0"/>
        <v/>
      </c>
      <c r="N69" s="3"/>
    </row>
    <row r="70" spans="1:14" s="5" customFormat="1" ht="30" customHeight="1" x14ac:dyDescent="0.25">
      <c r="A70" s="14" t="s">
        <v>4</v>
      </c>
      <c r="B70" s="16" t="s">
        <v>42</v>
      </c>
      <c r="C70" s="25"/>
      <c r="D70" s="9" t="s">
        <v>29</v>
      </c>
      <c r="E70" s="38">
        <f>SUM(E60:E69)</f>
        <v>0</v>
      </c>
      <c r="F70" s="39">
        <f t="shared" ref="F70:I70" si="14">SUM(F60:F69)</f>
        <v>0</v>
      </c>
      <c r="G70" s="40">
        <f t="shared" si="14"/>
        <v>0</v>
      </c>
      <c r="H70" s="41">
        <f t="shared" si="14"/>
        <v>0</v>
      </c>
      <c r="I70" s="43">
        <f t="shared" si="14"/>
        <v>0</v>
      </c>
      <c r="J70" s="103" t="str">
        <f>IFERROR(E70/SUM($E70:$H70)*100,"")</f>
        <v/>
      </c>
      <c r="K70" s="104" t="str">
        <f>IFERROR(F70/SUM($E70:$H70)*100,"")</f>
        <v/>
      </c>
      <c r="L70" s="105" t="str">
        <f>IFERROR(G70/SUM($E70:$H70)*100,"")</f>
        <v/>
      </c>
      <c r="M70" s="106" t="str">
        <f t="shared" si="0"/>
        <v/>
      </c>
      <c r="N70" s="5" t="s">
        <v>1671</v>
      </c>
    </row>
    <row r="71" spans="1:14" ht="5.0999999999999996" customHeight="1" x14ac:dyDescent="0.25">
      <c r="A71" s="14" t="s">
        <v>4</v>
      </c>
      <c r="B71" s="16" t="s">
        <v>42</v>
      </c>
      <c r="C71"/>
      <c r="D71" s="57"/>
      <c r="E71" s="59"/>
      <c r="F71" s="59"/>
      <c r="G71" s="59"/>
      <c r="H71" s="59"/>
      <c r="I71" s="59"/>
      <c r="J71" s="103"/>
      <c r="K71" s="104"/>
      <c r="L71" s="105"/>
      <c r="M71" s="106" t="str">
        <f t="shared" si="0"/>
        <v/>
      </c>
    </row>
    <row r="72" spans="1:14" s="5" customFormat="1" ht="20.100000000000001" customHeight="1" x14ac:dyDescent="0.25">
      <c r="A72" s="14" t="s">
        <v>4</v>
      </c>
      <c r="B72" s="16" t="s">
        <v>62</v>
      </c>
      <c r="C72" s="25" t="s">
        <v>60</v>
      </c>
      <c r="D72" s="62" t="s">
        <v>63</v>
      </c>
      <c r="E72" s="63"/>
      <c r="F72" s="63"/>
      <c r="G72" s="63"/>
      <c r="H72" s="63"/>
      <c r="I72" s="64"/>
      <c r="J72" s="103"/>
      <c r="K72" s="104"/>
      <c r="L72" s="105"/>
      <c r="M72" s="106" t="str">
        <f t="shared" si="0"/>
        <v/>
      </c>
      <c r="N72" s="5" t="s">
        <v>1673</v>
      </c>
    </row>
    <row r="73" spans="1:14" s="5" customFormat="1" ht="30" customHeight="1" x14ac:dyDescent="0.25">
      <c r="A73" s="14" t="s">
        <v>4</v>
      </c>
      <c r="B73" s="16" t="s">
        <v>62</v>
      </c>
      <c r="C73" s="3" t="str">
        <f>IFERROR(#REF!/$I73,"")</f>
        <v/>
      </c>
      <c r="D73" s="168" t="s">
        <v>29</v>
      </c>
      <c r="E73" s="38">
        <f>SUM(E23,E12,E31,E70,E26,E34,E43,E49,E57,E46)</f>
        <v>0</v>
      </c>
      <c r="F73" s="39">
        <f>SUM(F23,F12,F31,F70,F26,F34,F43,F49,F57,F46)</f>
        <v>0</v>
      </c>
      <c r="G73" s="40">
        <f>SUM(G23,G12,G31,G70,G26,G34,G43,G49,G57,G46)</f>
        <v>0</v>
      </c>
      <c r="H73" s="41">
        <f>SUM(H23,H12,H31,H70,H26,H34,H43,H49,H57,H46)</f>
        <v>0</v>
      </c>
      <c r="I73" s="42">
        <f>SUM(I23,I12,I31,I70,I26,I34,I43,I49,I57,I46)</f>
        <v>0</v>
      </c>
      <c r="J73" s="103" t="str">
        <f>IFERROR(E73/SUM($E73:$H73)*100,"")</f>
        <v/>
      </c>
      <c r="K73" s="104" t="str">
        <f>IFERROR(F73/SUM($E73:$H73)*100,"")</f>
        <v/>
      </c>
      <c r="L73" s="105" t="str">
        <f>IFERROR(G73/SUM($E73:$H73)*100,"")</f>
        <v/>
      </c>
      <c r="M73" s="106" t="str">
        <f t="shared" si="0"/>
        <v/>
      </c>
      <c r="N73" s="5" t="s">
        <v>1671</v>
      </c>
    </row>
    <row r="74" spans="1:14" s="5" customFormat="1" ht="20.100000000000001" customHeight="1" x14ac:dyDescent="0.25">
      <c r="A74" s="14" t="s">
        <v>4</v>
      </c>
      <c r="B74" s="14"/>
      <c r="C74" s="23"/>
      <c r="D74" s="7"/>
      <c r="E74" s="8"/>
      <c r="F74" s="8"/>
      <c r="G74" s="8"/>
      <c r="H74" s="8"/>
      <c r="I74" s="8"/>
      <c r="J74" s="112"/>
      <c r="K74" s="111"/>
      <c r="L74" s="111"/>
      <c r="M74" s="106" t="str">
        <f t="shared" si="0"/>
        <v/>
      </c>
    </row>
    <row r="75" spans="1:14" s="5" customFormat="1" ht="20.100000000000001" customHeight="1" x14ac:dyDescent="0.25">
      <c r="A75" s="14" t="s">
        <v>6</v>
      </c>
      <c r="B75" s="14"/>
      <c r="C75" s="25" t="s">
        <v>60</v>
      </c>
      <c r="D75" s="20" t="str">
        <f>IFERROR(A75&amp;"   ("&amp;COUNTIFS(#REF!,"="&amp;A75)&amp;")",A75)</f>
        <v>CCI</v>
      </c>
      <c r="E75" s="45"/>
      <c r="F75" s="45"/>
      <c r="G75" s="45"/>
      <c r="H75" s="45"/>
      <c r="I75" s="46"/>
      <c r="J75" s="110"/>
      <c r="K75" s="109"/>
      <c r="L75" s="109"/>
      <c r="M75" s="106" t="str">
        <f t="shared" si="0"/>
        <v/>
      </c>
      <c r="N75" s="5" t="s">
        <v>1672</v>
      </c>
    </row>
    <row r="76" spans="1:14" s="5" customFormat="1" ht="20.100000000000001" customHeight="1" x14ac:dyDescent="0.25">
      <c r="A76" s="14" t="s">
        <v>6</v>
      </c>
      <c r="B76" s="16" t="s">
        <v>20</v>
      </c>
      <c r="C76" s="25" t="s">
        <v>60</v>
      </c>
      <c r="D76" s="6" t="s">
        <v>20</v>
      </c>
      <c r="E76" s="37"/>
      <c r="F76" s="37"/>
      <c r="G76" s="37"/>
      <c r="H76" s="37"/>
      <c r="I76" s="48"/>
      <c r="J76" s="103"/>
      <c r="K76" s="104"/>
      <c r="L76" s="105"/>
      <c r="M76" s="106" t="str">
        <f t="shared" si="0"/>
        <v/>
      </c>
      <c r="N76" s="5" t="s">
        <v>1673</v>
      </c>
    </row>
    <row r="77" spans="1:14" s="5" customFormat="1" ht="30" customHeight="1" x14ac:dyDescent="0.25">
      <c r="A77" s="14" t="s">
        <v>6</v>
      </c>
      <c r="B77" s="16" t="s">
        <v>20</v>
      </c>
      <c r="C77" s="25" t="s">
        <v>61</v>
      </c>
      <c r="D77" s="168" t="s">
        <v>25</v>
      </c>
      <c r="E77" s="38">
        <v>0</v>
      </c>
      <c r="F77" s="39">
        <v>0</v>
      </c>
      <c r="G77" s="40">
        <v>0</v>
      </c>
      <c r="H77" s="41">
        <v>0</v>
      </c>
      <c r="I77" s="42">
        <f>SUM(E77:H77)</f>
        <v>0</v>
      </c>
      <c r="J77" s="103" t="str">
        <f>IFERROR(E77/$I77*100,"")</f>
        <v/>
      </c>
      <c r="K77" s="104" t="str">
        <f>IFERROR(F77/$I77*100,"")</f>
        <v/>
      </c>
      <c r="L77" s="105" t="str">
        <f>IFERROR(G77/$I77*100,"")</f>
        <v/>
      </c>
      <c r="M77" s="106" t="str">
        <f t="shared" ref="M77:M140" si="15">IFERROR(H77/$I77*100,"")</f>
        <v/>
      </c>
      <c r="N77" s="5" t="s">
        <v>1671</v>
      </c>
    </row>
    <row r="78" spans="1:14" ht="5.0999999999999996" customHeight="1" x14ac:dyDescent="0.25">
      <c r="A78" s="14" t="s">
        <v>6</v>
      </c>
      <c r="B78" s="16" t="s">
        <v>20</v>
      </c>
      <c r="C78"/>
      <c r="D78" s="57"/>
      <c r="E78" s="59"/>
      <c r="F78" s="59"/>
      <c r="G78" s="59"/>
      <c r="H78" s="59"/>
      <c r="I78" s="59"/>
      <c r="J78" s="103"/>
      <c r="K78" s="104"/>
      <c r="L78" s="105"/>
      <c r="M78" s="106" t="str">
        <f t="shared" si="15"/>
        <v/>
      </c>
    </row>
    <row r="79" spans="1:14" s="5" customFormat="1" ht="20.100000000000001" customHeight="1" x14ac:dyDescent="0.25">
      <c r="A79" s="14" t="s">
        <v>6</v>
      </c>
      <c r="B79" s="16" t="s">
        <v>26</v>
      </c>
      <c r="C79" s="25" t="s">
        <v>60</v>
      </c>
      <c r="D79" s="6" t="s">
        <v>98</v>
      </c>
      <c r="E79" s="37"/>
      <c r="F79" s="37"/>
      <c r="G79" s="37"/>
      <c r="H79" s="37"/>
      <c r="I79" s="47"/>
      <c r="J79" s="108"/>
      <c r="K79" s="109"/>
      <c r="L79" s="109"/>
      <c r="M79" s="106" t="str">
        <f t="shared" si="15"/>
        <v/>
      </c>
      <c r="N79" s="5" t="s">
        <v>1673</v>
      </c>
    </row>
    <row r="80" spans="1:14" s="5" customFormat="1" ht="30" customHeight="1" x14ac:dyDescent="0.25">
      <c r="A80" s="14" t="s">
        <v>6</v>
      </c>
      <c r="B80" s="16" t="s">
        <v>26</v>
      </c>
      <c r="C80" s="25" t="s">
        <v>61</v>
      </c>
      <c r="D80" s="169" t="s">
        <v>21</v>
      </c>
      <c r="E80" s="38">
        <v>0</v>
      </c>
      <c r="F80" s="39">
        <v>0</v>
      </c>
      <c r="G80" s="40">
        <v>0</v>
      </c>
      <c r="H80" s="41">
        <v>0</v>
      </c>
      <c r="I80" s="42">
        <f t="shared" ref="I80:I87" si="16">SUM(E80:H80)</f>
        <v>0</v>
      </c>
      <c r="J80" s="103" t="str">
        <f t="shared" ref="J80:L87" si="17">IFERROR(E80/$I80*100,"")</f>
        <v/>
      </c>
      <c r="K80" s="104" t="str">
        <f t="shared" si="17"/>
        <v/>
      </c>
      <c r="L80" s="105" t="str">
        <f t="shared" si="17"/>
        <v/>
      </c>
      <c r="M80" s="106" t="str">
        <f t="shared" si="15"/>
        <v/>
      </c>
    </row>
    <row r="81" spans="1:14" s="5" customFormat="1" ht="30" customHeight="1" x14ac:dyDescent="0.25">
      <c r="A81" s="14" t="s">
        <v>6</v>
      </c>
      <c r="B81" s="16" t="s">
        <v>26</v>
      </c>
      <c r="C81" s="25" t="s">
        <v>61</v>
      </c>
      <c r="D81" s="169" t="s">
        <v>22</v>
      </c>
      <c r="E81" s="38">
        <v>0</v>
      </c>
      <c r="F81" s="39">
        <v>0</v>
      </c>
      <c r="G81" s="40">
        <v>0</v>
      </c>
      <c r="H81" s="41">
        <v>0</v>
      </c>
      <c r="I81" s="42">
        <f t="shared" si="16"/>
        <v>0</v>
      </c>
      <c r="J81" s="103" t="str">
        <f t="shared" si="17"/>
        <v/>
      </c>
      <c r="K81" s="104" t="str">
        <f t="shared" si="17"/>
        <v/>
      </c>
      <c r="L81" s="105" t="str">
        <f t="shared" si="17"/>
        <v/>
      </c>
      <c r="M81" s="106" t="str">
        <f t="shared" si="15"/>
        <v/>
      </c>
    </row>
    <row r="82" spans="1:14" s="5" customFormat="1" ht="30" customHeight="1" x14ac:dyDescent="0.25">
      <c r="A82" s="14" t="s">
        <v>6</v>
      </c>
      <c r="B82" s="16" t="s">
        <v>26</v>
      </c>
      <c r="C82" s="25" t="s">
        <v>61</v>
      </c>
      <c r="D82" s="169" t="s">
        <v>27</v>
      </c>
      <c r="E82" s="38">
        <v>0</v>
      </c>
      <c r="F82" s="39">
        <v>0</v>
      </c>
      <c r="G82" s="40">
        <v>0</v>
      </c>
      <c r="H82" s="41">
        <v>0</v>
      </c>
      <c r="I82" s="42">
        <f t="shared" si="16"/>
        <v>0</v>
      </c>
      <c r="J82" s="103" t="str">
        <f t="shared" si="17"/>
        <v/>
      </c>
      <c r="K82" s="104" t="str">
        <f t="shared" si="17"/>
        <v/>
      </c>
      <c r="L82" s="105" t="str">
        <f t="shared" si="17"/>
        <v/>
      </c>
      <c r="M82" s="106" t="str">
        <f t="shared" si="15"/>
        <v/>
      </c>
    </row>
    <row r="83" spans="1:14" s="5" customFormat="1" ht="30" customHeight="1" x14ac:dyDescent="0.25">
      <c r="A83" s="14" t="s">
        <v>6</v>
      </c>
      <c r="B83" s="16" t="s">
        <v>26</v>
      </c>
      <c r="C83" s="25" t="s">
        <v>61</v>
      </c>
      <c r="D83" s="169" t="s">
        <v>23</v>
      </c>
      <c r="E83" s="38">
        <v>0</v>
      </c>
      <c r="F83" s="39">
        <v>0</v>
      </c>
      <c r="G83" s="40">
        <v>0</v>
      </c>
      <c r="H83" s="41">
        <v>0</v>
      </c>
      <c r="I83" s="42">
        <f t="shared" si="16"/>
        <v>0</v>
      </c>
      <c r="J83" s="103" t="str">
        <f t="shared" si="17"/>
        <v/>
      </c>
      <c r="K83" s="104" t="str">
        <f t="shared" si="17"/>
        <v/>
      </c>
      <c r="L83" s="105" t="str">
        <f t="shared" si="17"/>
        <v/>
      </c>
      <c r="M83" s="106" t="str">
        <f t="shared" si="15"/>
        <v/>
      </c>
    </row>
    <row r="84" spans="1:14" s="5" customFormat="1" ht="30" customHeight="1" x14ac:dyDescent="0.25">
      <c r="A84" s="14" t="s">
        <v>6</v>
      </c>
      <c r="B84" s="16" t="s">
        <v>26</v>
      </c>
      <c r="C84" s="25" t="s">
        <v>61</v>
      </c>
      <c r="D84" s="169" t="s">
        <v>24</v>
      </c>
      <c r="E84" s="38">
        <v>0</v>
      </c>
      <c r="F84" s="39">
        <v>0</v>
      </c>
      <c r="G84" s="40">
        <v>0</v>
      </c>
      <c r="H84" s="41">
        <v>0</v>
      </c>
      <c r="I84" s="42">
        <f t="shared" si="16"/>
        <v>0</v>
      </c>
      <c r="J84" s="103" t="str">
        <f t="shared" si="17"/>
        <v/>
      </c>
      <c r="K84" s="104" t="str">
        <f t="shared" si="17"/>
        <v/>
      </c>
      <c r="L84" s="105" t="str">
        <f t="shared" si="17"/>
        <v/>
      </c>
      <c r="M84" s="106" t="str">
        <f t="shared" si="15"/>
        <v/>
      </c>
    </row>
    <row r="85" spans="1:14" s="3" customFormat="1" ht="30" customHeight="1" x14ac:dyDescent="0.25">
      <c r="A85" s="14" t="s">
        <v>6</v>
      </c>
      <c r="B85" s="16" t="s">
        <v>26</v>
      </c>
      <c r="C85" s="25" t="s">
        <v>61</v>
      </c>
      <c r="D85" s="169" t="s">
        <v>41</v>
      </c>
      <c r="E85" s="38">
        <v>0</v>
      </c>
      <c r="F85" s="39">
        <v>0</v>
      </c>
      <c r="G85" s="40">
        <v>0</v>
      </c>
      <c r="H85" s="41">
        <v>0</v>
      </c>
      <c r="I85" s="42">
        <f t="shared" si="16"/>
        <v>0</v>
      </c>
      <c r="J85" s="103" t="str">
        <f t="shared" si="17"/>
        <v/>
      </c>
      <c r="K85" s="104" t="str">
        <f t="shared" si="17"/>
        <v/>
      </c>
      <c r="L85" s="105" t="str">
        <f t="shared" si="17"/>
        <v/>
      </c>
      <c r="M85" s="106" t="str">
        <f t="shared" si="15"/>
        <v/>
      </c>
    </row>
    <row r="86" spans="1:14" s="5" customFormat="1" ht="30" customHeight="1" x14ac:dyDescent="0.25">
      <c r="A86" s="14" t="s">
        <v>6</v>
      </c>
      <c r="B86" s="16" t="s">
        <v>26</v>
      </c>
      <c r="C86" s="25" t="s">
        <v>61</v>
      </c>
      <c r="D86" s="169" t="s">
        <v>28</v>
      </c>
      <c r="E86" s="38">
        <v>0</v>
      </c>
      <c r="F86" s="39">
        <v>0</v>
      </c>
      <c r="G86" s="40">
        <v>0</v>
      </c>
      <c r="H86" s="41">
        <v>0</v>
      </c>
      <c r="I86" s="42">
        <f t="shared" si="16"/>
        <v>0</v>
      </c>
      <c r="J86" s="103" t="str">
        <f t="shared" si="17"/>
        <v/>
      </c>
      <c r="K86" s="104" t="str">
        <f t="shared" si="17"/>
        <v/>
      </c>
      <c r="L86" s="105" t="str">
        <f t="shared" si="17"/>
        <v/>
      </c>
      <c r="M86" s="106" t="str">
        <f t="shared" si="15"/>
        <v/>
      </c>
    </row>
    <row r="87" spans="1:14" s="5" customFormat="1" ht="30" customHeight="1" x14ac:dyDescent="0.25">
      <c r="A87" s="14" t="s">
        <v>6</v>
      </c>
      <c r="B87" s="16" t="s">
        <v>26</v>
      </c>
      <c r="C87" s="25" t="s">
        <v>61</v>
      </c>
      <c r="D87" s="169" t="s">
        <v>40</v>
      </c>
      <c r="E87" s="38">
        <v>0</v>
      </c>
      <c r="F87" s="39">
        <v>0</v>
      </c>
      <c r="G87" s="40">
        <v>0</v>
      </c>
      <c r="H87" s="41">
        <v>0</v>
      </c>
      <c r="I87" s="42">
        <f t="shared" si="16"/>
        <v>0</v>
      </c>
      <c r="J87" s="103" t="str">
        <f t="shared" si="17"/>
        <v/>
      </c>
      <c r="K87" s="104" t="str">
        <f t="shared" si="17"/>
        <v/>
      </c>
      <c r="L87" s="105" t="str">
        <f t="shared" si="17"/>
        <v/>
      </c>
      <c r="M87" s="106" t="str">
        <f t="shared" si="15"/>
        <v/>
      </c>
    </row>
    <row r="88" spans="1:14" s="5" customFormat="1" ht="30" customHeight="1" x14ac:dyDescent="0.25">
      <c r="A88" s="14" t="s">
        <v>6</v>
      </c>
      <c r="B88" s="16" t="s">
        <v>26</v>
      </c>
      <c r="C88" s="25"/>
      <c r="D88" s="9" t="s">
        <v>29</v>
      </c>
      <c r="E88" s="38">
        <f>SUM(E80:E87)</f>
        <v>0</v>
      </c>
      <c r="F88" s="39">
        <f t="shared" ref="F88:I88" si="18">SUM(F80:F87)</f>
        <v>0</v>
      </c>
      <c r="G88" s="40">
        <f t="shared" si="18"/>
        <v>0</v>
      </c>
      <c r="H88" s="41">
        <f t="shared" si="18"/>
        <v>0</v>
      </c>
      <c r="I88" s="43">
        <f t="shared" si="18"/>
        <v>0</v>
      </c>
      <c r="J88" s="103" t="str">
        <f>IFERROR(E88/SUM($E88:$H88)*100,"")</f>
        <v/>
      </c>
      <c r="K88" s="104" t="str">
        <f>IFERROR(F88/SUM($E88:$H88)*100,"")</f>
        <v/>
      </c>
      <c r="L88" s="105" t="str">
        <f>IFERROR(G88/SUM($E88:$H88)*100,"")</f>
        <v/>
      </c>
      <c r="M88" s="106" t="str">
        <f t="shared" si="15"/>
        <v/>
      </c>
      <c r="N88" s="5" t="s">
        <v>1671</v>
      </c>
    </row>
    <row r="89" spans="1:14" ht="5.0999999999999996" customHeight="1" x14ac:dyDescent="0.25">
      <c r="A89" s="14" t="s">
        <v>6</v>
      </c>
      <c r="B89" s="16" t="s">
        <v>26</v>
      </c>
      <c r="C89"/>
      <c r="D89" s="57"/>
      <c r="E89" s="59"/>
      <c r="F89" s="59"/>
      <c r="G89" s="59"/>
      <c r="H89" s="59"/>
      <c r="I89" s="59"/>
      <c r="J89" s="103"/>
      <c r="K89" s="104"/>
      <c r="L89" s="105"/>
      <c r="M89" s="106" t="str">
        <f t="shared" si="15"/>
        <v/>
      </c>
    </row>
    <row r="90" spans="1:14" s="5" customFormat="1" ht="20.100000000000001" customHeight="1" x14ac:dyDescent="0.25">
      <c r="A90" s="14" t="s">
        <v>6</v>
      </c>
      <c r="B90" s="16" t="s">
        <v>64</v>
      </c>
      <c r="C90" s="25" t="s">
        <v>60</v>
      </c>
      <c r="D90" s="6" t="s">
        <v>65</v>
      </c>
      <c r="E90" s="37"/>
      <c r="F90" s="37"/>
      <c r="G90" s="37"/>
      <c r="H90" s="37"/>
      <c r="I90" s="48"/>
      <c r="J90" s="103"/>
      <c r="K90" s="104"/>
      <c r="L90" s="105"/>
      <c r="M90" s="106" t="str">
        <f t="shared" si="15"/>
        <v/>
      </c>
      <c r="N90" s="5" t="s">
        <v>1673</v>
      </c>
    </row>
    <row r="91" spans="1:14" s="5" customFormat="1" ht="30" customHeight="1" x14ac:dyDescent="0.25">
      <c r="A91" s="14" t="s">
        <v>6</v>
      </c>
      <c r="B91" s="16" t="s">
        <v>64</v>
      </c>
      <c r="C91" s="25" t="s">
        <v>61</v>
      </c>
      <c r="D91" s="168" t="s">
        <v>66</v>
      </c>
      <c r="E91" s="38">
        <v>0</v>
      </c>
      <c r="F91" s="39">
        <v>0</v>
      </c>
      <c r="G91" s="40">
        <v>0</v>
      </c>
      <c r="H91" s="41">
        <v>0</v>
      </c>
      <c r="I91" s="42">
        <f>SUM(E91:H91)</f>
        <v>0</v>
      </c>
      <c r="J91" s="103" t="str">
        <f>IFERROR(E91/$I91*100,"")</f>
        <v/>
      </c>
      <c r="K91" s="104" t="str">
        <f>IFERROR(F91/$I91*100,"")</f>
        <v/>
      </c>
      <c r="L91" s="105" t="str">
        <f>IFERROR(G91/$I91*100,"")</f>
        <v/>
      </c>
      <c r="M91" s="106" t="str">
        <f t="shared" si="15"/>
        <v/>
      </c>
      <c r="N91" s="5" t="s">
        <v>1671</v>
      </c>
    </row>
    <row r="92" spans="1:14" ht="5.0999999999999996" customHeight="1" x14ac:dyDescent="0.25">
      <c r="A92" s="14" t="s">
        <v>6</v>
      </c>
      <c r="B92" s="16" t="s">
        <v>64</v>
      </c>
      <c r="C92"/>
      <c r="D92" s="57"/>
      <c r="E92" s="59"/>
      <c r="F92" s="59"/>
      <c r="G92" s="59"/>
      <c r="H92" s="59"/>
      <c r="I92" s="59"/>
      <c r="J92" s="103"/>
      <c r="K92" s="104"/>
      <c r="L92" s="105"/>
      <c r="M92" s="106" t="str">
        <f t="shared" si="15"/>
        <v/>
      </c>
    </row>
    <row r="93" spans="1:14" s="5" customFormat="1" ht="20.100000000000001" customHeight="1" x14ac:dyDescent="0.25">
      <c r="A93" s="14" t="s">
        <v>6</v>
      </c>
      <c r="B93" s="16" t="s">
        <v>55</v>
      </c>
      <c r="C93" s="25" t="s">
        <v>60</v>
      </c>
      <c r="D93" s="6" t="s">
        <v>55</v>
      </c>
      <c r="E93" s="37"/>
      <c r="F93" s="37"/>
      <c r="G93" s="37"/>
      <c r="H93" s="37"/>
      <c r="I93" s="48"/>
      <c r="J93" s="103"/>
      <c r="K93" s="104"/>
      <c r="L93" s="105"/>
      <c r="M93" s="106" t="str">
        <f t="shared" si="15"/>
        <v/>
      </c>
      <c r="N93" s="5" t="s">
        <v>1673</v>
      </c>
    </row>
    <row r="94" spans="1:14" s="3" customFormat="1" ht="30" customHeight="1" x14ac:dyDescent="0.25">
      <c r="A94" s="14" t="s">
        <v>6</v>
      </c>
      <c r="B94" s="16" t="s">
        <v>55</v>
      </c>
      <c r="C94" s="25" t="s">
        <v>61</v>
      </c>
      <c r="D94" s="168" t="s">
        <v>56</v>
      </c>
      <c r="E94" s="38">
        <v>0</v>
      </c>
      <c r="F94" s="39">
        <v>0</v>
      </c>
      <c r="G94" s="40">
        <v>0</v>
      </c>
      <c r="H94" s="41">
        <v>0</v>
      </c>
      <c r="I94" s="42">
        <f>SUM(E94:H94)</f>
        <v>0</v>
      </c>
      <c r="J94" s="103" t="str">
        <f t="shared" ref="J94:L96" si="19">IFERROR(E94/$I94*100,"")</f>
        <v/>
      </c>
      <c r="K94" s="104" t="str">
        <f t="shared" si="19"/>
        <v/>
      </c>
      <c r="L94" s="105" t="str">
        <f t="shared" si="19"/>
        <v/>
      </c>
      <c r="M94" s="106" t="str">
        <f t="shared" si="15"/>
        <v/>
      </c>
      <c r="N94" s="5"/>
    </row>
    <row r="95" spans="1:14" s="3" customFormat="1" ht="30" customHeight="1" x14ac:dyDescent="0.25">
      <c r="A95" s="14" t="s">
        <v>6</v>
      </c>
      <c r="B95" s="16" t="s">
        <v>55</v>
      </c>
      <c r="C95" s="25" t="s">
        <v>61</v>
      </c>
      <c r="D95" s="168" t="s">
        <v>57</v>
      </c>
      <c r="E95" s="38">
        <v>0</v>
      </c>
      <c r="F95" s="39">
        <v>0</v>
      </c>
      <c r="G95" s="40">
        <v>0</v>
      </c>
      <c r="H95" s="41">
        <v>0</v>
      </c>
      <c r="I95" s="42">
        <f>SUM(E95:H95)</f>
        <v>0</v>
      </c>
      <c r="J95" s="103" t="str">
        <f t="shared" si="19"/>
        <v/>
      </c>
      <c r="K95" s="104" t="str">
        <f t="shared" si="19"/>
        <v/>
      </c>
      <c r="L95" s="105" t="str">
        <f t="shared" si="19"/>
        <v/>
      </c>
      <c r="M95" s="106" t="str">
        <f t="shared" si="15"/>
        <v/>
      </c>
    </row>
    <row r="96" spans="1:14" s="3" customFormat="1" ht="30" customHeight="1" x14ac:dyDescent="0.25">
      <c r="A96" s="14" t="s">
        <v>6</v>
      </c>
      <c r="B96" s="16" t="s">
        <v>55</v>
      </c>
      <c r="C96" s="25"/>
      <c r="D96" s="168" t="s">
        <v>29</v>
      </c>
      <c r="E96" s="38">
        <f>SUM(E94:E95)</f>
        <v>0</v>
      </c>
      <c r="F96" s="39">
        <f t="shared" ref="F96:I96" si="20">SUM(F94:F95)</f>
        <v>0</v>
      </c>
      <c r="G96" s="40">
        <f t="shared" si="20"/>
        <v>0</v>
      </c>
      <c r="H96" s="41">
        <f t="shared" si="20"/>
        <v>0</v>
      </c>
      <c r="I96" s="42">
        <f t="shared" si="20"/>
        <v>0</v>
      </c>
      <c r="J96" s="103" t="str">
        <f t="shared" si="19"/>
        <v/>
      </c>
      <c r="K96" s="104" t="str">
        <f t="shared" si="19"/>
        <v/>
      </c>
      <c r="L96" s="105" t="str">
        <f t="shared" si="19"/>
        <v/>
      </c>
      <c r="M96" s="106" t="str">
        <f t="shared" si="15"/>
        <v/>
      </c>
      <c r="N96" s="5" t="s">
        <v>1671</v>
      </c>
    </row>
    <row r="97" spans="1:14" ht="5.0999999999999996" customHeight="1" x14ac:dyDescent="0.25">
      <c r="A97" s="14" t="s">
        <v>6</v>
      </c>
      <c r="B97" s="16" t="s">
        <v>55</v>
      </c>
      <c r="C97"/>
      <c r="D97" s="57"/>
      <c r="E97" s="59"/>
      <c r="F97" s="59"/>
      <c r="G97" s="59"/>
      <c r="H97" s="59"/>
      <c r="I97" s="59"/>
      <c r="J97" s="103"/>
      <c r="K97" s="104"/>
      <c r="L97" s="105"/>
      <c r="M97" s="106" t="str">
        <f t="shared" si="15"/>
        <v/>
      </c>
    </row>
    <row r="98" spans="1:14" s="5" customFormat="1" ht="20.100000000000001" customHeight="1" x14ac:dyDescent="0.25">
      <c r="A98" s="14" t="s">
        <v>6</v>
      </c>
      <c r="B98" s="16" t="s">
        <v>74</v>
      </c>
      <c r="C98" s="25" t="s">
        <v>60</v>
      </c>
      <c r="D98" s="6" t="s">
        <v>75</v>
      </c>
      <c r="E98" s="37"/>
      <c r="F98" s="37"/>
      <c r="G98" s="37"/>
      <c r="H98" s="37"/>
      <c r="I98" s="48"/>
      <c r="J98" s="103"/>
      <c r="K98" s="104"/>
      <c r="L98" s="105"/>
      <c r="M98" s="106" t="str">
        <f t="shared" si="15"/>
        <v/>
      </c>
      <c r="N98" s="5" t="s">
        <v>1673</v>
      </c>
    </row>
    <row r="99" spans="1:14" s="3" customFormat="1" ht="30" customHeight="1" x14ac:dyDescent="0.25">
      <c r="A99" s="14" t="s">
        <v>6</v>
      </c>
      <c r="B99" s="16" t="s">
        <v>74</v>
      </c>
      <c r="C99" s="25" t="s">
        <v>61</v>
      </c>
      <c r="D99" s="168" t="s">
        <v>77</v>
      </c>
      <c r="E99" s="38">
        <v>0</v>
      </c>
      <c r="F99" s="39">
        <v>0</v>
      </c>
      <c r="G99" s="40">
        <v>0</v>
      </c>
      <c r="H99" s="41">
        <v>0</v>
      </c>
      <c r="I99" s="42">
        <f>SUM(E99:H99)</f>
        <v>0</v>
      </c>
      <c r="J99" s="103" t="str">
        <f>IFERROR(E99/$I99*100,"")</f>
        <v/>
      </c>
      <c r="K99" s="104" t="str">
        <f>IFERROR(F99/$I99*100,"")</f>
        <v/>
      </c>
      <c r="L99" s="105" t="str">
        <f>IFERROR(G99/$I99*100,"")</f>
        <v/>
      </c>
      <c r="M99" s="106" t="str">
        <f t="shared" si="15"/>
        <v/>
      </c>
      <c r="N99" s="3" t="s">
        <v>1671</v>
      </c>
    </row>
    <row r="100" spans="1:14" ht="5.0999999999999996" customHeight="1" x14ac:dyDescent="0.25">
      <c r="A100" s="14" t="s">
        <v>6</v>
      </c>
      <c r="B100" s="16" t="s">
        <v>74</v>
      </c>
      <c r="C100"/>
      <c r="D100" s="57"/>
      <c r="E100" s="59"/>
      <c r="F100" s="59"/>
      <c r="G100" s="59"/>
      <c r="H100" s="59"/>
      <c r="I100" s="59"/>
      <c r="J100" s="103"/>
      <c r="K100" s="104"/>
      <c r="L100" s="105"/>
      <c r="M100" s="106" t="str">
        <f t="shared" si="15"/>
        <v/>
      </c>
    </row>
    <row r="101" spans="1:14" s="5" customFormat="1" ht="20.100000000000001" customHeight="1" x14ac:dyDescent="0.25">
      <c r="A101" s="14" t="s">
        <v>6</v>
      </c>
      <c r="B101" s="16" t="s">
        <v>78</v>
      </c>
      <c r="C101" s="25" t="s">
        <v>60</v>
      </c>
      <c r="D101" s="6" t="s">
        <v>80</v>
      </c>
      <c r="E101" s="37"/>
      <c r="F101" s="37"/>
      <c r="G101" s="37"/>
      <c r="H101" s="37"/>
      <c r="I101" s="48"/>
      <c r="J101" s="103"/>
      <c r="K101" s="104"/>
      <c r="L101" s="105"/>
      <c r="M101" s="106" t="str">
        <f t="shared" si="15"/>
        <v/>
      </c>
      <c r="N101" s="5" t="s">
        <v>1673</v>
      </c>
    </row>
    <row r="102" spans="1:14" s="5" customFormat="1" ht="30" customHeight="1" x14ac:dyDescent="0.25">
      <c r="A102" s="14" t="s">
        <v>6</v>
      </c>
      <c r="B102" s="16" t="s">
        <v>78</v>
      </c>
      <c r="C102" s="25" t="s">
        <v>61</v>
      </c>
      <c r="D102" s="168" t="s">
        <v>81</v>
      </c>
      <c r="E102" s="38">
        <v>0</v>
      </c>
      <c r="F102" s="39">
        <v>0</v>
      </c>
      <c r="G102" s="40">
        <v>0</v>
      </c>
      <c r="H102" s="41">
        <v>0</v>
      </c>
      <c r="I102" s="42">
        <f t="shared" ref="I102:I108" si="21">SUM(E102:H102)</f>
        <v>0</v>
      </c>
      <c r="J102" s="103" t="str">
        <f t="shared" ref="J102:L108" si="22">IFERROR(E102/$I102*100,"")</f>
        <v/>
      </c>
      <c r="K102" s="104" t="str">
        <f t="shared" si="22"/>
        <v/>
      </c>
      <c r="L102" s="105" t="str">
        <f t="shared" si="22"/>
        <v/>
      </c>
      <c r="M102" s="106" t="str">
        <f t="shared" si="15"/>
        <v/>
      </c>
    </row>
    <row r="103" spans="1:14" s="5" customFormat="1" ht="30" customHeight="1" x14ac:dyDescent="0.25">
      <c r="A103" s="14" t="s">
        <v>6</v>
      </c>
      <c r="B103" s="16" t="s">
        <v>78</v>
      </c>
      <c r="C103" s="25" t="s">
        <v>61</v>
      </c>
      <c r="D103" s="168" t="s">
        <v>82</v>
      </c>
      <c r="E103" s="38">
        <v>0</v>
      </c>
      <c r="F103" s="39">
        <v>0</v>
      </c>
      <c r="G103" s="40">
        <v>0</v>
      </c>
      <c r="H103" s="41">
        <v>0</v>
      </c>
      <c r="I103" s="42">
        <f t="shared" si="21"/>
        <v>0</v>
      </c>
      <c r="J103" s="103" t="str">
        <f t="shared" si="22"/>
        <v/>
      </c>
      <c r="K103" s="104" t="str">
        <f t="shared" si="22"/>
        <v/>
      </c>
      <c r="L103" s="105" t="str">
        <f t="shared" si="22"/>
        <v/>
      </c>
      <c r="M103" s="106" t="str">
        <f t="shared" si="15"/>
        <v/>
      </c>
    </row>
    <row r="104" spans="1:14" s="5" customFormat="1" ht="30" customHeight="1" x14ac:dyDescent="0.25">
      <c r="A104" s="14" t="s">
        <v>6</v>
      </c>
      <c r="B104" s="16" t="s">
        <v>78</v>
      </c>
      <c r="C104" s="25" t="s">
        <v>61</v>
      </c>
      <c r="D104" s="168" t="s">
        <v>83</v>
      </c>
      <c r="E104" s="38">
        <v>0</v>
      </c>
      <c r="F104" s="39">
        <v>0</v>
      </c>
      <c r="G104" s="40">
        <v>0</v>
      </c>
      <c r="H104" s="41">
        <v>0</v>
      </c>
      <c r="I104" s="42">
        <f t="shared" si="21"/>
        <v>0</v>
      </c>
      <c r="J104" s="103" t="str">
        <f t="shared" si="22"/>
        <v/>
      </c>
      <c r="K104" s="104" t="str">
        <f t="shared" si="22"/>
        <v/>
      </c>
      <c r="L104" s="105" t="str">
        <f t="shared" si="22"/>
        <v/>
      </c>
      <c r="M104" s="106" t="str">
        <f t="shared" si="15"/>
        <v/>
      </c>
    </row>
    <row r="105" spans="1:14" s="5" customFormat="1" ht="30" customHeight="1" x14ac:dyDescent="0.25">
      <c r="A105" s="14" t="s">
        <v>6</v>
      </c>
      <c r="B105" s="16" t="s">
        <v>78</v>
      </c>
      <c r="C105" s="25" t="s">
        <v>61</v>
      </c>
      <c r="D105" s="168" t="s">
        <v>88</v>
      </c>
      <c r="E105" s="38">
        <v>0</v>
      </c>
      <c r="F105" s="39">
        <v>0</v>
      </c>
      <c r="G105" s="40">
        <v>0</v>
      </c>
      <c r="H105" s="41">
        <v>0</v>
      </c>
      <c r="I105" s="42">
        <f t="shared" si="21"/>
        <v>0</v>
      </c>
      <c r="J105" s="103" t="str">
        <f t="shared" si="22"/>
        <v/>
      </c>
      <c r="K105" s="104" t="str">
        <f t="shared" si="22"/>
        <v/>
      </c>
      <c r="L105" s="105" t="str">
        <f t="shared" si="22"/>
        <v/>
      </c>
      <c r="M105" s="106" t="str">
        <f t="shared" si="15"/>
        <v/>
      </c>
    </row>
    <row r="106" spans="1:14" s="5" customFormat="1" ht="30" customHeight="1" x14ac:dyDescent="0.25">
      <c r="A106" s="14" t="s">
        <v>6</v>
      </c>
      <c r="B106" s="16" t="s">
        <v>78</v>
      </c>
      <c r="C106" s="25" t="s">
        <v>61</v>
      </c>
      <c r="D106" s="168" t="s">
        <v>87</v>
      </c>
      <c r="E106" s="38">
        <v>0</v>
      </c>
      <c r="F106" s="39">
        <v>0</v>
      </c>
      <c r="G106" s="40">
        <v>0</v>
      </c>
      <c r="H106" s="41">
        <v>0</v>
      </c>
      <c r="I106" s="42">
        <f t="shared" si="21"/>
        <v>0</v>
      </c>
      <c r="J106" s="103" t="str">
        <f t="shared" si="22"/>
        <v/>
      </c>
      <c r="K106" s="104" t="str">
        <f t="shared" si="22"/>
        <v/>
      </c>
      <c r="L106" s="105" t="str">
        <f t="shared" si="22"/>
        <v/>
      </c>
      <c r="M106" s="106" t="str">
        <f t="shared" si="15"/>
        <v/>
      </c>
    </row>
    <row r="107" spans="1:14" s="5" customFormat="1" ht="30" customHeight="1" x14ac:dyDescent="0.25">
      <c r="A107" s="14" t="s">
        <v>6</v>
      </c>
      <c r="B107" s="16" t="s">
        <v>78</v>
      </c>
      <c r="C107" s="25" t="s">
        <v>61</v>
      </c>
      <c r="D107" s="168" t="s">
        <v>84</v>
      </c>
      <c r="E107" s="38">
        <v>0</v>
      </c>
      <c r="F107" s="39">
        <v>0</v>
      </c>
      <c r="G107" s="40">
        <v>0</v>
      </c>
      <c r="H107" s="41">
        <v>0</v>
      </c>
      <c r="I107" s="42">
        <f t="shared" si="21"/>
        <v>0</v>
      </c>
      <c r="J107" s="103" t="str">
        <f t="shared" si="22"/>
        <v/>
      </c>
      <c r="K107" s="104" t="str">
        <f t="shared" si="22"/>
        <v/>
      </c>
      <c r="L107" s="105" t="str">
        <f t="shared" si="22"/>
        <v/>
      </c>
      <c r="M107" s="106" t="str">
        <f t="shared" si="15"/>
        <v/>
      </c>
    </row>
    <row r="108" spans="1:14" s="5" customFormat="1" ht="30" customHeight="1" x14ac:dyDescent="0.25">
      <c r="A108" s="14" t="s">
        <v>6</v>
      </c>
      <c r="B108" s="16" t="s">
        <v>78</v>
      </c>
      <c r="C108" s="25" t="s">
        <v>86</v>
      </c>
      <c r="D108" s="168" t="s">
        <v>79</v>
      </c>
      <c r="E108" s="38">
        <v>0</v>
      </c>
      <c r="F108" s="39">
        <v>0</v>
      </c>
      <c r="G108" s="40">
        <v>0</v>
      </c>
      <c r="H108" s="41">
        <v>0</v>
      </c>
      <c r="I108" s="42">
        <f t="shared" si="21"/>
        <v>0</v>
      </c>
      <c r="J108" s="103" t="str">
        <f t="shared" si="22"/>
        <v/>
      </c>
      <c r="K108" s="104" t="str">
        <f t="shared" si="22"/>
        <v/>
      </c>
      <c r="L108" s="105" t="str">
        <f t="shared" si="22"/>
        <v/>
      </c>
      <c r="M108" s="106" t="str">
        <f t="shared" si="15"/>
        <v/>
      </c>
      <c r="N108" s="5" t="s">
        <v>1671</v>
      </c>
    </row>
    <row r="109" spans="1:14" ht="5.0999999999999996" customHeight="1" x14ac:dyDescent="0.25">
      <c r="A109" s="14" t="s">
        <v>6</v>
      </c>
      <c r="B109" s="16" t="s">
        <v>78</v>
      </c>
      <c r="C109"/>
      <c r="D109" s="57"/>
      <c r="E109" s="59"/>
      <c r="F109" s="59"/>
      <c r="G109" s="59"/>
      <c r="H109" s="59"/>
      <c r="I109" s="59"/>
      <c r="J109" s="103"/>
      <c r="K109" s="104"/>
      <c r="L109" s="105"/>
      <c r="M109" s="106" t="str">
        <f t="shared" si="15"/>
        <v/>
      </c>
    </row>
    <row r="110" spans="1:14" s="5" customFormat="1" ht="20.100000000000001" customHeight="1" x14ac:dyDescent="0.25">
      <c r="A110" s="14" t="s">
        <v>6</v>
      </c>
      <c r="B110" s="16" t="s">
        <v>1642</v>
      </c>
      <c r="C110" s="25" t="s">
        <v>60</v>
      </c>
      <c r="D110" s="6" t="s">
        <v>1644</v>
      </c>
      <c r="E110" s="37"/>
      <c r="F110" s="37"/>
      <c r="G110" s="37"/>
      <c r="H110" s="37"/>
      <c r="I110" s="48"/>
      <c r="J110" s="103"/>
      <c r="K110" s="104"/>
      <c r="L110" s="105"/>
      <c r="M110" s="106" t="str">
        <f t="shared" si="15"/>
        <v/>
      </c>
      <c r="N110" s="5" t="s">
        <v>1673</v>
      </c>
    </row>
    <row r="111" spans="1:14" s="5" customFormat="1" ht="30" customHeight="1" x14ac:dyDescent="0.25">
      <c r="A111" s="14" t="s">
        <v>6</v>
      </c>
      <c r="B111" s="16" t="s">
        <v>1642</v>
      </c>
      <c r="C111" s="25" t="s">
        <v>61</v>
      </c>
      <c r="D111" s="168" t="s">
        <v>1643</v>
      </c>
      <c r="E111" s="38">
        <v>0</v>
      </c>
      <c r="F111" s="39">
        <v>0</v>
      </c>
      <c r="G111" s="40">
        <v>0</v>
      </c>
      <c r="H111" s="41">
        <v>0</v>
      </c>
      <c r="I111" s="42">
        <f t="shared" ref="I111" si="23">SUM(E111:H111)</f>
        <v>0</v>
      </c>
      <c r="J111" s="103" t="str">
        <f>IFERROR(E111/$I111*100,"")</f>
        <v/>
      </c>
      <c r="K111" s="104" t="str">
        <f>IFERROR(F111/$I111*100,"")</f>
        <v/>
      </c>
      <c r="L111" s="105" t="str">
        <f>IFERROR(G111/$I111*100,"")</f>
        <v/>
      </c>
      <c r="M111" s="106" t="str">
        <f t="shared" si="15"/>
        <v/>
      </c>
      <c r="N111" s="5" t="s">
        <v>1671</v>
      </c>
    </row>
    <row r="112" spans="1:14" ht="5.0999999999999996" customHeight="1" x14ac:dyDescent="0.25">
      <c r="A112" s="14" t="s">
        <v>6</v>
      </c>
      <c r="B112" s="16" t="s">
        <v>1642</v>
      </c>
      <c r="C112"/>
      <c r="D112" s="57"/>
      <c r="E112" s="59"/>
      <c r="F112" s="59"/>
      <c r="G112" s="59"/>
      <c r="H112" s="59"/>
      <c r="I112" s="59"/>
      <c r="J112" s="103"/>
      <c r="K112" s="104"/>
      <c r="L112" s="105"/>
      <c r="M112" s="106" t="str">
        <f t="shared" si="15"/>
        <v/>
      </c>
    </row>
    <row r="113" spans="1:14" s="5" customFormat="1" ht="20.100000000000001" customHeight="1" x14ac:dyDescent="0.25">
      <c r="A113" s="14" t="s">
        <v>6</v>
      </c>
      <c r="B113" s="16" t="s">
        <v>91</v>
      </c>
      <c r="C113" s="25" t="s">
        <v>60</v>
      </c>
      <c r="D113" s="6" t="s">
        <v>89</v>
      </c>
      <c r="E113" s="37"/>
      <c r="F113" s="37"/>
      <c r="G113" s="37"/>
      <c r="H113" s="37"/>
      <c r="I113" s="48"/>
      <c r="J113" s="103"/>
      <c r="K113" s="104"/>
      <c r="L113" s="105"/>
      <c r="M113" s="106" t="str">
        <f t="shared" si="15"/>
        <v/>
      </c>
      <c r="N113" s="5" t="s">
        <v>1673</v>
      </c>
    </row>
    <row r="114" spans="1:14" s="5" customFormat="1" ht="30" customHeight="1" x14ac:dyDescent="0.25">
      <c r="A114" s="14" t="s">
        <v>6</v>
      </c>
      <c r="B114" s="16" t="s">
        <v>91</v>
      </c>
      <c r="C114" s="25" t="s">
        <v>61</v>
      </c>
      <c r="D114" s="168" t="s">
        <v>90</v>
      </c>
      <c r="E114" s="38">
        <v>0</v>
      </c>
      <c r="F114" s="39">
        <v>0</v>
      </c>
      <c r="G114" s="40">
        <v>0</v>
      </c>
      <c r="H114" s="41">
        <v>0</v>
      </c>
      <c r="I114" s="42">
        <f t="shared" ref="I114" si="24">SUM(E114:H114)</f>
        <v>0</v>
      </c>
      <c r="J114" s="103" t="str">
        <f>IFERROR(E114/$I114*100,"")</f>
        <v/>
      </c>
      <c r="K114" s="104" t="str">
        <f>IFERROR(F114/$I114*100,"")</f>
        <v/>
      </c>
      <c r="L114" s="105" t="str">
        <f>IFERROR(G114/$I114*100,"")</f>
        <v/>
      </c>
      <c r="M114" s="106" t="str">
        <f t="shared" si="15"/>
        <v/>
      </c>
      <c r="N114" s="5" t="s">
        <v>1671</v>
      </c>
    </row>
    <row r="115" spans="1:14" ht="5.0999999999999996" customHeight="1" x14ac:dyDescent="0.25">
      <c r="A115" s="14" t="s">
        <v>6</v>
      </c>
      <c r="B115" s="16" t="s">
        <v>91</v>
      </c>
      <c r="C115"/>
      <c r="D115" s="57"/>
      <c r="E115" s="59"/>
      <c r="F115" s="59"/>
      <c r="G115" s="59"/>
      <c r="H115" s="59"/>
      <c r="I115" s="59"/>
      <c r="J115" s="103"/>
      <c r="K115" s="104"/>
      <c r="L115" s="105"/>
      <c r="M115" s="106" t="str">
        <f t="shared" si="15"/>
        <v/>
      </c>
    </row>
    <row r="116" spans="1:14" s="5" customFormat="1" ht="20.100000000000001" customHeight="1" x14ac:dyDescent="0.25">
      <c r="A116" s="14" t="s">
        <v>6</v>
      </c>
      <c r="B116" s="16" t="s">
        <v>1637</v>
      </c>
      <c r="C116" s="25" t="s">
        <v>60</v>
      </c>
      <c r="D116" s="6" t="s">
        <v>1636</v>
      </c>
      <c r="E116" s="37"/>
      <c r="F116" s="37"/>
      <c r="G116" s="37"/>
      <c r="H116" s="37"/>
      <c r="I116" s="48"/>
      <c r="J116" s="103"/>
      <c r="K116" s="104"/>
      <c r="L116" s="105"/>
      <c r="M116" s="106" t="str">
        <f t="shared" si="15"/>
        <v/>
      </c>
      <c r="N116" s="5" t="s">
        <v>1673</v>
      </c>
    </row>
    <row r="117" spans="1:14" s="3" customFormat="1" ht="30" customHeight="1" x14ac:dyDescent="0.25">
      <c r="A117" s="14" t="s">
        <v>6</v>
      </c>
      <c r="B117" s="16" t="s">
        <v>1637</v>
      </c>
      <c r="C117" s="25" t="s">
        <v>61</v>
      </c>
      <c r="D117" s="168" t="s">
        <v>1638</v>
      </c>
      <c r="E117" s="38">
        <v>0</v>
      </c>
      <c r="F117" s="39">
        <v>0</v>
      </c>
      <c r="G117" s="40">
        <v>0</v>
      </c>
      <c r="H117" s="41">
        <v>0</v>
      </c>
      <c r="I117" s="42">
        <f t="shared" ref="I117:I122" si="25">SUM(E117:H117)</f>
        <v>0</v>
      </c>
      <c r="J117" s="103" t="str">
        <f t="shared" ref="J117:L121" si="26">IFERROR(E117/$I117*100,"")</f>
        <v/>
      </c>
      <c r="K117" s="104" t="str">
        <f t="shared" si="26"/>
        <v/>
      </c>
      <c r="L117" s="105" t="str">
        <f t="shared" si="26"/>
        <v/>
      </c>
      <c r="M117" s="106" t="str">
        <f t="shared" si="15"/>
        <v/>
      </c>
    </row>
    <row r="118" spans="1:14" s="3" customFormat="1" ht="30" customHeight="1" x14ac:dyDescent="0.25">
      <c r="A118" s="14" t="s">
        <v>6</v>
      </c>
      <c r="B118" s="16" t="s">
        <v>1637</v>
      </c>
      <c r="C118" s="25" t="s">
        <v>61</v>
      </c>
      <c r="D118" s="168" t="s">
        <v>1669</v>
      </c>
      <c r="E118" s="38">
        <v>0</v>
      </c>
      <c r="F118" s="39">
        <v>0</v>
      </c>
      <c r="G118" s="40">
        <v>0</v>
      </c>
      <c r="H118" s="41">
        <v>0</v>
      </c>
      <c r="I118" s="42">
        <f t="shared" si="25"/>
        <v>0</v>
      </c>
      <c r="J118" s="103" t="str">
        <f t="shared" si="26"/>
        <v/>
      </c>
      <c r="K118" s="104" t="str">
        <f t="shared" si="26"/>
        <v/>
      </c>
      <c r="L118" s="105" t="str">
        <f t="shared" si="26"/>
        <v/>
      </c>
      <c r="M118" s="106" t="str">
        <f t="shared" si="15"/>
        <v/>
      </c>
    </row>
    <row r="119" spans="1:14" s="3" customFormat="1" ht="30" customHeight="1" x14ac:dyDescent="0.25">
      <c r="A119" s="14" t="s">
        <v>6</v>
      </c>
      <c r="B119" s="16" t="s">
        <v>1637</v>
      </c>
      <c r="C119" s="25" t="s">
        <v>61</v>
      </c>
      <c r="D119" s="168" t="s">
        <v>1640</v>
      </c>
      <c r="E119" s="38">
        <v>0</v>
      </c>
      <c r="F119" s="39">
        <v>0</v>
      </c>
      <c r="G119" s="40">
        <v>0</v>
      </c>
      <c r="H119" s="41">
        <v>0</v>
      </c>
      <c r="I119" s="42">
        <f t="shared" si="25"/>
        <v>0</v>
      </c>
      <c r="J119" s="103" t="str">
        <f t="shared" si="26"/>
        <v/>
      </c>
      <c r="K119" s="104" t="str">
        <f t="shared" si="26"/>
        <v/>
      </c>
      <c r="L119" s="105" t="str">
        <f t="shared" si="26"/>
        <v/>
      </c>
      <c r="M119" s="106" t="str">
        <f t="shared" si="15"/>
        <v/>
      </c>
    </row>
    <row r="120" spans="1:14" s="3" customFormat="1" ht="30" customHeight="1" x14ac:dyDescent="0.25">
      <c r="A120" s="14" t="s">
        <v>6</v>
      </c>
      <c r="B120" s="16" t="s">
        <v>1637</v>
      </c>
      <c r="C120" s="25" t="s">
        <v>61</v>
      </c>
      <c r="D120" s="168" t="s">
        <v>1639</v>
      </c>
      <c r="E120" s="38">
        <v>0</v>
      </c>
      <c r="F120" s="39">
        <v>0</v>
      </c>
      <c r="G120" s="40">
        <v>0</v>
      </c>
      <c r="H120" s="41">
        <v>0</v>
      </c>
      <c r="I120" s="42">
        <f t="shared" si="25"/>
        <v>0</v>
      </c>
      <c r="J120" s="103" t="str">
        <f t="shared" si="26"/>
        <v/>
      </c>
      <c r="K120" s="104" t="str">
        <f t="shared" si="26"/>
        <v/>
      </c>
      <c r="L120" s="105" t="str">
        <f t="shared" si="26"/>
        <v/>
      </c>
      <c r="M120" s="106" t="str">
        <f t="shared" si="15"/>
        <v/>
      </c>
    </row>
    <row r="121" spans="1:14" s="3" customFormat="1" ht="30" customHeight="1" x14ac:dyDescent="0.25">
      <c r="A121" s="14" t="s">
        <v>6</v>
      </c>
      <c r="B121" s="16" t="s">
        <v>1637</v>
      </c>
      <c r="C121" s="25" t="s">
        <v>61</v>
      </c>
      <c r="D121" s="168" t="s">
        <v>1641</v>
      </c>
      <c r="E121" s="38">
        <v>0</v>
      </c>
      <c r="F121" s="39">
        <v>0</v>
      </c>
      <c r="G121" s="40">
        <v>0</v>
      </c>
      <c r="H121" s="41">
        <v>0</v>
      </c>
      <c r="I121" s="42">
        <f t="shared" si="25"/>
        <v>0</v>
      </c>
      <c r="J121" s="103" t="str">
        <f t="shared" si="26"/>
        <v/>
      </c>
      <c r="K121" s="104" t="str">
        <f t="shared" si="26"/>
        <v/>
      </c>
      <c r="L121" s="105" t="str">
        <f t="shared" si="26"/>
        <v/>
      </c>
      <c r="M121" s="106" t="str">
        <f t="shared" si="15"/>
        <v/>
      </c>
    </row>
    <row r="122" spans="1:14" s="3" customFormat="1" ht="30" customHeight="1" x14ac:dyDescent="0.25">
      <c r="A122" s="14" t="s">
        <v>6</v>
      </c>
      <c r="B122" s="16" t="s">
        <v>1637</v>
      </c>
      <c r="C122" s="25"/>
      <c r="D122" s="168" t="s">
        <v>29</v>
      </c>
      <c r="E122" s="38">
        <f>SUM(E117:E121)</f>
        <v>0</v>
      </c>
      <c r="F122" s="39">
        <f>SUM(F117:F121)</f>
        <v>0</v>
      </c>
      <c r="G122" s="40">
        <f>SUM(G117:G121)</f>
        <v>0</v>
      </c>
      <c r="H122" s="41">
        <f>SUM(H117:H121)</f>
        <v>0</v>
      </c>
      <c r="I122" s="42">
        <f t="shared" si="25"/>
        <v>0</v>
      </c>
      <c r="J122" s="103" t="str">
        <f>IFERROR(E122/SUM($E122:$H122)*100,"")</f>
        <v/>
      </c>
      <c r="K122" s="104" t="str">
        <f>IFERROR(F122/SUM($E122:$H122)*100,"")</f>
        <v/>
      </c>
      <c r="L122" s="105" t="str">
        <f>IFERROR(G122/SUM($E122:$H122)*100,"")</f>
        <v/>
      </c>
      <c r="M122" s="106" t="str">
        <f t="shared" si="15"/>
        <v/>
      </c>
      <c r="N122" s="5" t="s">
        <v>1671</v>
      </c>
    </row>
    <row r="123" spans="1:14" ht="5.0999999999999996" customHeight="1" x14ac:dyDescent="0.25">
      <c r="A123" s="14" t="s">
        <v>6</v>
      </c>
      <c r="B123" s="16" t="s">
        <v>1637</v>
      </c>
      <c r="C123"/>
      <c r="J123" s="103"/>
      <c r="K123" s="104"/>
      <c r="L123" s="105"/>
      <c r="M123" s="106" t="str">
        <f t="shared" si="15"/>
        <v/>
      </c>
    </row>
    <row r="124" spans="1:14" s="5" customFormat="1" ht="20.100000000000001" customHeight="1" x14ac:dyDescent="0.25">
      <c r="A124" s="14" t="s">
        <v>6</v>
      </c>
      <c r="B124" s="16" t="s">
        <v>42</v>
      </c>
      <c r="C124" s="25" t="s">
        <v>60</v>
      </c>
      <c r="D124" s="6" t="s">
        <v>1744</v>
      </c>
      <c r="E124" s="37"/>
      <c r="F124" s="37"/>
      <c r="G124" s="37"/>
      <c r="H124" s="37"/>
      <c r="I124" s="48"/>
      <c r="J124" s="103"/>
      <c r="K124" s="104"/>
      <c r="L124" s="105"/>
      <c r="M124" s="106" t="str">
        <f t="shared" si="15"/>
        <v/>
      </c>
      <c r="N124" s="5" t="s">
        <v>1673</v>
      </c>
    </row>
    <row r="125" spans="1:14" s="3" customFormat="1" ht="30" customHeight="1" x14ac:dyDescent="0.25">
      <c r="A125" s="14" t="s">
        <v>6</v>
      </c>
      <c r="B125" s="16" t="s">
        <v>42</v>
      </c>
      <c r="C125" s="25" t="s">
        <v>61</v>
      </c>
      <c r="D125" s="168" t="s">
        <v>43</v>
      </c>
      <c r="E125" s="38">
        <v>0</v>
      </c>
      <c r="F125" s="39">
        <v>0</v>
      </c>
      <c r="G125" s="40">
        <v>0</v>
      </c>
      <c r="H125" s="41">
        <v>0</v>
      </c>
      <c r="I125" s="42">
        <f t="shared" ref="I125:I134" si="27">SUM(E125:H125)</f>
        <v>0</v>
      </c>
      <c r="J125" s="103" t="str">
        <f t="shared" ref="J125:L134" si="28">IFERROR(E125/$I125*100,"")</f>
        <v/>
      </c>
      <c r="K125" s="104" t="str">
        <f t="shared" si="28"/>
        <v/>
      </c>
      <c r="L125" s="105" t="str">
        <f t="shared" si="28"/>
        <v/>
      </c>
      <c r="M125" s="106" t="str">
        <f t="shared" si="15"/>
        <v/>
      </c>
    </row>
    <row r="126" spans="1:14" s="3" customFormat="1" ht="30" customHeight="1" x14ac:dyDescent="0.25">
      <c r="A126" s="14" t="s">
        <v>6</v>
      </c>
      <c r="B126" s="16" t="s">
        <v>42</v>
      </c>
      <c r="C126" s="25" t="s">
        <v>61</v>
      </c>
      <c r="D126" s="168" t="s">
        <v>44</v>
      </c>
      <c r="E126" s="38">
        <v>0</v>
      </c>
      <c r="F126" s="39">
        <v>0</v>
      </c>
      <c r="G126" s="40">
        <v>0</v>
      </c>
      <c r="H126" s="41">
        <v>0</v>
      </c>
      <c r="I126" s="42">
        <f t="shared" si="27"/>
        <v>0</v>
      </c>
      <c r="J126" s="103" t="str">
        <f t="shared" si="28"/>
        <v/>
      </c>
      <c r="K126" s="104" t="str">
        <f t="shared" si="28"/>
        <v/>
      </c>
      <c r="L126" s="105" t="str">
        <f t="shared" si="28"/>
        <v/>
      </c>
      <c r="M126" s="106" t="str">
        <f t="shared" si="15"/>
        <v/>
      </c>
    </row>
    <row r="127" spans="1:14" s="3" customFormat="1" ht="30" customHeight="1" x14ac:dyDescent="0.25">
      <c r="A127" s="14" t="s">
        <v>6</v>
      </c>
      <c r="B127" s="16" t="s">
        <v>42</v>
      </c>
      <c r="C127" s="25" t="s">
        <v>61</v>
      </c>
      <c r="D127" s="168" t="s">
        <v>45</v>
      </c>
      <c r="E127" s="38">
        <v>0</v>
      </c>
      <c r="F127" s="39">
        <v>0</v>
      </c>
      <c r="G127" s="40">
        <v>0</v>
      </c>
      <c r="H127" s="41">
        <v>0</v>
      </c>
      <c r="I127" s="42">
        <f t="shared" si="27"/>
        <v>0</v>
      </c>
      <c r="J127" s="103" t="str">
        <f t="shared" si="28"/>
        <v/>
      </c>
      <c r="K127" s="104" t="str">
        <f t="shared" si="28"/>
        <v/>
      </c>
      <c r="L127" s="105" t="str">
        <f t="shared" si="28"/>
        <v/>
      </c>
      <c r="M127" s="106" t="str">
        <f t="shared" si="15"/>
        <v/>
      </c>
    </row>
    <row r="128" spans="1:14" s="3" customFormat="1" ht="30" customHeight="1" x14ac:dyDescent="0.25">
      <c r="A128" s="14" t="s">
        <v>6</v>
      </c>
      <c r="B128" s="16" t="s">
        <v>42</v>
      </c>
      <c r="C128" s="25" t="s">
        <v>61</v>
      </c>
      <c r="D128" s="168" t="s">
        <v>46</v>
      </c>
      <c r="E128" s="38">
        <v>0</v>
      </c>
      <c r="F128" s="39">
        <v>0</v>
      </c>
      <c r="G128" s="40">
        <v>0</v>
      </c>
      <c r="H128" s="41">
        <v>0</v>
      </c>
      <c r="I128" s="42">
        <f t="shared" si="27"/>
        <v>0</v>
      </c>
      <c r="J128" s="103" t="str">
        <f t="shared" si="28"/>
        <v/>
      </c>
      <c r="K128" s="104" t="str">
        <f t="shared" si="28"/>
        <v/>
      </c>
      <c r="L128" s="105" t="str">
        <f t="shared" si="28"/>
        <v/>
      </c>
      <c r="M128" s="106" t="str">
        <f t="shared" si="15"/>
        <v/>
      </c>
    </row>
    <row r="129" spans="1:14" s="3" customFormat="1" ht="30" customHeight="1" x14ac:dyDescent="0.25">
      <c r="A129" s="14" t="s">
        <v>6</v>
      </c>
      <c r="B129" s="16" t="s">
        <v>42</v>
      </c>
      <c r="C129" s="25" t="s">
        <v>61</v>
      </c>
      <c r="D129" s="168" t="s">
        <v>51</v>
      </c>
      <c r="E129" s="38">
        <v>0</v>
      </c>
      <c r="F129" s="39">
        <v>0</v>
      </c>
      <c r="G129" s="40">
        <v>0</v>
      </c>
      <c r="H129" s="41">
        <v>0</v>
      </c>
      <c r="I129" s="42">
        <f t="shared" si="27"/>
        <v>0</v>
      </c>
      <c r="J129" s="103" t="str">
        <f t="shared" si="28"/>
        <v/>
      </c>
      <c r="K129" s="104" t="str">
        <f t="shared" si="28"/>
        <v/>
      </c>
      <c r="L129" s="105" t="str">
        <f t="shared" si="28"/>
        <v/>
      </c>
      <c r="M129" s="106" t="str">
        <f t="shared" si="15"/>
        <v/>
      </c>
    </row>
    <row r="130" spans="1:14" s="3" customFormat="1" ht="30" customHeight="1" x14ac:dyDescent="0.25">
      <c r="A130" s="14" t="s">
        <v>6</v>
      </c>
      <c r="B130" s="16" t="s">
        <v>42</v>
      </c>
      <c r="C130" s="25" t="s">
        <v>61</v>
      </c>
      <c r="D130" s="168" t="s">
        <v>52</v>
      </c>
      <c r="E130" s="38">
        <v>0</v>
      </c>
      <c r="F130" s="39">
        <v>0</v>
      </c>
      <c r="G130" s="40">
        <v>0</v>
      </c>
      <c r="H130" s="41">
        <v>0</v>
      </c>
      <c r="I130" s="42">
        <f t="shared" si="27"/>
        <v>0</v>
      </c>
      <c r="J130" s="103" t="str">
        <f t="shared" si="28"/>
        <v/>
      </c>
      <c r="K130" s="104" t="str">
        <f t="shared" si="28"/>
        <v/>
      </c>
      <c r="L130" s="105" t="str">
        <f t="shared" si="28"/>
        <v/>
      </c>
      <c r="M130" s="106" t="str">
        <f t="shared" si="15"/>
        <v/>
      </c>
    </row>
    <row r="131" spans="1:14" s="3" customFormat="1" ht="30" customHeight="1" x14ac:dyDescent="0.25">
      <c r="A131" s="14" t="s">
        <v>6</v>
      </c>
      <c r="B131" s="16" t="s">
        <v>42</v>
      </c>
      <c r="C131" s="25" t="s">
        <v>61</v>
      </c>
      <c r="D131" s="168" t="s">
        <v>47</v>
      </c>
      <c r="E131" s="38">
        <v>0</v>
      </c>
      <c r="F131" s="39">
        <v>0</v>
      </c>
      <c r="G131" s="40">
        <v>0</v>
      </c>
      <c r="H131" s="41">
        <v>0</v>
      </c>
      <c r="I131" s="42">
        <f t="shared" si="27"/>
        <v>0</v>
      </c>
      <c r="J131" s="103" t="str">
        <f t="shared" si="28"/>
        <v/>
      </c>
      <c r="K131" s="104" t="str">
        <f t="shared" si="28"/>
        <v/>
      </c>
      <c r="L131" s="105" t="str">
        <f t="shared" si="28"/>
        <v/>
      </c>
      <c r="M131" s="106" t="str">
        <f t="shared" si="15"/>
        <v/>
      </c>
    </row>
    <row r="132" spans="1:14" s="3" customFormat="1" ht="30" customHeight="1" x14ac:dyDescent="0.25">
      <c r="A132" s="14" t="s">
        <v>6</v>
      </c>
      <c r="B132" s="16" t="s">
        <v>42</v>
      </c>
      <c r="C132" s="25" t="s">
        <v>61</v>
      </c>
      <c r="D132" s="168" t="s">
        <v>48</v>
      </c>
      <c r="E132" s="38">
        <v>0</v>
      </c>
      <c r="F132" s="39">
        <v>0</v>
      </c>
      <c r="G132" s="40">
        <v>0</v>
      </c>
      <c r="H132" s="41">
        <v>0</v>
      </c>
      <c r="I132" s="42">
        <f t="shared" si="27"/>
        <v>0</v>
      </c>
      <c r="J132" s="103" t="str">
        <f t="shared" si="28"/>
        <v/>
      </c>
      <c r="K132" s="104" t="str">
        <f t="shared" si="28"/>
        <v/>
      </c>
      <c r="L132" s="105" t="str">
        <f t="shared" si="28"/>
        <v/>
      </c>
      <c r="M132" s="106" t="str">
        <f t="shared" si="15"/>
        <v/>
      </c>
    </row>
    <row r="133" spans="1:14" s="3" customFormat="1" ht="30" customHeight="1" x14ac:dyDescent="0.25">
      <c r="A133" s="14" t="s">
        <v>6</v>
      </c>
      <c r="B133" s="16" t="s">
        <v>42</v>
      </c>
      <c r="C133" s="25" t="s">
        <v>61</v>
      </c>
      <c r="D133" s="168" t="s">
        <v>49</v>
      </c>
      <c r="E133" s="38">
        <v>0</v>
      </c>
      <c r="F133" s="39">
        <v>0</v>
      </c>
      <c r="G133" s="40">
        <v>0</v>
      </c>
      <c r="H133" s="41">
        <v>0</v>
      </c>
      <c r="I133" s="42">
        <f t="shared" si="27"/>
        <v>0</v>
      </c>
      <c r="J133" s="103" t="str">
        <f t="shared" si="28"/>
        <v/>
      </c>
      <c r="K133" s="104" t="str">
        <f t="shared" si="28"/>
        <v/>
      </c>
      <c r="L133" s="105" t="str">
        <f t="shared" si="28"/>
        <v/>
      </c>
      <c r="M133" s="106" t="str">
        <f t="shared" si="15"/>
        <v/>
      </c>
    </row>
    <row r="134" spans="1:14" s="3" customFormat="1" ht="30" customHeight="1" x14ac:dyDescent="0.25">
      <c r="A134" s="14" t="s">
        <v>6</v>
      </c>
      <c r="B134" s="16" t="s">
        <v>42</v>
      </c>
      <c r="C134" s="25" t="s">
        <v>61</v>
      </c>
      <c r="D134" s="168" t="s">
        <v>50</v>
      </c>
      <c r="E134" s="38">
        <v>0</v>
      </c>
      <c r="F134" s="39">
        <v>0</v>
      </c>
      <c r="G134" s="40">
        <v>0</v>
      </c>
      <c r="H134" s="41">
        <v>0</v>
      </c>
      <c r="I134" s="42">
        <f t="shared" si="27"/>
        <v>0</v>
      </c>
      <c r="J134" s="103" t="str">
        <f t="shared" si="28"/>
        <v/>
      </c>
      <c r="K134" s="104" t="str">
        <f t="shared" si="28"/>
        <v/>
      </c>
      <c r="L134" s="105" t="str">
        <f t="shared" si="28"/>
        <v/>
      </c>
      <c r="M134" s="106" t="str">
        <f t="shared" si="15"/>
        <v/>
      </c>
    </row>
    <row r="135" spans="1:14" s="8" customFormat="1" ht="30" customHeight="1" x14ac:dyDescent="0.25">
      <c r="A135" s="14" t="s">
        <v>6</v>
      </c>
      <c r="B135" s="16" t="s">
        <v>42</v>
      </c>
      <c r="C135" s="25"/>
      <c r="D135" s="9" t="s">
        <v>29</v>
      </c>
      <c r="E135" s="38">
        <f>SUM(E125:E134)</f>
        <v>0</v>
      </c>
      <c r="F135" s="39">
        <f t="shared" ref="F135:I135" si="29">SUM(F125:F134)</f>
        <v>0</v>
      </c>
      <c r="G135" s="40">
        <f t="shared" si="29"/>
        <v>0</v>
      </c>
      <c r="H135" s="41">
        <f t="shared" si="29"/>
        <v>0</v>
      </c>
      <c r="I135" s="43">
        <f t="shared" si="29"/>
        <v>0</v>
      </c>
      <c r="J135" s="103" t="str">
        <f>IFERROR(E135/SUM($E135:$H135)*100,"")</f>
        <v/>
      </c>
      <c r="K135" s="104" t="str">
        <f>IFERROR(F135/SUM($E135:$H135)*100,"")</f>
        <v/>
      </c>
      <c r="L135" s="105" t="str">
        <f>IFERROR(G135/SUM($E135:$H135)*100,"")</f>
        <v/>
      </c>
      <c r="M135" s="106" t="str">
        <f t="shared" si="15"/>
        <v/>
      </c>
      <c r="N135" s="5" t="s">
        <v>1671</v>
      </c>
    </row>
    <row r="136" spans="1:14" ht="5.0999999999999996" customHeight="1" x14ac:dyDescent="0.25">
      <c r="A136" s="14" t="s">
        <v>6</v>
      </c>
      <c r="B136" s="16" t="s">
        <v>42</v>
      </c>
      <c r="C136"/>
      <c r="D136" s="57"/>
      <c r="E136" s="59"/>
      <c r="F136" s="59"/>
      <c r="G136" s="59"/>
      <c r="H136" s="59"/>
      <c r="I136" s="59"/>
      <c r="J136" s="103"/>
      <c r="K136" s="104"/>
      <c r="L136" s="105"/>
      <c r="M136" s="106" t="str">
        <f t="shared" si="15"/>
        <v/>
      </c>
    </row>
    <row r="137" spans="1:14" s="7" customFormat="1" ht="20.100000000000001" customHeight="1" x14ac:dyDescent="0.25">
      <c r="A137" s="14" t="s">
        <v>6</v>
      </c>
      <c r="B137" s="16" t="s">
        <v>62</v>
      </c>
      <c r="C137" s="25" t="s">
        <v>60</v>
      </c>
      <c r="D137" s="62" t="s">
        <v>63</v>
      </c>
      <c r="E137" s="63"/>
      <c r="F137" s="63"/>
      <c r="G137" s="63"/>
      <c r="H137" s="63"/>
      <c r="I137" s="64"/>
      <c r="J137" s="103"/>
      <c r="K137" s="104"/>
      <c r="L137" s="105"/>
      <c r="M137" s="106" t="str">
        <f t="shared" si="15"/>
        <v/>
      </c>
      <c r="N137" s="5" t="s">
        <v>1673</v>
      </c>
    </row>
    <row r="138" spans="1:14" s="8" customFormat="1" ht="30" customHeight="1" x14ac:dyDescent="0.25">
      <c r="A138" s="14" t="s">
        <v>6</v>
      </c>
      <c r="B138" s="16" t="s">
        <v>62</v>
      </c>
      <c r="C138" s="25"/>
      <c r="D138" s="168" t="s">
        <v>29</v>
      </c>
      <c r="E138" s="38">
        <f>SUM(E88,E77,E96,E135,E91,E99,E108,E114,E122,E111)</f>
        <v>0</v>
      </c>
      <c r="F138" s="39">
        <f>SUM(F88,F77,F96,F135,F91,F99,F108,F114,F122,F111)</f>
        <v>0</v>
      </c>
      <c r="G138" s="40">
        <f>SUM(G88,G77,G96,G135,G91,G99,G108,G114,G122,G111)</f>
        <v>0</v>
      </c>
      <c r="H138" s="41">
        <f>SUM(H88,H77,H96,H135,H91,H99,H108,H114,H122,H111)</f>
        <v>0</v>
      </c>
      <c r="I138" s="42">
        <f>SUM(I88,I77,I96,I135,I91,I99,I108,I114,I122,I111)</f>
        <v>0</v>
      </c>
      <c r="J138" s="103" t="str">
        <f>IFERROR(E138/SUM($E138:$H138)*100,"")</f>
        <v/>
      </c>
      <c r="K138" s="104" t="str">
        <f>IFERROR(F138/SUM($E138:$H138)*100,"")</f>
        <v/>
      </c>
      <c r="L138" s="105" t="str">
        <f>IFERROR(G138/SUM($E138:$H138)*100,"")</f>
        <v/>
      </c>
      <c r="M138" s="106" t="str">
        <f t="shared" si="15"/>
        <v/>
      </c>
      <c r="N138" s="5" t="s">
        <v>1671</v>
      </c>
    </row>
    <row r="139" spans="1:14" s="5" customFormat="1" ht="20.100000000000001" customHeight="1" x14ac:dyDescent="0.25">
      <c r="A139" s="14" t="s">
        <v>6</v>
      </c>
      <c r="B139" s="14"/>
      <c r="C139" s="25" t="s">
        <v>60</v>
      </c>
      <c r="D139" s="58"/>
      <c r="E139" s="60"/>
      <c r="F139" s="60"/>
      <c r="G139" s="60"/>
      <c r="H139" s="60"/>
      <c r="I139" s="60"/>
      <c r="J139" s="103"/>
      <c r="K139" s="104"/>
      <c r="L139" s="105"/>
      <c r="M139" s="106" t="str">
        <f t="shared" si="15"/>
        <v/>
      </c>
    </row>
    <row r="140" spans="1:14" s="5" customFormat="1" ht="20.100000000000001" customHeight="1" x14ac:dyDescent="0.25">
      <c r="A140" s="14" t="s">
        <v>11</v>
      </c>
      <c r="B140" s="14"/>
      <c r="C140" s="25" t="s">
        <v>60</v>
      </c>
      <c r="D140" s="20" t="str">
        <f>IFERROR(A140&amp;"   ("&amp;COUNTIFS(#REF!,"="&amp;A140)&amp;")",A140)</f>
        <v>CCV</v>
      </c>
      <c r="E140" s="45"/>
      <c r="F140" s="45"/>
      <c r="G140" s="45"/>
      <c r="H140" s="45"/>
      <c r="I140" s="46"/>
      <c r="J140" s="103"/>
      <c r="K140" s="104"/>
      <c r="L140" s="105"/>
      <c r="M140" s="106" t="str">
        <f t="shared" si="15"/>
        <v/>
      </c>
      <c r="N140" s="5" t="s">
        <v>1672</v>
      </c>
    </row>
    <row r="141" spans="1:14" s="5" customFormat="1" ht="20.100000000000001" customHeight="1" x14ac:dyDescent="0.25">
      <c r="A141" s="14" t="s">
        <v>11</v>
      </c>
      <c r="B141" s="16" t="s">
        <v>20</v>
      </c>
      <c r="C141" s="25" t="s">
        <v>60</v>
      </c>
      <c r="D141" s="6" t="s">
        <v>20</v>
      </c>
      <c r="E141" s="37"/>
      <c r="F141" s="37"/>
      <c r="G141" s="37"/>
      <c r="H141" s="37"/>
      <c r="I141" s="48"/>
      <c r="J141" s="103"/>
      <c r="K141" s="104"/>
      <c r="L141" s="105"/>
      <c r="M141" s="106" t="str">
        <f t="shared" ref="M141:M204" si="30">IFERROR(H141/$I141*100,"")</f>
        <v/>
      </c>
      <c r="N141" s="5" t="s">
        <v>1673</v>
      </c>
    </row>
    <row r="142" spans="1:14" s="5" customFormat="1" ht="30" customHeight="1" x14ac:dyDescent="0.25">
      <c r="A142" s="14" t="s">
        <v>11</v>
      </c>
      <c r="B142" s="16" t="s">
        <v>20</v>
      </c>
      <c r="C142" s="25" t="s">
        <v>61</v>
      </c>
      <c r="D142" s="168" t="s">
        <v>25</v>
      </c>
      <c r="E142" s="38">
        <v>0</v>
      </c>
      <c r="F142" s="39">
        <v>0</v>
      </c>
      <c r="G142" s="40">
        <v>0</v>
      </c>
      <c r="H142" s="41">
        <v>0</v>
      </c>
      <c r="I142" s="42">
        <f>SUM(E142:H142)</f>
        <v>0</v>
      </c>
      <c r="J142" s="103" t="str">
        <f>IFERROR(E142/$I142*100,"")</f>
        <v/>
      </c>
      <c r="K142" s="104" t="str">
        <f>IFERROR(F142/$I142*100,"")</f>
        <v/>
      </c>
      <c r="L142" s="105" t="str">
        <f>IFERROR(G142/$I142*100,"")</f>
        <v/>
      </c>
      <c r="M142" s="106" t="str">
        <f t="shared" si="30"/>
        <v/>
      </c>
      <c r="N142" s="5" t="s">
        <v>1671</v>
      </c>
    </row>
    <row r="143" spans="1:14" ht="5.0999999999999996" customHeight="1" x14ac:dyDescent="0.25">
      <c r="A143" s="14" t="s">
        <v>11</v>
      </c>
      <c r="B143" s="16" t="s">
        <v>20</v>
      </c>
      <c r="C143"/>
      <c r="D143" s="57"/>
      <c r="E143" s="59"/>
      <c r="F143" s="59"/>
      <c r="G143" s="59"/>
      <c r="H143" s="59"/>
      <c r="I143" s="59"/>
      <c r="J143" s="103"/>
      <c r="K143" s="104"/>
      <c r="L143" s="105"/>
      <c r="M143" s="106" t="str">
        <f t="shared" si="30"/>
        <v/>
      </c>
    </row>
    <row r="144" spans="1:14" s="5" customFormat="1" ht="20.100000000000001" customHeight="1" x14ac:dyDescent="0.25">
      <c r="A144" s="14" t="s">
        <v>11</v>
      </c>
      <c r="B144" s="16" t="s">
        <v>26</v>
      </c>
      <c r="C144" s="25" t="s">
        <v>60</v>
      </c>
      <c r="D144" s="6" t="s">
        <v>98</v>
      </c>
      <c r="E144" s="37"/>
      <c r="F144" s="37"/>
      <c r="G144" s="37"/>
      <c r="H144" s="37"/>
      <c r="I144" s="47"/>
      <c r="J144" s="103"/>
      <c r="K144" s="104"/>
      <c r="L144" s="105"/>
      <c r="M144" s="106" t="str">
        <f t="shared" si="30"/>
        <v/>
      </c>
      <c r="N144" s="5" t="s">
        <v>1673</v>
      </c>
    </row>
    <row r="145" spans="1:14" s="5" customFormat="1" ht="30" customHeight="1" x14ac:dyDescent="0.25">
      <c r="A145" s="14" t="s">
        <v>11</v>
      </c>
      <c r="B145" s="16" t="s">
        <v>26</v>
      </c>
      <c r="C145" s="25" t="s">
        <v>61</v>
      </c>
      <c r="D145" s="169" t="s">
        <v>21</v>
      </c>
      <c r="E145" s="38">
        <v>0</v>
      </c>
      <c r="F145" s="39">
        <v>0</v>
      </c>
      <c r="G145" s="40">
        <v>0</v>
      </c>
      <c r="H145" s="41">
        <v>0</v>
      </c>
      <c r="I145" s="42">
        <f t="shared" ref="I145:I152" si="31">SUM(E145:H145)</f>
        <v>0</v>
      </c>
      <c r="J145" s="103" t="str">
        <f t="shared" ref="J145:L152" si="32">IFERROR(E145/$I145*100,"")</f>
        <v/>
      </c>
      <c r="K145" s="104" t="str">
        <f t="shared" si="32"/>
        <v/>
      </c>
      <c r="L145" s="105" t="str">
        <f t="shared" si="32"/>
        <v/>
      </c>
      <c r="M145" s="106" t="str">
        <f t="shared" si="30"/>
        <v/>
      </c>
    </row>
    <row r="146" spans="1:14" s="5" customFormat="1" ht="30" customHeight="1" x14ac:dyDescent="0.25">
      <c r="A146" s="14" t="s">
        <v>11</v>
      </c>
      <c r="B146" s="16" t="s">
        <v>26</v>
      </c>
      <c r="C146" s="25" t="s">
        <v>61</v>
      </c>
      <c r="D146" s="169" t="s">
        <v>22</v>
      </c>
      <c r="E146" s="38">
        <v>0</v>
      </c>
      <c r="F146" s="39">
        <v>0</v>
      </c>
      <c r="G146" s="40">
        <v>0</v>
      </c>
      <c r="H146" s="41">
        <v>0</v>
      </c>
      <c r="I146" s="42">
        <f t="shared" si="31"/>
        <v>0</v>
      </c>
      <c r="J146" s="103" t="str">
        <f t="shared" si="32"/>
        <v/>
      </c>
      <c r="K146" s="104" t="str">
        <f t="shared" si="32"/>
        <v/>
      </c>
      <c r="L146" s="105" t="str">
        <f t="shared" si="32"/>
        <v/>
      </c>
      <c r="M146" s="106" t="str">
        <f t="shared" si="30"/>
        <v/>
      </c>
    </row>
    <row r="147" spans="1:14" s="5" customFormat="1" ht="30" customHeight="1" x14ac:dyDescent="0.25">
      <c r="A147" s="14" t="s">
        <v>11</v>
      </c>
      <c r="B147" s="16" t="s">
        <v>26</v>
      </c>
      <c r="C147" s="25" t="s">
        <v>61</v>
      </c>
      <c r="D147" s="169" t="s">
        <v>27</v>
      </c>
      <c r="E147" s="38">
        <v>0</v>
      </c>
      <c r="F147" s="39">
        <v>0</v>
      </c>
      <c r="G147" s="40">
        <v>0</v>
      </c>
      <c r="H147" s="41">
        <v>0</v>
      </c>
      <c r="I147" s="42">
        <f t="shared" si="31"/>
        <v>0</v>
      </c>
      <c r="J147" s="103" t="str">
        <f t="shared" si="32"/>
        <v/>
      </c>
      <c r="K147" s="104" t="str">
        <f t="shared" si="32"/>
        <v/>
      </c>
      <c r="L147" s="105" t="str">
        <f t="shared" si="32"/>
        <v/>
      </c>
      <c r="M147" s="106" t="str">
        <f t="shared" si="30"/>
        <v/>
      </c>
    </row>
    <row r="148" spans="1:14" s="5" customFormat="1" ht="30" customHeight="1" x14ac:dyDescent="0.25">
      <c r="A148" s="14" t="s">
        <v>11</v>
      </c>
      <c r="B148" s="16" t="s">
        <v>26</v>
      </c>
      <c r="C148" s="25" t="s">
        <v>61</v>
      </c>
      <c r="D148" s="169" t="s">
        <v>23</v>
      </c>
      <c r="E148" s="38">
        <v>0</v>
      </c>
      <c r="F148" s="39">
        <v>0</v>
      </c>
      <c r="G148" s="40">
        <v>0</v>
      </c>
      <c r="H148" s="41">
        <v>0</v>
      </c>
      <c r="I148" s="42">
        <f t="shared" si="31"/>
        <v>0</v>
      </c>
      <c r="J148" s="103" t="str">
        <f t="shared" si="32"/>
        <v/>
      </c>
      <c r="K148" s="104" t="str">
        <f t="shared" si="32"/>
        <v/>
      </c>
      <c r="L148" s="105" t="str">
        <f t="shared" si="32"/>
        <v/>
      </c>
      <c r="M148" s="106" t="str">
        <f t="shared" si="30"/>
        <v/>
      </c>
    </row>
    <row r="149" spans="1:14" s="5" customFormat="1" ht="30" customHeight="1" x14ac:dyDescent="0.25">
      <c r="A149" s="14" t="s">
        <v>11</v>
      </c>
      <c r="B149" s="16" t="s">
        <v>26</v>
      </c>
      <c r="C149" s="25" t="s">
        <v>61</v>
      </c>
      <c r="D149" s="169" t="s">
        <v>24</v>
      </c>
      <c r="E149" s="38">
        <v>0</v>
      </c>
      <c r="F149" s="39">
        <v>0</v>
      </c>
      <c r="G149" s="40">
        <v>0</v>
      </c>
      <c r="H149" s="41">
        <v>0</v>
      </c>
      <c r="I149" s="42">
        <f t="shared" si="31"/>
        <v>0</v>
      </c>
      <c r="J149" s="103" t="str">
        <f t="shared" si="32"/>
        <v/>
      </c>
      <c r="K149" s="104" t="str">
        <f t="shared" si="32"/>
        <v/>
      </c>
      <c r="L149" s="105" t="str">
        <f t="shared" si="32"/>
        <v/>
      </c>
      <c r="M149" s="106" t="str">
        <f t="shared" si="30"/>
        <v/>
      </c>
    </row>
    <row r="150" spans="1:14" s="3" customFormat="1" ht="30" customHeight="1" x14ac:dyDescent="0.25">
      <c r="A150" s="14" t="s">
        <v>11</v>
      </c>
      <c r="B150" s="16" t="s">
        <v>26</v>
      </c>
      <c r="C150" s="25" t="s">
        <v>61</v>
      </c>
      <c r="D150" s="169" t="s">
        <v>41</v>
      </c>
      <c r="E150" s="38">
        <v>0</v>
      </c>
      <c r="F150" s="39">
        <v>0</v>
      </c>
      <c r="G150" s="40">
        <v>0</v>
      </c>
      <c r="H150" s="41">
        <v>0</v>
      </c>
      <c r="I150" s="42">
        <f t="shared" si="31"/>
        <v>0</v>
      </c>
      <c r="J150" s="103" t="str">
        <f t="shared" si="32"/>
        <v/>
      </c>
      <c r="K150" s="104" t="str">
        <f t="shared" si="32"/>
        <v/>
      </c>
      <c r="L150" s="105" t="str">
        <f t="shared" si="32"/>
        <v/>
      </c>
      <c r="M150" s="106" t="str">
        <f t="shared" si="30"/>
        <v/>
      </c>
    </row>
    <row r="151" spans="1:14" s="5" customFormat="1" ht="30" customHeight="1" x14ac:dyDescent="0.25">
      <c r="A151" s="14" t="s">
        <v>11</v>
      </c>
      <c r="B151" s="16" t="s">
        <v>26</v>
      </c>
      <c r="C151" s="25" t="s">
        <v>61</v>
      </c>
      <c r="D151" s="169" t="s">
        <v>28</v>
      </c>
      <c r="E151" s="38">
        <v>0</v>
      </c>
      <c r="F151" s="39">
        <v>0</v>
      </c>
      <c r="G151" s="40">
        <v>0</v>
      </c>
      <c r="H151" s="41">
        <v>0</v>
      </c>
      <c r="I151" s="42">
        <f t="shared" si="31"/>
        <v>0</v>
      </c>
      <c r="J151" s="103" t="str">
        <f t="shared" si="32"/>
        <v/>
      </c>
      <c r="K151" s="104" t="str">
        <f t="shared" si="32"/>
        <v/>
      </c>
      <c r="L151" s="105" t="str">
        <f t="shared" si="32"/>
        <v/>
      </c>
      <c r="M151" s="106" t="str">
        <f t="shared" si="30"/>
        <v/>
      </c>
    </row>
    <row r="152" spans="1:14" s="5" customFormat="1" ht="30" customHeight="1" x14ac:dyDescent="0.25">
      <c r="A152" s="14" t="s">
        <v>11</v>
      </c>
      <c r="B152" s="16" t="s">
        <v>26</v>
      </c>
      <c r="C152" s="25" t="s">
        <v>61</v>
      </c>
      <c r="D152" s="169" t="s">
        <v>40</v>
      </c>
      <c r="E152" s="38">
        <v>0</v>
      </c>
      <c r="F152" s="39">
        <v>0</v>
      </c>
      <c r="G152" s="40">
        <v>0</v>
      </c>
      <c r="H152" s="41">
        <v>0</v>
      </c>
      <c r="I152" s="42">
        <f t="shared" si="31"/>
        <v>0</v>
      </c>
      <c r="J152" s="103" t="str">
        <f t="shared" si="32"/>
        <v/>
      </c>
      <c r="K152" s="104" t="str">
        <f t="shared" si="32"/>
        <v/>
      </c>
      <c r="L152" s="105" t="str">
        <f t="shared" si="32"/>
        <v/>
      </c>
      <c r="M152" s="106" t="str">
        <f t="shared" si="30"/>
        <v/>
      </c>
    </row>
    <row r="153" spans="1:14" s="5" customFormat="1" ht="30" customHeight="1" x14ac:dyDescent="0.25">
      <c r="A153" s="14" t="s">
        <v>11</v>
      </c>
      <c r="B153" s="16" t="s">
        <v>26</v>
      </c>
      <c r="C153" s="25"/>
      <c r="D153" s="9" t="s">
        <v>29</v>
      </c>
      <c r="E153" s="38">
        <f>SUM(E145:E152)</f>
        <v>0</v>
      </c>
      <c r="F153" s="39">
        <f t="shared" ref="F153:I153" si="33">SUM(F145:F152)</f>
        <v>0</v>
      </c>
      <c r="G153" s="40">
        <f t="shared" si="33"/>
        <v>0</v>
      </c>
      <c r="H153" s="41">
        <f t="shared" si="33"/>
        <v>0</v>
      </c>
      <c r="I153" s="43">
        <f t="shared" si="33"/>
        <v>0</v>
      </c>
      <c r="J153" s="103" t="str">
        <f>IFERROR(E153/SUM($E153:$H153)*100,"")</f>
        <v/>
      </c>
      <c r="K153" s="104" t="str">
        <f>IFERROR(F153/SUM($E153:$H153)*100,"")</f>
        <v/>
      </c>
      <c r="L153" s="105" t="str">
        <f>IFERROR(G153/SUM($E153:$H153)*100,"")</f>
        <v/>
      </c>
      <c r="M153" s="106" t="str">
        <f t="shared" si="30"/>
        <v/>
      </c>
      <c r="N153" s="5" t="s">
        <v>1671</v>
      </c>
    </row>
    <row r="154" spans="1:14" ht="5.0999999999999996" customHeight="1" x14ac:dyDescent="0.25">
      <c r="A154" s="14" t="s">
        <v>11</v>
      </c>
      <c r="B154" s="16" t="s">
        <v>26</v>
      </c>
      <c r="C154"/>
      <c r="D154" s="57"/>
      <c r="E154" s="59"/>
      <c r="F154" s="59"/>
      <c r="G154" s="59"/>
      <c r="H154" s="59"/>
      <c r="I154" s="59"/>
      <c r="J154" s="103"/>
      <c r="K154" s="104"/>
      <c r="L154" s="105"/>
      <c r="M154" s="106" t="str">
        <f t="shared" si="30"/>
        <v/>
      </c>
    </row>
    <row r="155" spans="1:14" s="5" customFormat="1" ht="20.100000000000001" customHeight="1" x14ac:dyDescent="0.25">
      <c r="A155" s="14" t="s">
        <v>11</v>
      </c>
      <c r="B155" s="16" t="s">
        <v>64</v>
      </c>
      <c r="C155" s="25" t="s">
        <v>60</v>
      </c>
      <c r="D155" s="6" t="s">
        <v>65</v>
      </c>
      <c r="E155" s="37"/>
      <c r="F155" s="37"/>
      <c r="G155" s="37"/>
      <c r="H155" s="37"/>
      <c r="I155" s="48"/>
      <c r="J155" s="103"/>
      <c r="K155" s="104"/>
      <c r="L155" s="105"/>
      <c r="M155" s="106" t="str">
        <f t="shared" si="30"/>
        <v/>
      </c>
      <c r="N155" s="5" t="s">
        <v>1673</v>
      </c>
    </row>
    <row r="156" spans="1:14" s="5" customFormat="1" ht="30" customHeight="1" x14ac:dyDescent="0.25">
      <c r="A156" s="14" t="s">
        <v>11</v>
      </c>
      <c r="B156" s="16" t="s">
        <v>64</v>
      </c>
      <c r="C156" s="25" t="s">
        <v>61</v>
      </c>
      <c r="D156" s="168" t="s">
        <v>66</v>
      </c>
      <c r="E156" s="38">
        <v>0</v>
      </c>
      <c r="F156" s="39">
        <v>0</v>
      </c>
      <c r="G156" s="40">
        <v>0</v>
      </c>
      <c r="H156" s="41">
        <v>0</v>
      </c>
      <c r="I156" s="42">
        <f>SUM(E156:H156)</f>
        <v>0</v>
      </c>
      <c r="J156" s="103" t="str">
        <f>IFERROR(E156/$I156*100,"")</f>
        <v/>
      </c>
      <c r="K156" s="104" t="str">
        <f>IFERROR(F156/$I156*100,"")</f>
        <v/>
      </c>
      <c r="L156" s="105" t="str">
        <f>IFERROR(G156/$I156*100,"")</f>
        <v/>
      </c>
      <c r="M156" s="106" t="str">
        <f t="shared" si="30"/>
        <v/>
      </c>
      <c r="N156" s="5" t="s">
        <v>1671</v>
      </c>
    </row>
    <row r="157" spans="1:14" ht="5.0999999999999996" customHeight="1" x14ac:dyDescent="0.25">
      <c r="A157" s="14" t="s">
        <v>11</v>
      </c>
      <c r="B157" s="16" t="s">
        <v>64</v>
      </c>
      <c r="C157"/>
      <c r="D157" s="57"/>
      <c r="E157" s="59"/>
      <c r="F157" s="59"/>
      <c r="G157" s="59"/>
      <c r="H157" s="59"/>
      <c r="I157" s="59"/>
      <c r="J157" s="103"/>
      <c r="K157" s="104"/>
      <c r="L157" s="105"/>
      <c r="M157" s="106" t="str">
        <f t="shared" si="30"/>
        <v/>
      </c>
    </row>
    <row r="158" spans="1:14" s="5" customFormat="1" ht="20.100000000000001" customHeight="1" x14ac:dyDescent="0.25">
      <c r="A158" s="14" t="s">
        <v>11</v>
      </c>
      <c r="B158" s="16" t="s">
        <v>55</v>
      </c>
      <c r="C158" s="25" t="s">
        <v>60</v>
      </c>
      <c r="D158" s="6" t="s">
        <v>55</v>
      </c>
      <c r="E158" s="37"/>
      <c r="F158" s="37"/>
      <c r="G158" s="37"/>
      <c r="H158" s="37"/>
      <c r="I158" s="48"/>
      <c r="J158" s="103"/>
      <c r="K158" s="104"/>
      <c r="L158" s="105"/>
      <c r="M158" s="106" t="str">
        <f t="shared" si="30"/>
        <v/>
      </c>
      <c r="N158" s="5" t="s">
        <v>1673</v>
      </c>
    </row>
    <row r="159" spans="1:14" s="3" customFormat="1" ht="30" customHeight="1" x14ac:dyDescent="0.25">
      <c r="A159" s="14" t="s">
        <v>11</v>
      </c>
      <c r="B159" s="16" t="s">
        <v>55</v>
      </c>
      <c r="C159" s="25" t="s">
        <v>61</v>
      </c>
      <c r="D159" s="168" t="s">
        <v>56</v>
      </c>
      <c r="E159" s="38">
        <v>0</v>
      </c>
      <c r="F159" s="39">
        <v>0</v>
      </c>
      <c r="G159" s="40">
        <v>0</v>
      </c>
      <c r="H159" s="41">
        <v>0</v>
      </c>
      <c r="I159" s="42">
        <f>SUM(E159:H159)</f>
        <v>0</v>
      </c>
      <c r="J159" s="103" t="str">
        <f t="shared" ref="J159:L161" si="34">IFERROR(E159/$I159*100,"")</f>
        <v/>
      </c>
      <c r="K159" s="104" t="str">
        <f t="shared" si="34"/>
        <v/>
      </c>
      <c r="L159" s="105" t="str">
        <f t="shared" si="34"/>
        <v/>
      </c>
      <c r="M159" s="106" t="str">
        <f t="shared" si="30"/>
        <v/>
      </c>
      <c r="N159" s="5"/>
    </row>
    <row r="160" spans="1:14" s="3" customFormat="1" ht="30" customHeight="1" x14ac:dyDescent="0.25">
      <c r="A160" s="14" t="s">
        <v>11</v>
      </c>
      <c r="B160" s="16" t="s">
        <v>55</v>
      </c>
      <c r="C160" s="25" t="s">
        <v>61</v>
      </c>
      <c r="D160" s="168" t="s">
        <v>57</v>
      </c>
      <c r="E160" s="38">
        <v>0</v>
      </c>
      <c r="F160" s="39">
        <v>0</v>
      </c>
      <c r="G160" s="40">
        <v>0</v>
      </c>
      <c r="H160" s="41">
        <v>0</v>
      </c>
      <c r="I160" s="42">
        <f>SUM(E160:H160)</f>
        <v>0</v>
      </c>
      <c r="J160" s="103" t="str">
        <f t="shared" si="34"/>
        <v/>
      </c>
      <c r="K160" s="104" t="str">
        <f t="shared" si="34"/>
        <v/>
      </c>
      <c r="L160" s="105" t="str">
        <f t="shared" si="34"/>
        <v/>
      </c>
      <c r="M160" s="106" t="str">
        <f t="shared" si="30"/>
        <v/>
      </c>
    </row>
    <row r="161" spans="1:14" s="3" customFormat="1" ht="30" customHeight="1" x14ac:dyDescent="0.25">
      <c r="A161" s="14" t="s">
        <v>11</v>
      </c>
      <c r="B161" s="16" t="s">
        <v>55</v>
      </c>
      <c r="C161" s="25"/>
      <c r="D161" s="168" t="s">
        <v>29</v>
      </c>
      <c r="E161" s="38">
        <f>SUM(E159:E160)</f>
        <v>0</v>
      </c>
      <c r="F161" s="39">
        <f t="shared" ref="F161:I161" si="35">SUM(F159:F160)</f>
        <v>0</v>
      </c>
      <c r="G161" s="40">
        <f t="shared" si="35"/>
        <v>0</v>
      </c>
      <c r="H161" s="41">
        <f t="shared" si="35"/>
        <v>0</v>
      </c>
      <c r="I161" s="42">
        <f t="shared" si="35"/>
        <v>0</v>
      </c>
      <c r="J161" s="103" t="str">
        <f t="shared" si="34"/>
        <v/>
      </c>
      <c r="K161" s="104" t="str">
        <f t="shared" si="34"/>
        <v/>
      </c>
      <c r="L161" s="105" t="str">
        <f t="shared" si="34"/>
        <v/>
      </c>
      <c r="M161" s="106" t="str">
        <f t="shared" si="30"/>
        <v/>
      </c>
      <c r="N161" s="5" t="s">
        <v>1671</v>
      </c>
    </row>
    <row r="162" spans="1:14" ht="5.0999999999999996" customHeight="1" x14ac:dyDescent="0.25">
      <c r="A162" s="14" t="s">
        <v>11</v>
      </c>
      <c r="B162" s="16" t="s">
        <v>55</v>
      </c>
      <c r="C162"/>
      <c r="D162" s="57"/>
      <c r="E162" s="59"/>
      <c r="F162" s="59"/>
      <c r="G162" s="59"/>
      <c r="H162" s="59"/>
      <c r="I162" s="59"/>
      <c r="J162" s="103"/>
      <c r="K162" s="104"/>
      <c r="L162" s="105"/>
      <c r="M162" s="106" t="str">
        <f t="shared" si="30"/>
        <v/>
      </c>
    </row>
    <row r="163" spans="1:14" s="5" customFormat="1" ht="20.100000000000001" customHeight="1" x14ac:dyDescent="0.25">
      <c r="A163" s="14" t="s">
        <v>11</v>
      </c>
      <c r="B163" s="16" t="s">
        <v>74</v>
      </c>
      <c r="C163" s="25" t="s">
        <v>60</v>
      </c>
      <c r="D163" s="6" t="s">
        <v>75</v>
      </c>
      <c r="E163" s="37"/>
      <c r="F163" s="37"/>
      <c r="G163" s="37"/>
      <c r="H163" s="37"/>
      <c r="I163" s="48"/>
      <c r="J163" s="103"/>
      <c r="K163" s="104"/>
      <c r="L163" s="105"/>
      <c r="M163" s="106" t="str">
        <f t="shared" si="30"/>
        <v/>
      </c>
      <c r="N163" s="5" t="s">
        <v>1673</v>
      </c>
    </row>
    <row r="164" spans="1:14" s="3" customFormat="1" ht="30" customHeight="1" x14ac:dyDescent="0.25">
      <c r="A164" s="14" t="s">
        <v>11</v>
      </c>
      <c r="B164" s="16" t="s">
        <v>74</v>
      </c>
      <c r="C164" s="25" t="s">
        <v>61</v>
      </c>
      <c r="D164" s="168" t="s">
        <v>77</v>
      </c>
      <c r="E164" s="38">
        <v>0</v>
      </c>
      <c r="F164" s="39">
        <v>0</v>
      </c>
      <c r="G164" s="40">
        <v>0</v>
      </c>
      <c r="H164" s="41">
        <v>0</v>
      </c>
      <c r="I164" s="42">
        <f>SUM(E164:H164)</f>
        <v>0</v>
      </c>
      <c r="J164" s="103" t="str">
        <f>IFERROR(E164/$I164*100,"")</f>
        <v/>
      </c>
      <c r="K164" s="104" t="str">
        <f>IFERROR(F164/$I164*100,"")</f>
        <v/>
      </c>
      <c r="L164" s="105" t="str">
        <f>IFERROR(G164/$I164*100,"")</f>
        <v/>
      </c>
      <c r="M164" s="106" t="str">
        <f t="shared" si="30"/>
        <v/>
      </c>
      <c r="N164" s="3" t="s">
        <v>1671</v>
      </c>
    </row>
    <row r="165" spans="1:14" ht="5.0999999999999996" customHeight="1" x14ac:dyDescent="0.25">
      <c r="A165" s="14" t="s">
        <v>11</v>
      </c>
      <c r="B165" s="16" t="s">
        <v>74</v>
      </c>
      <c r="C165"/>
      <c r="D165" s="57"/>
      <c r="E165" s="59"/>
      <c r="F165" s="59"/>
      <c r="G165" s="59"/>
      <c r="H165" s="59"/>
      <c r="I165" s="59"/>
      <c r="J165" s="103"/>
      <c r="K165" s="104"/>
      <c r="L165" s="105"/>
      <c r="M165" s="106" t="str">
        <f t="shared" si="30"/>
        <v/>
      </c>
    </row>
    <row r="166" spans="1:14" s="5" customFormat="1" ht="20.100000000000001" customHeight="1" x14ac:dyDescent="0.25">
      <c r="A166" s="14" t="s">
        <v>11</v>
      </c>
      <c r="B166" s="16" t="s">
        <v>78</v>
      </c>
      <c r="C166" s="25" t="s">
        <v>60</v>
      </c>
      <c r="D166" s="6" t="s">
        <v>80</v>
      </c>
      <c r="E166" s="37"/>
      <c r="F166" s="37"/>
      <c r="G166" s="37"/>
      <c r="H166" s="37"/>
      <c r="I166" s="48"/>
      <c r="J166" s="103"/>
      <c r="K166" s="104"/>
      <c r="L166" s="105"/>
      <c r="M166" s="106" t="str">
        <f t="shared" si="30"/>
        <v/>
      </c>
      <c r="N166" s="5" t="s">
        <v>1673</v>
      </c>
    </row>
    <row r="167" spans="1:14" s="5" customFormat="1" ht="30" customHeight="1" x14ac:dyDescent="0.25">
      <c r="A167" s="14" t="s">
        <v>11</v>
      </c>
      <c r="B167" s="16" t="s">
        <v>78</v>
      </c>
      <c r="C167" s="25" t="s">
        <v>61</v>
      </c>
      <c r="D167" s="168" t="s">
        <v>81</v>
      </c>
      <c r="E167" s="38">
        <v>0</v>
      </c>
      <c r="F167" s="39">
        <v>0</v>
      </c>
      <c r="G167" s="40">
        <v>0</v>
      </c>
      <c r="H167" s="41">
        <v>0</v>
      </c>
      <c r="I167" s="42">
        <f t="shared" ref="I167:I173" si="36">SUM(E167:H167)</f>
        <v>0</v>
      </c>
      <c r="J167" s="103" t="str">
        <f t="shared" ref="J167:L173" si="37">IFERROR(E167/$I167*100,"")</f>
        <v/>
      </c>
      <c r="K167" s="104" t="str">
        <f t="shared" si="37"/>
        <v/>
      </c>
      <c r="L167" s="105" t="str">
        <f t="shared" si="37"/>
        <v/>
      </c>
      <c r="M167" s="106" t="str">
        <f t="shared" si="30"/>
        <v/>
      </c>
    </row>
    <row r="168" spans="1:14" s="5" customFormat="1" ht="30" customHeight="1" x14ac:dyDescent="0.25">
      <c r="A168" s="14" t="s">
        <v>11</v>
      </c>
      <c r="B168" s="16" t="s">
        <v>78</v>
      </c>
      <c r="C168" s="25" t="s">
        <v>61</v>
      </c>
      <c r="D168" s="168" t="s">
        <v>82</v>
      </c>
      <c r="E168" s="38">
        <v>0</v>
      </c>
      <c r="F168" s="39">
        <v>0</v>
      </c>
      <c r="G168" s="40">
        <v>0</v>
      </c>
      <c r="H168" s="41">
        <v>0</v>
      </c>
      <c r="I168" s="42">
        <f t="shared" si="36"/>
        <v>0</v>
      </c>
      <c r="J168" s="103" t="str">
        <f t="shared" si="37"/>
        <v/>
      </c>
      <c r="K168" s="104" t="str">
        <f t="shared" si="37"/>
        <v/>
      </c>
      <c r="L168" s="105" t="str">
        <f t="shared" si="37"/>
        <v/>
      </c>
      <c r="M168" s="106" t="str">
        <f t="shared" si="30"/>
        <v/>
      </c>
    </row>
    <row r="169" spans="1:14" s="5" customFormat="1" ht="30" customHeight="1" x14ac:dyDescent="0.25">
      <c r="A169" s="14" t="s">
        <v>11</v>
      </c>
      <c r="B169" s="16" t="s">
        <v>78</v>
      </c>
      <c r="C169" s="25" t="s">
        <v>61</v>
      </c>
      <c r="D169" s="168" t="s">
        <v>83</v>
      </c>
      <c r="E169" s="38">
        <v>0</v>
      </c>
      <c r="F169" s="39">
        <v>0</v>
      </c>
      <c r="G169" s="40">
        <v>0</v>
      </c>
      <c r="H169" s="41">
        <v>0</v>
      </c>
      <c r="I169" s="42">
        <f t="shared" si="36"/>
        <v>0</v>
      </c>
      <c r="J169" s="103" t="str">
        <f t="shared" si="37"/>
        <v/>
      </c>
      <c r="K169" s="104" t="str">
        <f t="shared" si="37"/>
        <v/>
      </c>
      <c r="L169" s="105" t="str">
        <f t="shared" si="37"/>
        <v/>
      </c>
      <c r="M169" s="106" t="str">
        <f t="shared" si="30"/>
        <v/>
      </c>
    </row>
    <row r="170" spans="1:14" s="5" customFormat="1" ht="30" customHeight="1" x14ac:dyDescent="0.25">
      <c r="A170" s="14" t="s">
        <v>11</v>
      </c>
      <c r="B170" s="16" t="s">
        <v>78</v>
      </c>
      <c r="C170" s="25" t="s">
        <v>61</v>
      </c>
      <c r="D170" s="168" t="s">
        <v>88</v>
      </c>
      <c r="E170" s="38">
        <v>0</v>
      </c>
      <c r="F170" s="39">
        <v>0</v>
      </c>
      <c r="G170" s="40">
        <v>0</v>
      </c>
      <c r="H170" s="41">
        <v>0</v>
      </c>
      <c r="I170" s="42">
        <f t="shared" si="36"/>
        <v>0</v>
      </c>
      <c r="J170" s="103" t="str">
        <f t="shared" si="37"/>
        <v/>
      </c>
      <c r="K170" s="104" t="str">
        <f t="shared" si="37"/>
        <v/>
      </c>
      <c r="L170" s="105" t="str">
        <f t="shared" si="37"/>
        <v/>
      </c>
      <c r="M170" s="106" t="str">
        <f t="shared" si="30"/>
        <v/>
      </c>
    </row>
    <row r="171" spans="1:14" s="5" customFormat="1" ht="30" customHeight="1" x14ac:dyDescent="0.25">
      <c r="A171" s="14" t="s">
        <v>11</v>
      </c>
      <c r="B171" s="16" t="s">
        <v>78</v>
      </c>
      <c r="C171" s="25" t="s">
        <v>61</v>
      </c>
      <c r="D171" s="168" t="s">
        <v>87</v>
      </c>
      <c r="E171" s="38">
        <v>0</v>
      </c>
      <c r="F171" s="39">
        <v>0</v>
      </c>
      <c r="G171" s="40">
        <v>0</v>
      </c>
      <c r="H171" s="41">
        <v>0</v>
      </c>
      <c r="I171" s="42">
        <f t="shared" si="36"/>
        <v>0</v>
      </c>
      <c r="J171" s="103" t="str">
        <f t="shared" si="37"/>
        <v/>
      </c>
      <c r="K171" s="104" t="str">
        <f t="shared" si="37"/>
        <v/>
      </c>
      <c r="L171" s="105" t="str">
        <f t="shared" si="37"/>
        <v/>
      </c>
      <c r="M171" s="106" t="str">
        <f t="shared" si="30"/>
        <v/>
      </c>
    </row>
    <row r="172" spans="1:14" s="5" customFormat="1" ht="30" customHeight="1" x14ac:dyDescent="0.25">
      <c r="A172" s="14" t="s">
        <v>11</v>
      </c>
      <c r="B172" s="16" t="s">
        <v>78</v>
      </c>
      <c r="C172" s="25" t="s">
        <v>61</v>
      </c>
      <c r="D172" s="168" t="s">
        <v>84</v>
      </c>
      <c r="E172" s="38">
        <v>0</v>
      </c>
      <c r="F172" s="39">
        <v>0</v>
      </c>
      <c r="G172" s="40">
        <v>0</v>
      </c>
      <c r="H172" s="41">
        <v>0</v>
      </c>
      <c r="I172" s="42">
        <f t="shared" si="36"/>
        <v>0</v>
      </c>
      <c r="J172" s="103" t="str">
        <f t="shared" si="37"/>
        <v/>
      </c>
      <c r="K172" s="104" t="str">
        <f t="shared" si="37"/>
        <v/>
      </c>
      <c r="L172" s="105" t="str">
        <f t="shared" si="37"/>
        <v/>
      </c>
      <c r="M172" s="106" t="str">
        <f t="shared" si="30"/>
        <v/>
      </c>
    </row>
    <row r="173" spans="1:14" s="5" customFormat="1" ht="30" customHeight="1" x14ac:dyDescent="0.25">
      <c r="A173" s="14" t="s">
        <v>11</v>
      </c>
      <c r="B173" s="16" t="s">
        <v>78</v>
      </c>
      <c r="C173" s="25" t="s">
        <v>86</v>
      </c>
      <c r="D173" s="168" t="s">
        <v>79</v>
      </c>
      <c r="E173" s="38">
        <v>0</v>
      </c>
      <c r="F173" s="39">
        <v>0</v>
      </c>
      <c r="G173" s="40">
        <v>0</v>
      </c>
      <c r="H173" s="41">
        <v>0</v>
      </c>
      <c r="I173" s="42">
        <f t="shared" si="36"/>
        <v>0</v>
      </c>
      <c r="J173" s="103" t="str">
        <f t="shared" si="37"/>
        <v/>
      </c>
      <c r="K173" s="104" t="str">
        <f t="shared" si="37"/>
        <v/>
      </c>
      <c r="L173" s="105" t="str">
        <f t="shared" si="37"/>
        <v/>
      </c>
      <c r="M173" s="106" t="str">
        <f t="shared" si="30"/>
        <v/>
      </c>
      <c r="N173" s="5" t="s">
        <v>1671</v>
      </c>
    </row>
    <row r="174" spans="1:14" ht="5.0999999999999996" customHeight="1" x14ac:dyDescent="0.25">
      <c r="A174" s="14" t="s">
        <v>11</v>
      </c>
      <c r="B174" s="16" t="s">
        <v>78</v>
      </c>
      <c r="C174"/>
      <c r="D174" s="57"/>
      <c r="E174" s="59"/>
      <c r="F174" s="59"/>
      <c r="G174" s="59"/>
      <c r="H174" s="59"/>
      <c r="I174" s="59"/>
      <c r="J174" s="103"/>
      <c r="K174" s="104"/>
      <c r="L174" s="105"/>
      <c r="M174" s="106" t="str">
        <f t="shared" si="30"/>
        <v/>
      </c>
    </row>
    <row r="175" spans="1:14" s="5" customFormat="1" ht="20.100000000000001" customHeight="1" x14ac:dyDescent="0.25">
      <c r="A175" s="14" t="s">
        <v>11</v>
      </c>
      <c r="B175" s="16" t="s">
        <v>1642</v>
      </c>
      <c r="C175" s="25" t="s">
        <v>60</v>
      </c>
      <c r="D175" s="6" t="s">
        <v>1644</v>
      </c>
      <c r="E175" s="37"/>
      <c r="F175" s="37"/>
      <c r="G175" s="37"/>
      <c r="H175" s="37"/>
      <c r="I175" s="48"/>
      <c r="J175" s="103"/>
      <c r="K175" s="104"/>
      <c r="L175" s="105"/>
      <c r="M175" s="106" t="str">
        <f t="shared" si="30"/>
        <v/>
      </c>
      <c r="N175" s="5" t="s">
        <v>1673</v>
      </c>
    </row>
    <row r="176" spans="1:14" s="5" customFormat="1" ht="30" customHeight="1" x14ac:dyDescent="0.25">
      <c r="A176" s="14" t="s">
        <v>11</v>
      </c>
      <c r="B176" s="16" t="s">
        <v>1642</v>
      </c>
      <c r="C176" s="25" t="s">
        <v>61</v>
      </c>
      <c r="D176" s="168" t="s">
        <v>1643</v>
      </c>
      <c r="E176" s="38">
        <v>0</v>
      </c>
      <c r="F176" s="39">
        <v>0</v>
      </c>
      <c r="G176" s="40">
        <v>0</v>
      </c>
      <c r="H176" s="41">
        <v>0</v>
      </c>
      <c r="I176" s="42">
        <f t="shared" ref="I176" si="38">SUM(E176:H176)</f>
        <v>0</v>
      </c>
      <c r="J176" s="103" t="str">
        <f>IFERROR(E176/$I176*100,"")</f>
        <v/>
      </c>
      <c r="K176" s="104" t="str">
        <f>IFERROR(F176/$I176*100,"")</f>
        <v/>
      </c>
      <c r="L176" s="105" t="str">
        <f>IFERROR(G176/$I176*100,"")</f>
        <v/>
      </c>
      <c r="M176" s="106" t="str">
        <f t="shared" si="30"/>
        <v/>
      </c>
      <c r="N176" s="5" t="s">
        <v>1671</v>
      </c>
    </row>
    <row r="177" spans="1:14" ht="5.0999999999999996" customHeight="1" x14ac:dyDescent="0.25">
      <c r="A177" s="14" t="s">
        <v>11</v>
      </c>
      <c r="B177" s="16" t="s">
        <v>1642</v>
      </c>
      <c r="C177"/>
      <c r="D177" s="57"/>
      <c r="E177" s="59"/>
      <c r="F177" s="59"/>
      <c r="G177" s="59"/>
      <c r="H177" s="59"/>
      <c r="I177" s="59"/>
      <c r="J177" s="103"/>
      <c r="K177" s="104"/>
      <c r="L177" s="105"/>
      <c r="M177" s="106" t="str">
        <f t="shared" si="30"/>
        <v/>
      </c>
    </row>
    <row r="178" spans="1:14" s="5" customFormat="1" ht="20.100000000000001" customHeight="1" x14ac:dyDescent="0.25">
      <c r="A178" s="14" t="s">
        <v>11</v>
      </c>
      <c r="B178" s="16" t="s">
        <v>91</v>
      </c>
      <c r="C178" s="25" t="s">
        <v>60</v>
      </c>
      <c r="D178" s="6" t="s">
        <v>89</v>
      </c>
      <c r="E178" s="37"/>
      <c r="F178" s="37"/>
      <c r="G178" s="37"/>
      <c r="H178" s="37"/>
      <c r="I178" s="48"/>
      <c r="J178" s="103"/>
      <c r="K178" s="104"/>
      <c r="L178" s="105"/>
      <c r="M178" s="106" t="str">
        <f t="shared" si="30"/>
        <v/>
      </c>
      <c r="N178" s="5" t="s">
        <v>1673</v>
      </c>
    </row>
    <row r="179" spans="1:14" s="5" customFormat="1" ht="30" customHeight="1" x14ac:dyDescent="0.25">
      <c r="A179" s="14" t="s">
        <v>11</v>
      </c>
      <c r="B179" s="16" t="s">
        <v>91</v>
      </c>
      <c r="C179" s="25" t="s">
        <v>61</v>
      </c>
      <c r="D179" s="168" t="s">
        <v>90</v>
      </c>
      <c r="E179" s="38">
        <v>0</v>
      </c>
      <c r="F179" s="39">
        <v>0</v>
      </c>
      <c r="G179" s="40">
        <v>0</v>
      </c>
      <c r="H179" s="41">
        <v>0</v>
      </c>
      <c r="I179" s="42">
        <f t="shared" ref="I179" si="39">SUM(E179:H179)</f>
        <v>0</v>
      </c>
      <c r="J179" s="103" t="str">
        <f>IFERROR(E179/$I179*100,"")</f>
        <v/>
      </c>
      <c r="K179" s="104" t="str">
        <f>IFERROR(F179/$I179*100,"")</f>
        <v/>
      </c>
      <c r="L179" s="105" t="str">
        <f>IFERROR(G179/$I179*100,"")</f>
        <v/>
      </c>
      <c r="M179" s="106" t="str">
        <f t="shared" si="30"/>
        <v/>
      </c>
      <c r="N179" s="5" t="s">
        <v>1671</v>
      </c>
    </row>
    <row r="180" spans="1:14" ht="5.0999999999999996" customHeight="1" x14ac:dyDescent="0.25">
      <c r="A180" s="14" t="s">
        <v>11</v>
      </c>
      <c r="B180" s="16" t="s">
        <v>91</v>
      </c>
      <c r="C180"/>
      <c r="D180" s="57"/>
      <c r="E180" s="59"/>
      <c r="F180" s="59"/>
      <c r="G180" s="59"/>
      <c r="H180" s="59"/>
      <c r="I180" s="59"/>
      <c r="J180" s="103"/>
      <c r="K180" s="104"/>
      <c r="L180" s="105"/>
      <c r="M180" s="106" t="str">
        <f t="shared" si="30"/>
        <v/>
      </c>
    </row>
    <row r="181" spans="1:14" s="5" customFormat="1" ht="20.100000000000001" customHeight="1" x14ac:dyDescent="0.25">
      <c r="A181" s="14" t="s">
        <v>11</v>
      </c>
      <c r="B181" s="16" t="s">
        <v>1637</v>
      </c>
      <c r="C181" s="25" t="s">
        <v>60</v>
      </c>
      <c r="D181" s="6" t="s">
        <v>1636</v>
      </c>
      <c r="E181" s="37"/>
      <c r="F181" s="37"/>
      <c r="G181" s="37"/>
      <c r="H181" s="37"/>
      <c r="I181" s="48"/>
      <c r="J181" s="103"/>
      <c r="K181" s="104"/>
      <c r="L181" s="105"/>
      <c r="M181" s="106" t="str">
        <f t="shared" si="30"/>
        <v/>
      </c>
      <c r="N181" s="5" t="s">
        <v>1673</v>
      </c>
    </row>
    <row r="182" spans="1:14" s="3" customFormat="1" ht="30" customHeight="1" x14ac:dyDescent="0.25">
      <c r="A182" s="14" t="s">
        <v>11</v>
      </c>
      <c r="B182" s="16" t="s">
        <v>1637</v>
      </c>
      <c r="C182" s="25" t="s">
        <v>61</v>
      </c>
      <c r="D182" s="168" t="s">
        <v>1638</v>
      </c>
      <c r="E182" s="38">
        <v>0</v>
      </c>
      <c r="F182" s="39">
        <v>0</v>
      </c>
      <c r="G182" s="40">
        <v>0</v>
      </c>
      <c r="H182" s="41">
        <v>0</v>
      </c>
      <c r="I182" s="42">
        <f t="shared" ref="I182:I187" si="40">SUM(E182:H182)</f>
        <v>0</v>
      </c>
      <c r="J182" s="103" t="str">
        <f t="shared" ref="J182:L186" si="41">IFERROR(E182/$I182*100,"")</f>
        <v/>
      </c>
      <c r="K182" s="104" t="str">
        <f t="shared" si="41"/>
        <v/>
      </c>
      <c r="L182" s="105" t="str">
        <f t="shared" si="41"/>
        <v/>
      </c>
      <c r="M182" s="106" t="str">
        <f t="shared" si="30"/>
        <v/>
      </c>
    </row>
    <row r="183" spans="1:14" s="3" customFormat="1" ht="30" customHeight="1" x14ac:dyDescent="0.25">
      <c r="A183" s="14" t="s">
        <v>11</v>
      </c>
      <c r="B183" s="16" t="s">
        <v>1637</v>
      </c>
      <c r="C183" s="25" t="s">
        <v>61</v>
      </c>
      <c r="D183" s="168" t="s">
        <v>1669</v>
      </c>
      <c r="E183" s="38">
        <v>0</v>
      </c>
      <c r="F183" s="39">
        <v>0</v>
      </c>
      <c r="G183" s="40">
        <v>0</v>
      </c>
      <c r="H183" s="41">
        <v>0</v>
      </c>
      <c r="I183" s="42">
        <f t="shared" si="40"/>
        <v>0</v>
      </c>
      <c r="J183" s="103" t="str">
        <f t="shared" si="41"/>
        <v/>
      </c>
      <c r="K183" s="104" t="str">
        <f t="shared" si="41"/>
        <v/>
      </c>
      <c r="L183" s="105" t="str">
        <f t="shared" si="41"/>
        <v/>
      </c>
      <c r="M183" s="106" t="str">
        <f t="shared" si="30"/>
        <v/>
      </c>
    </row>
    <row r="184" spans="1:14" s="3" customFormat="1" ht="30" customHeight="1" x14ac:dyDescent="0.25">
      <c r="A184" s="14" t="s">
        <v>11</v>
      </c>
      <c r="B184" s="16" t="s">
        <v>1637</v>
      </c>
      <c r="C184" s="25" t="s">
        <v>61</v>
      </c>
      <c r="D184" s="168" t="s">
        <v>1640</v>
      </c>
      <c r="E184" s="38">
        <v>0</v>
      </c>
      <c r="F184" s="39">
        <v>0</v>
      </c>
      <c r="G184" s="40">
        <v>0</v>
      </c>
      <c r="H184" s="41">
        <v>0</v>
      </c>
      <c r="I184" s="42">
        <f t="shared" si="40"/>
        <v>0</v>
      </c>
      <c r="J184" s="103" t="str">
        <f t="shared" si="41"/>
        <v/>
      </c>
      <c r="K184" s="104" t="str">
        <f t="shared" si="41"/>
        <v/>
      </c>
      <c r="L184" s="105" t="str">
        <f t="shared" si="41"/>
        <v/>
      </c>
      <c r="M184" s="106" t="str">
        <f t="shared" si="30"/>
        <v/>
      </c>
    </row>
    <row r="185" spans="1:14" s="3" customFormat="1" ht="30" customHeight="1" x14ac:dyDescent="0.25">
      <c r="A185" s="14" t="s">
        <v>11</v>
      </c>
      <c r="B185" s="16" t="s">
        <v>1637</v>
      </c>
      <c r="C185" s="25" t="s">
        <v>61</v>
      </c>
      <c r="D185" s="168" t="s">
        <v>1639</v>
      </c>
      <c r="E185" s="38">
        <v>0</v>
      </c>
      <c r="F185" s="39">
        <v>0</v>
      </c>
      <c r="G185" s="40">
        <v>0</v>
      </c>
      <c r="H185" s="41">
        <v>0</v>
      </c>
      <c r="I185" s="42">
        <f t="shared" si="40"/>
        <v>0</v>
      </c>
      <c r="J185" s="103" t="str">
        <f t="shared" si="41"/>
        <v/>
      </c>
      <c r="K185" s="104" t="str">
        <f t="shared" si="41"/>
        <v/>
      </c>
      <c r="L185" s="105" t="str">
        <f t="shared" si="41"/>
        <v/>
      </c>
      <c r="M185" s="106" t="str">
        <f t="shared" si="30"/>
        <v/>
      </c>
    </row>
    <row r="186" spans="1:14" s="3" customFormat="1" ht="30" customHeight="1" x14ac:dyDescent="0.25">
      <c r="A186" s="14" t="s">
        <v>11</v>
      </c>
      <c r="B186" s="16" t="s">
        <v>1637</v>
      </c>
      <c r="C186" s="25" t="s">
        <v>61</v>
      </c>
      <c r="D186" s="168" t="s">
        <v>1641</v>
      </c>
      <c r="E186" s="38">
        <v>0</v>
      </c>
      <c r="F186" s="39">
        <v>0</v>
      </c>
      <c r="G186" s="40">
        <v>0</v>
      </c>
      <c r="H186" s="41">
        <v>0</v>
      </c>
      <c r="I186" s="42">
        <f t="shared" si="40"/>
        <v>0</v>
      </c>
      <c r="J186" s="103" t="str">
        <f t="shared" si="41"/>
        <v/>
      </c>
      <c r="K186" s="104" t="str">
        <f t="shared" si="41"/>
        <v/>
      </c>
      <c r="L186" s="105" t="str">
        <f t="shared" si="41"/>
        <v/>
      </c>
      <c r="M186" s="106" t="str">
        <f t="shared" si="30"/>
        <v/>
      </c>
    </row>
    <row r="187" spans="1:14" s="3" customFormat="1" ht="30" customHeight="1" x14ac:dyDescent="0.25">
      <c r="A187" s="14" t="s">
        <v>11</v>
      </c>
      <c r="B187" s="16" t="s">
        <v>1637</v>
      </c>
      <c r="C187" s="25"/>
      <c r="D187" s="168" t="s">
        <v>29</v>
      </c>
      <c r="E187" s="38">
        <f>SUM(E182:E186)</f>
        <v>0</v>
      </c>
      <c r="F187" s="39">
        <f>SUM(F182:F186)</f>
        <v>0</v>
      </c>
      <c r="G187" s="40">
        <f>SUM(G182:G186)</f>
        <v>0</v>
      </c>
      <c r="H187" s="41">
        <f>SUM(H182:H186)</f>
        <v>0</v>
      </c>
      <c r="I187" s="42">
        <f t="shared" si="40"/>
        <v>0</v>
      </c>
      <c r="J187" s="103" t="str">
        <f>IFERROR(E187/SUM($E187:$H187)*100,"")</f>
        <v/>
      </c>
      <c r="K187" s="104" t="str">
        <f>IFERROR(F187/SUM($E187:$H187)*100,"")</f>
        <v/>
      </c>
      <c r="L187" s="105" t="str">
        <f>IFERROR(G187/SUM($E187:$H187)*100,"")</f>
        <v/>
      </c>
      <c r="M187" s="106" t="str">
        <f t="shared" si="30"/>
        <v/>
      </c>
      <c r="N187" s="5" t="s">
        <v>1671</v>
      </c>
    </row>
    <row r="188" spans="1:14" ht="5.0999999999999996" customHeight="1" x14ac:dyDescent="0.25">
      <c r="A188" s="14" t="s">
        <v>11</v>
      </c>
      <c r="B188" s="16" t="s">
        <v>1637</v>
      </c>
      <c r="C188"/>
      <c r="J188" s="103"/>
      <c r="K188" s="104"/>
      <c r="L188" s="105"/>
      <c r="M188" s="106" t="str">
        <f t="shared" si="30"/>
        <v/>
      </c>
    </row>
    <row r="189" spans="1:14" s="5" customFormat="1" ht="20.100000000000001" customHeight="1" x14ac:dyDescent="0.25">
      <c r="A189" s="14" t="s">
        <v>11</v>
      </c>
      <c r="B189" s="16" t="s">
        <v>42</v>
      </c>
      <c r="C189" s="25" t="s">
        <v>60</v>
      </c>
      <c r="D189" s="6" t="s">
        <v>1744</v>
      </c>
      <c r="E189" s="37"/>
      <c r="F189" s="37"/>
      <c r="G189" s="37"/>
      <c r="H189" s="37"/>
      <c r="I189" s="48"/>
      <c r="J189" s="103"/>
      <c r="K189" s="104"/>
      <c r="L189" s="105"/>
      <c r="M189" s="106" t="str">
        <f t="shared" si="30"/>
        <v/>
      </c>
      <c r="N189" s="5" t="s">
        <v>1673</v>
      </c>
    </row>
    <row r="190" spans="1:14" s="3" customFormat="1" ht="30" customHeight="1" x14ac:dyDescent="0.25">
      <c r="A190" s="14" t="s">
        <v>11</v>
      </c>
      <c r="B190" s="16" t="s">
        <v>42</v>
      </c>
      <c r="C190" s="25" t="s">
        <v>61</v>
      </c>
      <c r="D190" s="168" t="s">
        <v>43</v>
      </c>
      <c r="E190" s="38">
        <v>0</v>
      </c>
      <c r="F190" s="39">
        <v>0</v>
      </c>
      <c r="G190" s="40">
        <v>0</v>
      </c>
      <c r="H190" s="41">
        <v>0</v>
      </c>
      <c r="I190" s="42">
        <f t="shared" ref="I190:I199" si="42">SUM(E190:H190)</f>
        <v>0</v>
      </c>
      <c r="J190" s="103" t="str">
        <f t="shared" ref="J190:L199" si="43">IFERROR(E190/$I190*100,"")</f>
        <v/>
      </c>
      <c r="K190" s="104" t="str">
        <f t="shared" si="43"/>
        <v/>
      </c>
      <c r="L190" s="105" t="str">
        <f t="shared" si="43"/>
        <v/>
      </c>
      <c r="M190" s="106" t="str">
        <f t="shared" si="30"/>
        <v/>
      </c>
    </row>
    <row r="191" spans="1:14" s="3" customFormat="1" ht="30" customHeight="1" x14ac:dyDescent="0.25">
      <c r="A191" s="14" t="s">
        <v>11</v>
      </c>
      <c r="B191" s="16" t="s">
        <v>42</v>
      </c>
      <c r="C191" s="25" t="s">
        <v>61</v>
      </c>
      <c r="D191" s="168" t="s">
        <v>44</v>
      </c>
      <c r="E191" s="38">
        <v>0</v>
      </c>
      <c r="F191" s="39">
        <v>0</v>
      </c>
      <c r="G191" s="40">
        <v>0</v>
      </c>
      <c r="H191" s="41">
        <v>0</v>
      </c>
      <c r="I191" s="42">
        <f t="shared" si="42"/>
        <v>0</v>
      </c>
      <c r="J191" s="103" t="str">
        <f t="shared" si="43"/>
        <v/>
      </c>
      <c r="K191" s="104" t="str">
        <f t="shared" si="43"/>
        <v/>
      </c>
      <c r="L191" s="105" t="str">
        <f t="shared" si="43"/>
        <v/>
      </c>
      <c r="M191" s="106" t="str">
        <f t="shared" si="30"/>
        <v/>
      </c>
    </row>
    <row r="192" spans="1:14" s="3" customFormat="1" ht="30" customHeight="1" x14ac:dyDescent="0.25">
      <c r="A192" s="14" t="s">
        <v>11</v>
      </c>
      <c r="B192" s="16" t="s">
        <v>42</v>
      </c>
      <c r="C192" s="25" t="s">
        <v>61</v>
      </c>
      <c r="D192" s="168" t="s">
        <v>45</v>
      </c>
      <c r="E192" s="38">
        <v>0</v>
      </c>
      <c r="F192" s="39">
        <v>0</v>
      </c>
      <c r="G192" s="40">
        <v>0</v>
      </c>
      <c r="H192" s="41">
        <v>0</v>
      </c>
      <c r="I192" s="42">
        <f t="shared" si="42"/>
        <v>0</v>
      </c>
      <c r="J192" s="103" t="str">
        <f t="shared" si="43"/>
        <v/>
      </c>
      <c r="K192" s="104" t="str">
        <f t="shared" si="43"/>
        <v/>
      </c>
      <c r="L192" s="105" t="str">
        <f t="shared" si="43"/>
        <v/>
      </c>
      <c r="M192" s="106" t="str">
        <f t="shared" si="30"/>
        <v/>
      </c>
    </row>
    <row r="193" spans="1:14" s="3" customFormat="1" ht="30" customHeight="1" x14ac:dyDescent="0.25">
      <c r="A193" s="14" t="s">
        <v>11</v>
      </c>
      <c r="B193" s="16" t="s">
        <v>42</v>
      </c>
      <c r="C193" s="25" t="s">
        <v>61</v>
      </c>
      <c r="D193" s="168" t="s">
        <v>46</v>
      </c>
      <c r="E193" s="38">
        <v>0</v>
      </c>
      <c r="F193" s="39">
        <v>0</v>
      </c>
      <c r="G193" s="40">
        <v>0</v>
      </c>
      <c r="H193" s="41">
        <v>0</v>
      </c>
      <c r="I193" s="42">
        <f t="shared" si="42"/>
        <v>0</v>
      </c>
      <c r="J193" s="103" t="str">
        <f t="shared" si="43"/>
        <v/>
      </c>
      <c r="K193" s="104" t="str">
        <f t="shared" si="43"/>
        <v/>
      </c>
      <c r="L193" s="105" t="str">
        <f t="shared" si="43"/>
        <v/>
      </c>
      <c r="M193" s="106" t="str">
        <f t="shared" si="30"/>
        <v/>
      </c>
    </row>
    <row r="194" spans="1:14" s="3" customFormat="1" ht="30" customHeight="1" x14ac:dyDescent="0.25">
      <c r="A194" s="14" t="s">
        <v>11</v>
      </c>
      <c r="B194" s="16" t="s">
        <v>42</v>
      </c>
      <c r="C194" s="25" t="s">
        <v>61</v>
      </c>
      <c r="D194" s="168" t="s">
        <v>51</v>
      </c>
      <c r="E194" s="38">
        <v>0</v>
      </c>
      <c r="F194" s="39">
        <v>0</v>
      </c>
      <c r="G194" s="40">
        <v>0</v>
      </c>
      <c r="H194" s="41">
        <v>0</v>
      </c>
      <c r="I194" s="42">
        <f t="shared" si="42"/>
        <v>0</v>
      </c>
      <c r="J194" s="103" t="str">
        <f t="shared" si="43"/>
        <v/>
      </c>
      <c r="K194" s="104" t="str">
        <f t="shared" si="43"/>
        <v/>
      </c>
      <c r="L194" s="105" t="str">
        <f t="shared" si="43"/>
        <v/>
      </c>
      <c r="M194" s="106" t="str">
        <f t="shared" si="30"/>
        <v/>
      </c>
    </row>
    <row r="195" spans="1:14" s="3" customFormat="1" ht="30" customHeight="1" x14ac:dyDescent="0.25">
      <c r="A195" s="14" t="s">
        <v>11</v>
      </c>
      <c r="B195" s="16" t="s">
        <v>42</v>
      </c>
      <c r="C195" s="25" t="s">
        <v>61</v>
      </c>
      <c r="D195" s="168" t="s">
        <v>52</v>
      </c>
      <c r="E195" s="38">
        <v>0</v>
      </c>
      <c r="F195" s="39">
        <v>0</v>
      </c>
      <c r="G195" s="40">
        <v>0</v>
      </c>
      <c r="H195" s="41">
        <v>0</v>
      </c>
      <c r="I195" s="42">
        <f t="shared" si="42"/>
        <v>0</v>
      </c>
      <c r="J195" s="103" t="str">
        <f t="shared" si="43"/>
        <v/>
      </c>
      <c r="K195" s="104" t="str">
        <f t="shared" si="43"/>
        <v/>
      </c>
      <c r="L195" s="105" t="str">
        <f t="shared" si="43"/>
        <v/>
      </c>
      <c r="M195" s="106" t="str">
        <f t="shared" si="30"/>
        <v/>
      </c>
    </row>
    <row r="196" spans="1:14" s="3" customFormat="1" ht="30" customHeight="1" x14ac:dyDescent="0.25">
      <c r="A196" s="14" t="s">
        <v>11</v>
      </c>
      <c r="B196" s="16" t="s">
        <v>42</v>
      </c>
      <c r="C196" s="25" t="s">
        <v>61</v>
      </c>
      <c r="D196" s="168" t="s">
        <v>47</v>
      </c>
      <c r="E196" s="38">
        <v>0</v>
      </c>
      <c r="F196" s="39">
        <v>0</v>
      </c>
      <c r="G196" s="40">
        <v>0</v>
      </c>
      <c r="H196" s="41">
        <v>0</v>
      </c>
      <c r="I196" s="42">
        <f t="shared" si="42"/>
        <v>0</v>
      </c>
      <c r="J196" s="103" t="str">
        <f t="shared" si="43"/>
        <v/>
      </c>
      <c r="K196" s="104" t="str">
        <f t="shared" si="43"/>
        <v/>
      </c>
      <c r="L196" s="105" t="str">
        <f t="shared" si="43"/>
        <v/>
      </c>
      <c r="M196" s="106" t="str">
        <f t="shared" si="30"/>
        <v/>
      </c>
    </row>
    <row r="197" spans="1:14" s="3" customFormat="1" ht="30" customHeight="1" x14ac:dyDescent="0.25">
      <c r="A197" s="14" t="s">
        <v>11</v>
      </c>
      <c r="B197" s="16" t="s">
        <v>42</v>
      </c>
      <c r="C197" s="25" t="s">
        <v>61</v>
      </c>
      <c r="D197" s="168" t="s">
        <v>48</v>
      </c>
      <c r="E197" s="38">
        <v>0</v>
      </c>
      <c r="F197" s="39">
        <v>0</v>
      </c>
      <c r="G197" s="40">
        <v>0</v>
      </c>
      <c r="H197" s="41">
        <v>0</v>
      </c>
      <c r="I197" s="42">
        <f t="shared" si="42"/>
        <v>0</v>
      </c>
      <c r="J197" s="103" t="str">
        <f t="shared" si="43"/>
        <v/>
      </c>
      <c r="K197" s="104" t="str">
        <f t="shared" si="43"/>
        <v/>
      </c>
      <c r="L197" s="105" t="str">
        <f t="shared" si="43"/>
        <v/>
      </c>
      <c r="M197" s="106" t="str">
        <f t="shared" si="30"/>
        <v/>
      </c>
    </row>
    <row r="198" spans="1:14" s="3" customFormat="1" ht="30" customHeight="1" x14ac:dyDescent="0.25">
      <c r="A198" s="14" t="s">
        <v>11</v>
      </c>
      <c r="B198" s="16" t="s">
        <v>42</v>
      </c>
      <c r="C198" s="25" t="s">
        <v>61</v>
      </c>
      <c r="D198" s="168" t="s">
        <v>49</v>
      </c>
      <c r="E198" s="38">
        <v>0</v>
      </c>
      <c r="F198" s="39">
        <v>0</v>
      </c>
      <c r="G198" s="40">
        <v>0</v>
      </c>
      <c r="H198" s="41">
        <v>0</v>
      </c>
      <c r="I198" s="42">
        <f t="shared" si="42"/>
        <v>0</v>
      </c>
      <c r="J198" s="103" t="str">
        <f t="shared" si="43"/>
        <v/>
      </c>
      <c r="K198" s="104" t="str">
        <f t="shared" si="43"/>
        <v/>
      </c>
      <c r="L198" s="105" t="str">
        <f t="shared" si="43"/>
        <v/>
      </c>
      <c r="M198" s="106" t="str">
        <f t="shared" si="30"/>
        <v/>
      </c>
    </row>
    <row r="199" spans="1:14" s="3" customFormat="1" ht="30" customHeight="1" x14ac:dyDescent="0.25">
      <c r="A199" s="14" t="s">
        <v>11</v>
      </c>
      <c r="B199" s="16" t="s">
        <v>42</v>
      </c>
      <c r="C199" s="25" t="s">
        <v>61</v>
      </c>
      <c r="D199" s="168" t="s">
        <v>50</v>
      </c>
      <c r="E199" s="38">
        <v>0</v>
      </c>
      <c r="F199" s="39">
        <v>0</v>
      </c>
      <c r="G199" s="40">
        <v>0</v>
      </c>
      <c r="H199" s="41">
        <v>0</v>
      </c>
      <c r="I199" s="42">
        <f t="shared" si="42"/>
        <v>0</v>
      </c>
      <c r="J199" s="103" t="str">
        <f t="shared" si="43"/>
        <v/>
      </c>
      <c r="K199" s="104" t="str">
        <f t="shared" si="43"/>
        <v/>
      </c>
      <c r="L199" s="105" t="str">
        <f t="shared" si="43"/>
        <v/>
      </c>
      <c r="M199" s="106" t="str">
        <f t="shared" si="30"/>
        <v/>
      </c>
    </row>
    <row r="200" spans="1:14" s="8" customFormat="1" ht="30" customHeight="1" x14ac:dyDescent="0.25">
      <c r="A200" s="14" t="s">
        <v>11</v>
      </c>
      <c r="B200" s="16" t="s">
        <v>42</v>
      </c>
      <c r="C200" s="25"/>
      <c r="D200" s="9" t="s">
        <v>29</v>
      </c>
      <c r="E200" s="38">
        <f>SUM(E190:E199)</f>
        <v>0</v>
      </c>
      <c r="F200" s="39">
        <f t="shared" ref="F200:I200" si="44">SUM(F190:F199)</f>
        <v>0</v>
      </c>
      <c r="G200" s="40">
        <f t="shared" si="44"/>
        <v>0</v>
      </c>
      <c r="H200" s="41">
        <f t="shared" si="44"/>
        <v>0</v>
      </c>
      <c r="I200" s="43">
        <f t="shared" si="44"/>
        <v>0</v>
      </c>
      <c r="J200" s="103" t="str">
        <f>IFERROR(E200/SUM($E200:$H200)*100,"")</f>
        <v/>
      </c>
      <c r="K200" s="104" t="str">
        <f>IFERROR(F200/SUM($E200:$H200)*100,"")</f>
        <v/>
      </c>
      <c r="L200" s="105" t="str">
        <f>IFERROR(G200/SUM($E200:$H200)*100,"")</f>
        <v/>
      </c>
      <c r="M200" s="106" t="str">
        <f t="shared" si="30"/>
        <v/>
      </c>
      <c r="N200" s="5" t="s">
        <v>1671</v>
      </c>
    </row>
    <row r="201" spans="1:14" ht="5.0999999999999996" customHeight="1" x14ac:dyDescent="0.25">
      <c r="A201" s="14" t="s">
        <v>11</v>
      </c>
      <c r="B201" s="16" t="s">
        <v>42</v>
      </c>
      <c r="C201"/>
      <c r="D201" s="57"/>
      <c r="E201" s="59"/>
      <c r="F201" s="59"/>
      <c r="G201" s="59"/>
      <c r="H201" s="59"/>
      <c r="I201" s="59"/>
      <c r="J201" s="103"/>
      <c r="K201" s="104"/>
      <c r="L201" s="105"/>
      <c r="M201" s="106" t="str">
        <f t="shared" si="30"/>
        <v/>
      </c>
    </row>
    <row r="202" spans="1:14" s="7" customFormat="1" ht="20.100000000000001" customHeight="1" x14ac:dyDescent="0.25">
      <c r="A202" s="14" t="s">
        <v>11</v>
      </c>
      <c r="B202" s="16" t="s">
        <v>62</v>
      </c>
      <c r="C202" s="25" t="s">
        <v>60</v>
      </c>
      <c r="D202" s="62" t="s">
        <v>63</v>
      </c>
      <c r="E202" s="63"/>
      <c r="F202" s="63"/>
      <c r="G202" s="63"/>
      <c r="H202" s="63"/>
      <c r="I202" s="64"/>
      <c r="J202" s="103"/>
      <c r="K202" s="104"/>
      <c r="L202" s="105"/>
      <c r="M202" s="106" t="str">
        <f t="shared" si="30"/>
        <v/>
      </c>
      <c r="N202" s="5" t="s">
        <v>1673</v>
      </c>
    </row>
    <row r="203" spans="1:14" s="8" customFormat="1" ht="30" customHeight="1" x14ac:dyDescent="0.25">
      <c r="A203" s="14" t="s">
        <v>11</v>
      </c>
      <c r="B203" s="16" t="s">
        <v>62</v>
      </c>
      <c r="C203" s="25"/>
      <c r="D203" s="168" t="s">
        <v>29</v>
      </c>
      <c r="E203" s="38">
        <f>SUM(E153,E142,E161,E200,E156,E164,E173,E179,E187,E176)</f>
        <v>0</v>
      </c>
      <c r="F203" s="39">
        <f>SUM(F153,F142,F161,F200,F156,F164,F173,F179,F187,F176)</f>
        <v>0</v>
      </c>
      <c r="G203" s="40">
        <f>SUM(G153,G142,G161,G200,G156,G164,G173,G179,G187,G176)</f>
        <v>0</v>
      </c>
      <c r="H203" s="41">
        <f>SUM(H153,H142,H161,H200,H156,H164,H173,H179,H187,H176)</f>
        <v>0</v>
      </c>
      <c r="I203" s="42">
        <f>SUM(I153,I142,I161,I200,I156,I164,I173,I179,I187,I176)</f>
        <v>0</v>
      </c>
      <c r="J203" s="103" t="str">
        <f>IFERROR(E203/SUM($E203:$H203)*100,"")</f>
        <v/>
      </c>
      <c r="K203" s="104" t="str">
        <f>IFERROR(F203/SUM($E203:$H203)*100,"")</f>
        <v/>
      </c>
      <c r="L203" s="105" t="str">
        <f>IFERROR(G203/SUM($E203:$H203)*100,"")</f>
        <v/>
      </c>
      <c r="M203" s="106" t="str">
        <f t="shared" si="30"/>
        <v/>
      </c>
      <c r="N203" s="5" t="s">
        <v>1671</v>
      </c>
    </row>
    <row r="204" spans="1:14" s="5" customFormat="1" ht="20.100000000000001" customHeight="1" x14ac:dyDescent="0.25">
      <c r="A204" s="14" t="s">
        <v>11</v>
      </c>
      <c r="B204" s="14"/>
      <c r="C204" s="25" t="s">
        <v>60</v>
      </c>
      <c r="D204" s="58"/>
      <c r="E204" s="60"/>
      <c r="F204" s="60"/>
      <c r="G204" s="60"/>
      <c r="H204" s="60"/>
      <c r="I204" s="60"/>
      <c r="J204" s="103"/>
      <c r="K204" s="104"/>
      <c r="L204" s="105"/>
      <c r="M204" s="106" t="str">
        <f t="shared" si="30"/>
        <v/>
      </c>
    </row>
    <row r="205" spans="1:14" s="5" customFormat="1" ht="20.100000000000001" customHeight="1" x14ac:dyDescent="0.25">
      <c r="A205" s="14" t="s">
        <v>1670</v>
      </c>
      <c r="B205" s="14"/>
      <c r="C205" s="25" t="s">
        <v>60</v>
      </c>
      <c r="D205" s="20" t="str">
        <f>IFERROR(A205&amp;"   ("&amp;COUNTIFS(#REF!,"="&amp;A205)&amp;")",A205)</f>
        <v>CMD</v>
      </c>
      <c r="E205" s="45"/>
      <c r="F205" s="45"/>
      <c r="G205" s="45"/>
      <c r="H205" s="45"/>
      <c r="I205" s="46"/>
      <c r="J205" s="103"/>
      <c r="K205" s="104"/>
      <c r="L205" s="105"/>
      <c r="M205" s="106" t="str">
        <f t="shared" ref="M205:M268" si="45">IFERROR(H205/$I205*100,"")</f>
        <v/>
      </c>
      <c r="N205" s="5" t="s">
        <v>1672</v>
      </c>
    </row>
    <row r="206" spans="1:14" s="5" customFormat="1" ht="20.100000000000001" customHeight="1" x14ac:dyDescent="0.25">
      <c r="A206" s="14" t="s">
        <v>1670</v>
      </c>
      <c r="B206" s="16" t="s">
        <v>20</v>
      </c>
      <c r="C206" s="25" t="s">
        <v>60</v>
      </c>
      <c r="D206" s="6" t="s">
        <v>20</v>
      </c>
      <c r="E206" s="37"/>
      <c r="F206" s="37"/>
      <c r="G206" s="37"/>
      <c r="H206" s="37"/>
      <c r="I206" s="48"/>
      <c r="J206" s="103"/>
      <c r="K206" s="104"/>
      <c r="L206" s="105"/>
      <c r="M206" s="106" t="str">
        <f t="shared" si="45"/>
        <v/>
      </c>
      <c r="N206" s="5" t="s">
        <v>1673</v>
      </c>
    </row>
    <row r="207" spans="1:14" s="5" customFormat="1" ht="30" customHeight="1" x14ac:dyDescent="0.25">
      <c r="A207" s="14" t="s">
        <v>1670</v>
      </c>
      <c r="B207" s="16" t="s">
        <v>20</v>
      </c>
      <c r="C207" s="25" t="s">
        <v>61</v>
      </c>
      <c r="D207" s="168" t="s">
        <v>25</v>
      </c>
      <c r="E207" s="38">
        <v>0</v>
      </c>
      <c r="F207" s="39">
        <v>0</v>
      </c>
      <c r="G207" s="40">
        <v>0</v>
      </c>
      <c r="H207" s="41">
        <v>0</v>
      </c>
      <c r="I207" s="42">
        <f>SUM(E207:H207)</f>
        <v>0</v>
      </c>
      <c r="J207" s="103" t="str">
        <f>IFERROR(E207/$I207*100,"")</f>
        <v/>
      </c>
      <c r="K207" s="104" t="str">
        <f>IFERROR(F207/$I207*100,"")</f>
        <v/>
      </c>
      <c r="L207" s="105" t="str">
        <f>IFERROR(G207/$I207*100,"")</f>
        <v/>
      </c>
      <c r="M207" s="106" t="str">
        <f t="shared" si="45"/>
        <v/>
      </c>
      <c r="N207" s="5" t="s">
        <v>1671</v>
      </c>
    </row>
    <row r="208" spans="1:14" ht="5.0999999999999996" customHeight="1" x14ac:dyDescent="0.25">
      <c r="A208" s="14" t="s">
        <v>1670</v>
      </c>
      <c r="B208" s="16" t="s">
        <v>20</v>
      </c>
      <c r="C208"/>
      <c r="D208" s="57"/>
      <c r="E208" s="59"/>
      <c r="F208" s="59"/>
      <c r="G208" s="59"/>
      <c r="H208" s="59"/>
      <c r="I208" s="59"/>
      <c r="J208" s="103"/>
      <c r="K208" s="104"/>
      <c r="L208" s="105"/>
      <c r="M208" s="106" t="str">
        <f t="shared" si="45"/>
        <v/>
      </c>
    </row>
    <row r="209" spans="1:14" s="5" customFormat="1" ht="20.100000000000001" customHeight="1" x14ac:dyDescent="0.25">
      <c r="A209" s="14" t="s">
        <v>1670</v>
      </c>
      <c r="B209" s="16" t="s">
        <v>26</v>
      </c>
      <c r="C209" s="25" t="s">
        <v>60</v>
      </c>
      <c r="D209" s="6" t="s">
        <v>98</v>
      </c>
      <c r="E209" s="37"/>
      <c r="F209" s="37"/>
      <c r="G209" s="37"/>
      <c r="H209" s="37"/>
      <c r="I209" s="47"/>
      <c r="J209" s="103"/>
      <c r="K209" s="104"/>
      <c r="L209" s="105"/>
      <c r="M209" s="106" t="str">
        <f t="shared" si="45"/>
        <v/>
      </c>
      <c r="N209" s="5" t="s">
        <v>1673</v>
      </c>
    </row>
    <row r="210" spans="1:14" s="5" customFormat="1" ht="30" customHeight="1" x14ac:dyDescent="0.25">
      <c r="A210" s="14" t="s">
        <v>1670</v>
      </c>
      <c r="B210" s="16" t="s">
        <v>26</v>
      </c>
      <c r="C210" s="25" t="s">
        <v>61</v>
      </c>
      <c r="D210" s="169" t="s">
        <v>21</v>
      </c>
      <c r="E210" s="38">
        <v>0</v>
      </c>
      <c r="F210" s="39">
        <v>0</v>
      </c>
      <c r="G210" s="40">
        <v>0</v>
      </c>
      <c r="H210" s="41">
        <v>0</v>
      </c>
      <c r="I210" s="42">
        <f t="shared" ref="I210:I217" si="46">SUM(E210:H210)</f>
        <v>0</v>
      </c>
      <c r="J210" s="103" t="str">
        <f t="shared" ref="J210:L217" si="47">IFERROR(E210/$I210*100,"")</f>
        <v/>
      </c>
      <c r="K210" s="104" t="str">
        <f t="shared" si="47"/>
        <v/>
      </c>
      <c r="L210" s="105" t="str">
        <f t="shared" si="47"/>
        <v/>
      </c>
      <c r="M210" s="106" t="str">
        <f t="shared" si="45"/>
        <v/>
      </c>
    </row>
    <row r="211" spans="1:14" s="5" customFormat="1" ht="30" customHeight="1" x14ac:dyDescent="0.25">
      <c r="A211" s="14" t="s">
        <v>1670</v>
      </c>
      <c r="B211" s="16" t="s">
        <v>26</v>
      </c>
      <c r="C211" s="25" t="s">
        <v>61</v>
      </c>
      <c r="D211" s="169" t="s">
        <v>22</v>
      </c>
      <c r="E211" s="38">
        <v>0</v>
      </c>
      <c r="F211" s="39">
        <v>0</v>
      </c>
      <c r="G211" s="40">
        <v>0</v>
      </c>
      <c r="H211" s="41">
        <v>0</v>
      </c>
      <c r="I211" s="42">
        <f t="shared" si="46"/>
        <v>0</v>
      </c>
      <c r="J211" s="103" t="str">
        <f t="shared" si="47"/>
        <v/>
      </c>
      <c r="K211" s="104" t="str">
        <f t="shared" si="47"/>
        <v/>
      </c>
      <c r="L211" s="105" t="str">
        <f t="shared" si="47"/>
        <v/>
      </c>
      <c r="M211" s="106" t="str">
        <f t="shared" si="45"/>
        <v/>
      </c>
    </row>
    <row r="212" spans="1:14" s="5" customFormat="1" ht="30" customHeight="1" x14ac:dyDescent="0.25">
      <c r="A212" s="14" t="s">
        <v>1670</v>
      </c>
      <c r="B212" s="16" t="s">
        <v>26</v>
      </c>
      <c r="C212" s="25" t="s">
        <v>61</v>
      </c>
      <c r="D212" s="169" t="s">
        <v>27</v>
      </c>
      <c r="E212" s="38">
        <v>0</v>
      </c>
      <c r="F212" s="39">
        <v>0</v>
      </c>
      <c r="G212" s="40">
        <v>0</v>
      </c>
      <c r="H212" s="41">
        <v>0</v>
      </c>
      <c r="I212" s="42">
        <f t="shared" si="46"/>
        <v>0</v>
      </c>
      <c r="J212" s="103" t="str">
        <f t="shared" si="47"/>
        <v/>
      </c>
      <c r="K212" s="104" t="str">
        <f t="shared" si="47"/>
        <v/>
      </c>
      <c r="L212" s="105" t="str">
        <f t="shared" si="47"/>
        <v/>
      </c>
      <c r="M212" s="106" t="str">
        <f t="shared" si="45"/>
        <v/>
      </c>
    </row>
    <row r="213" spans="1:14" s="5" customFormat="1" ht="30" customHeight="1" x14ac:dyDescent="0.25">
      <c r="A213" s="14" t="s">
        <v>1670</v>
      </c>
      <c r="B213" s="16" t="s">
        <v>26</v>
      </c>
      <c r="C213" s="25" t="s">
        <v>61</v>
      </c>
      <c r="D213" s="169" t="s">
        <v>23</v>
      </c>
      <c r="E213" s="38">
        <v>0</v>
      </c>
      <c r="F213" s="39">
        <v>0</v>
      </c>
      <c r="G213" s="40">
        <v>0</v>
      </c>
      <c r="H213" s="41">
        <v>0</v>
      </c>
      <c r="I213" s="42">
        <f t="shared" si="46"/>
        <v>0</v>
      </c>
      <c r="J213" s="103" t="str">
        <f t="shared" si="47"/>
        <v/>
      </c>
      <c r="K213" s="104" t="str">
        <f t="shared" si="47"/>
        <v/>
      </c>
      <c r="L213" s="105" t="str">
        <f t="shared" si="47"/>
        <v/>
      </c>
      <c r="M213" s="106" t="str">
        <f t="shared" si="45"/>
        <v/>
      </c>
    </row>
    <row r="214" spans="1:14" s="5" customFormat="1" ht="30" customHeight="1" x14ac:dyDescent="0.25">
      <c r="A214" s="14" t="s">
        <v>1670</v>
      </c>
      <c r="B214" s="16" t="s">
        <v>26</v>
      </c>
      <c r="C214" s="25" t="s">
        <v>61</v>
      </c>
      <c r="D214" s="169" t="s">
        <v>24</v>
      </c>
      <c r="E214" s="38">
        <v>0</v>
      </c>
      <c r="F214" s="39">
        <v>0</v>
      </c>
      <c r="G214" s="40">
        <v>0</v>
      </c>
      <c r="H214" s="41">
        <v>0</v>
      </c>
      <c r="I214" s="42">
        <f t="shared" si="46"/>
        <v>0</v>
      </c>
      <c r="J214" s="103" t="str">
        <f t="shared" si="47"/>
        <v/>
      </c>
      <c r="K214" s="104" t="str">
        <f t="shared" si="47"/>
        <v/>
      </c>
      <c r="L214" s="105" t="str">
        <f t="shared" si="47"/>
        <v/>
      </c>
      <c r="M214" s="106" t="str">
        <f t="shared" si="45"/>
        <v/>
      </c>
    </row>
    <row r="215" spans="1:14" s="3" customFormat="1" ht="30" customHeight="1" x14ac:dyDescent="0.25">
      <c r="A215" s="14" t="s">
        <v>1670</v>
      </c>
      <c r="B215" s="16" t="s">
        <v>26</v>
      </c>
      <c r="C215" s="25" t="s">
        <v>61</v>
      </c>
      <c r="D215" s="169" t="s">
        <v>41</v>
      </c>
      <c r="E215" s="38">
        <v>0</v>
      </c>
      <c r="F215" s="39">
        <v>0</v>
      </c>
      <c r="G215" s="40">
        <v>0</v>
      </c>
      <c r="H215" s="41">
        <v>0</v>
      </c>
      <c r="I215" s="42">
        <f t="shared" si="46"/>
        <v>0</v>
      </c>
      <c r="J215" s="103" t="str">
        <f t="shared" si="47"/>
        <v/>
      </c>
      <c r="K215" s="104" t="str">
        <f t="shared" si="47"/>
        <v/>
      </c>
      <c r="L215" s="105" t="str">
        <f t="shared" si="47"/>
        <v/>
      </c>
      <c r="M215" s="106" t="str">
        <f t="shared" si="45"/>
        <v/>
      </c>
    </row>
    <row r="216" spans="1:14" s="5" customFormat="1" ht="30" customHeight="1" x14ac:dyDescent="0.25">
      <c r="A216" s="14" t="s">
        <v>1670</v>
      </c>
      <c r="B216" s="16" t="s">
        <v>26</v>
      </c>
      <c r="C216" s="25" t="s">
        <v>61</v>
      </c>
      <c r="D216" s="169" t="s">
        <v>28</v>
      </c>
      <c r="E216" s="38">
        <v>0</v>
      </c>
      <c r="F216" s="39">
        <v>0</v>
      </c>
      <c r="G216" s="40">
        <v>0</v>
      </c>
      <c r="H216" s="41">
        <v>0</v>
      </c>
      <c r="I216" s="42">
        <f t="shared" si="46"/>
        <v>0</v>
      </c>
      <c r="J216" s="103" t="str">
        <f t="shared" si="47"/>
        <v/>
      </c>
      <c r="K216" s="104" t="str">
        <f t="shared" si="47"/>
        <v/>
      </c>
      <c r="L216" s="105" t="str">
        <f t="shared" si="47"/>
        <v/>
      </c>
      <c r="M216" s="106" t="str">
        <f t="shared" si="45"/>
        <v/>
      </c>
    </row>
    <row r="217" spans="1:14" s="5" customFormat="1" ht="30" customHeight="1" x14ac:dyDescent="0.25">
      <c r="A217" s="14" t="s">
        <v>1670</v>
      </c>
      <c r="B217" s="16" t="s">
        <v>26</v>
      </c>
      <c r="C217" s="25" t="s">
        <v>61</v>
      </c>
      <c r="D217" s="169" t="s">
        <v>40</v>
      </c>
      <c r="E217" s="38">
        <v>0</v>
      </c>
      <c r="F217" s="39">
        <v>0</v>
      </c>
      <c r="G217" s="40">
        <v>0</v>
      </c>
      <c r="H217" s="41">
        <v>0</v>
      </c>
      <c r="I217" s="42">
        <f t="shared" si="46"/>
        <v>0</v>
      </c>
      <c r="J217" s="103" t="str">
        <f t="shared" si="47"/>
        <v/>
      </c>
      <c r="K217" s="104" t="str">
        <f t="shared" si="47"/>
        <v/>
      </c>
      <c r="L217" s="105" t="str">
        <f t="shared" si="47"/>
        <v/>
      </c>
      <c r="M217" s="106" t="str">
        <f t="shared" si="45"/>
        <v/>
      </c>
    </row>
    <row r="218" spans="1:14" s="5" customFormat="1" ht="30" customHeight="1" x14ac:dyDescent="0.25">
      <c r="A218" s="14" t="s">
        <v>1670</v>
      </c>
      <c r="B218" s="16" t="s">
        <v>26</v>
      </c>
      <c r="C218" s="25"/>
      <c r="D218" s="9" t="s">
        <v>29</v>
      </c>
      <c r="E218" s="38">
        <f>SUM(E210:E217)</f>
        <v>0</v>
      </c>
      <c r="F218" s="39">
        <f t="shared" ref="F218:I218" si="48">SUM(F210:F217)</f>
        <v>0</v>
      </c>
      <c r="G218" s="40">
        <f t="shared" si="48"/>
        <v>0</v>
      </c>
      <c r="H218" s="41">
        <f t="shared" si="48"/>
        <v>0</v>
      </c>
      <c r="I218" s="43">
        <f t="shared" si="48"/>
        <v>0</v>
      </c>
      <c r="J218" s="103" t="str">
        <f>IFERROR(E218/SUM($E218:$H218)*100,"")</f>
        <v/>
      </c>
      <c r="K218" s="104" t="str">
        <f>IFERROR(F218/SUM($E218:$H218)*100,"")</f>
        <v/>
      </c>
      <c r="L218" s="105" t="str">
        <f>IFERROR(G218/SUM($E218:$H218)*100,"")</f>
        <v/>
      </c>
      <c r="M218" s="106" t="str">
        <f t="shared" si="45"/>
        <v/>
      </c>
      <c r="N218" s="5" t="s">
        <v>1671</v>
      </c>
    </row>
    <row r="219" spans="1:14" ht="5.0999999999999996" customHeight="1" x14ac:dyDescent="0.25">
      <c r="A219" s="14" t="s">
        <v>1670</v>
      </c>
      <c r="B219" s="16" t="s">
        <v>26</v>
      </c>
      <c r="C219"/>
      <c r="J219" s="103"/>
      <c r="K219" s="104"/>
      <c r="L219" s="105"/>
      <c r="M219" s="106" t="str">
        <f t="shared" si="45"/>
        <v/>
      </c>
    </row>
    <row r="220" spans="1:14" s="5" customFormat="1" ht="20.100000000000001" customHeight="1" x14ac:dyDescent="0.25">
      <c r="A220" s="14" t="s">
        <v>1670</v>
      </c>
      <c r="B220" s="16" t="s">
        <v>64</v>
      </c>
      <c r="C220" s="25" t="s">
        <v>60</v>
      </c>
      <c r="D220" s="6" t="s">
        <v>65</v>
      </c>
      <c r="E220" s="37"/>
      <c r="F220" s="37"/>
      <c r="G220" s="37"/>
      <c r="H220" s="37"/>
      <c r="I220" s="48"/>
      <c r="J220" s="103"/>
      <c r="K220" s="104"/>
      <c r="L220" s="105"/>
      <c r="M220" s="106" t="str">
        <f t="shared" si="45"/>
        <v/>
      </c>
      <c r="N220" s="5" t="s">
        <v>1673</v>
      </c>
    </row>
    <row r="221" spans="1:14" s="5" customFormat="1" ht="30" customHeight="1" x14ac:dyDescent="0.25">
      <c r="A221" s="14" t="s">
        <v>1670</v>
      </c>
      <c r="B221" s="16" t="s">
        <v>64</v>
      </c>
      <c r="C221" s="25" t="s">
        <v>61</v>
      </c>
      <c r="D221" s="168" t="s">
        <v>66</v>
      </c>
      <c r="E221" s="38">
        <v>0</v>
      </c>
      <c r="F221" s="39">
        <v>0</v>
      </c>
      <c r="G221" s="40">
        <v>0</v>
      </c>
      <c r="H221" s="41">
        <v>0</v>
      </c>
      <c r="I221" s="42">
        <f>SUM(E221:H221)</f>
        <v>0</v>
      </c>
      <c r="J221" s="103" t="str">
        <f>IFERROR(E221/$I221*100,"")</f>
        <v/>
      </c>
      <c r="K221" s="104" t="str">
        <f>IFERROR(F221/$I221*100,"")</f>
        <v/>
      </c>
      <c r="L221" s="105" t="str">
        <f>IFERROR(G221/$I221*100,"")</f>
        <v/>
      </c>
      <c r="M221" s="106" t="str">
        <f t="shared" si="45"/>
        <v/>
      </c>
      <c r="N221" s="5" t="s">
        <v>1671</v>
      </c>
    </row>
    <row r="222" spans="1:14" ht="5.0999999999999996" customHeight="1" x14ac:dyDescent="0.25">
      <c r="A222" s="14" t="s">
        <v>1670</v>
      </c>
      <c r="B222" s="16" t="s">
        <v>64</v>
      </c>
      <c r="C222"/>
      <c r="D222" s="57"/>
      <c r="E222" s="59"/>
      <c r="F222" s="59"/>
      <c r="G222" s="59"/>
      <c r="H222" s="59"/>
      <c r="I222" s="59"/>
      <c r="J222" s="103"/>
      <c r="K222" s="104"/>
      <c r="L222" s="105"/>
      <c r="M222" s="106" t="str">
        <f t="shared" si="45"/>
        <v/>
      </c>
    </row>
    <row r="223" spans="1:14" s="5" customFormat="1" ht="20.100000000000001" customHeight="1" x14ac:dyDescent="0.25">
      <c r="A223" s="14" t="s">
        <v>1670</v>
      </c>
      <c r="B223" s="16" t="s">
        <v>55</v>
      </c>
      <c r="C223" s="25" t="s">
        <v>60</v>
      </c>
      <c r="D223" s="6" t="s">
        <v>55</v>
      </c>
      <c r="E223" s="37"/>
      <c r="F223" s="37"/>
      <c r="G223" s="37"/>
      <c r="H223" s="37"/>
      <c r="I223" s="48"/>
      <c r="J223" s="103"/>
      <c r="K223" s="104"/>
      <c r="L223" s="105"/>
      <c r="M223" s="106" t="str">
        <f t="shared" si="45"/>
        <v/>
      </c>
      <c r="N223" s="5" t="s">
        <v>1673</v>
      </c>
    </row>
    <row r="224" spans="1:14" s="3" customFormat="1" ht="30" customHeight="1" x14ac:dyDescent="0.25">
      <c r="A224" s="14" t="s">
        <v>1670</v>
      </c>
      <c r="B224" s="16" t="s">
        <v>55</v>
      </c>
      <c r="C224" s="25" t="s">
        <v>61</v>
      </c>
      <c r="D224" s="168" t="s">
        <v>56</v>
      </c>
      <c r="E224" s="38">
        <v>0</v>
      </c>
      <c r="F224" s="39">
        <v>0</v>
      </c>
      <c r="G224" s="40">
        <v>0</v>
      </c>
      <c r="H224" s="41">
        <v>0</v>
      </c>
      <c r="I224" s="42">
        <f>SUM(E224:H224)</f>
        <v>0</v>
      </c>
      <c r="J224" s="103" t="str">
        <f t="shared" ref="J224:L226" si="49">IFERROR(E224/$I224*100,"")</f>
        <v/>
      </c>
      <c r="K224" s="104" t="str">
        <f t="shared" si="49"/>
        <v/>
      </c>
      <c r="L224" s="105" t="str">
        <f t="shared" si="49"/>
        <v/>
      </c>
      <c r="M224" s="106" t="str">
        <f t="shared" si="45"/>
        <v/>
      </c>
      <c r="N224" s="5"/>
    </row>
    <row r="225" spans="1:14" s="3" customFormat="1" ht="30" customHeight="1" x14ac:dyDescent="0.25">
      <c r="A225" s="14" t="s">
        <v>1670</v>
      </c>
      <c r="B225" s="16" t="s">
        <v>55</v>
      </c>
      <c r="C225" s="25" t="s">
        <v>61</v>
      </c>
      <c r="D225" s="168" t="s">
        <v>57</v>
      </c>
      <c r="E225" s="38">
        <v>0</v>
      </c>
      <c r="F225" s="39">
        <v>0</v>
      </c>
      <c r="G225" s="40">
        <v>0</v>
      </c>
      <c r="H225" s="41">
        <v>0</v>
      </c>
      <c r="I225" s="42">
        <f>SUM(E225:H225)</f>
        <v>0</v>
      </c>
      <c r="J225" s="103" t="str">
        <f t="shared" si="49"/>
        <v/>
      </c>
      <c r="K225" s="104" t="str">
        <f t="shared" si="49"/>
        <v/>
      </c>
      <c r="L225" s="105" t="str">
        <f t="shared" si="49"/>
        <v/>
      </c>
      <c r="M225" s="106" t="str">
        <f t="shared" si="45"/>
        <v/>
      </c>
    </row>
    <row r="226" spans="1:14" s="3" customFormat="1" ht="30" customHeight="1" x14ac:dyDescent="0.25">
      <c r="A226" s="14" t="s">
        <v>1670</v>
      </c>
      <c r="B226" s="16" t="s">
        <v>55</v>
      </c>
      <c r="C226" s="25"/>
      <c r="D226" s="168" t="s">
        <v>29</v>
      </c>
      <c r="E226" s="38">
        <f>SUM(E224:E225)</f>
        <v>0</v>
      </c>
      <c r="F226" s="39">
        <f t="shared" ref="F226:I226" si="50">SUM(F224:F225)</f>
        <v>0</v>
      </c>
      <c r="G226" s="40">
        <f t="shared" si="50"/>
        <v>0</v>
      </c>
      <c r="H226" s="41">
        <f t="shared" si="50"/>
        <v>0</v>
      </c>
      <c r="I226" s="42">
        <f t="shared" si="50"/>
        <v>0</v>
      </c>
      <c r="J226" s="103" t="str">
        <f t="shared" si="49"/>
        <v/>
      </c>
      <c r="K226" s="104" t="str">
        <f t="shared" si="49"/>
        <v/>
      </c>
      <c r="L226" s="105" t="str">
        <f t="shared" si="49"/>
        <v/>
      </c>
      <c r="M226" s="106" t="str">
        <f t="shared" si="45"/>
        <v/>
      </c>
      <c r="N226" s="5" t="s">
        <v>1671</v>
      </c>
    </row>
    <row r="227" spans="1:14" ht="5.0999999999999996" customHeight="1" x14ac:dyDescent="0.25">
      <c r="A227" s="14" t="s">
        <v>1670</v>
      </c>
      <c r="B227" s="16" t="s">
        <v>55</v>
      </c>
      <c r="C227"/>
      <c r="D227" s="57"/>
      <c r="E227" s="59"/>
      <c r="F227" s="59"/>
      <c r="G227" s="59"/>
      <c r="H227" s="59"/>
      <c r="I227" s="59"/>
      <c r="J227" s="103"/>
      <c r="K227" s="104"/>
      <c r="L227" s="105"/>
      <c r="M227" s="106" t="str">
        <f t="shared" si="45"/>
        <v/>
      </c>
    </row>
    <row r="228" spans="1:14" s="5" customFormat="1" ht="20.100000000000001" customHeight="1" x14ac:dyDescent="0.25">
      <c r="A228" s="14" t="s">
        <v>1670</v>
      </c>
      <c r="B228" s="16" t="s">
        <v>74</v>
      </c>
      <c r="C228" s="25" t="s">
        <v>60</v>
      </c>
      <c r="D228" s="6" t="s">
        <v>75</v>
      </c>
      <c r="E228" s="37"/>
      <c r="F228" s="37"/>
      <c r="G228" s="37"/>
      <c r="H228" s="37"/>
      <c r="I228" s="48"/>
      <c r="J228" s="103"/>
      <c r="K228" s="104"/>
      <c r="L228" s="105"/>
      <c r="M228" s="106" t="str">
        <f t="shared" si="45"/>
        <v/>
      </c>
      <c r="N228" s="5" t="s">
        <v>1673</v>
      </c>
    </row>
    <row r="229" spans="1:14" s="3" customFormat="1" ht="30" customHeight="1" x14ac:dyDescent="0.25">
      <c r="A229" s="14" t="s">
        <v>1670</v>
      </c>
      <c r="B229" s="16" t="s">
        <v>74</v>
      </c>
      <c r="C229" s="25" t="s">
        <v>61</v>
      </c>
      <c r="D229" s="168" t="s">
        <v>77</v>
      </c>
      <c r="E229" s="38">
        <v>0</v>
      </c>
      <c r="F229" s="39">
        <v>0</v>
      </c>
      <c r="G229" s="40">
        <v>0</v>
      </c>
      <c r="H229" s="41">
        <v>0</v>
      </c>
      <c r="I229" s="42">
        <f>SUM(E229:H229)</f>
        <v>0</v>
      </c>
      <c r="J229" s="103" t="str">
        <f>IFERROR(E229/$I229*100,"")</f>
        <v/>
      </c>
      <c r="K229" s="104" t="str">
        <f>IFERROR(F229/$I229*100,"")</f>
        <v/>
      </c>
      <c r="L229" s="105" t="str">
        <f>IFERROR(G229/$I229*100,"")</f>
        <v/>
      </c>
      <c r="M229" s="106" t="str">
        <f t="shared" si="45"/>
        <v/>
      </c>
      <c r="N229" s="3" t="s">
        <v>1671</v>
      </c>
    </row>
    <row r="230" spans="1:14" ht="5.0999999999999996" customHeight="1" x14ac:dyDescent="0.25">
      <c r="A230" s="14" t="s">
        <v>1670</v>
      </c>
      <c r="B230" s="16" t="s">
        <v>74</v>
      </c>
      <c r="C230"/>
      <c r="J230" s="103"/>
      <c r="K230" s="104"/>
      <c r="L230" s="105"/>
      <c r="M230" s="106" t="str">
        <f t="shared" si="45"/>
        <v/>
      </c>
    </row>
    <row r="231" spans="1:14" s="5" customFormat="1" ht="20.100000000000001" customHeight="1" x14ac:dyDescent="0.25">
      <c r="A231" s="14" t="s">
        <v>1670</v>
      </c>
      <c r="B231" s="16" t="s">
        <v>78</v>
      </c>
      <c r="C231" s="25" t="s">
        <v>60</v>
      </c>
      <c r="D231" s="6" t="s">
        <v>80</v>
      </c>
      <c r="E231" s="37"/>
      <c r="F231" s="37"/>
      <c r="G231" s="37"/>
      <c r="H231" s="37"/>
      <c r="I231" s="48"/>
      <c r="J231" s="103"/>
      <c r="K231" s="104"/>
      <c r="L231" s="105"/>
      <c r="M231" s="106" t="str">
        <f t="shared" si="45"/>
        <v/>
      </c>
      <c r="N231" s="5" t="s">
        <v>1673</v>
      </c>
    </row>
    <row r="232" spans="1:14" s="5" customFormat="1" ht="30" customHeight="1" x14ac:dyDescent="0.25">
      <c r="A232" s="14" t="s">
        <v>1670</v>
      </c>
      <c r="B232" s="16" t="s">
        <v>78</v>
      </c>
      <c r="C232" s="25" t="s">
        <v>61</v>
      </c>
      <c r="D232" s="168" t="s">
        <v>81</v>
      </c>
      <c r="E232" s="38">
        <v>0</v>
      </c>
      <c r="F232" s="39">
        <v>0</v>
      </c>
      <c r="G232" s="40">
        <v>0</v>
      </c>
      <c r="H232" s="41">
        <v>0</v>
      </c>
      <c r="I232" s="42">
        <f t="shared" ref="I232:I238" si="51">SUM(E232:H232)</f>
        <v>0</v>
      </c>
      <c r="J232" s="103" t="str">
        <f t="shared" ref="J232:L238" si="52">IFERROR(E232/$I232*100,"")</f>
        <v/>
      </c>
      <c r="K232" s="104" t="str">
        <f t="shared" si="52"/>
        <v/>
      </c>
      <c r="L232" s="105" t="str">
        <f t="shared" si="52"/>
        <v/>
      </c>
      <c r="M232" s="106" t="str">
        <f t="shared" si="45"/>
        <v/>
      </c>
    </row>
    <row r="233" spans="1:14" s="5" customFormat="1" ht="30" customHeight="1" x14ac:dyDescent="0.25">
      <c r="A233" s="14" t="s">
        <v>1670</v>
      </c>
      <c r="B233" s="16" t="s">
        <v>78</v>
      </c>
      <c r="C233" s="25" t="s">
        <v>61</v>
      </c>
      <c r="D233" s="168" t="s">
        <v>82</v>
      </c>
      <c r="E233" s="38">
        <v>0</v>
      </c>
      <c r="F233" s="39">
        <v>0</v>
      </c>
      <c r="G233" s="40">
        <v>0</v>
      </c>
      <c r="H233" s="41">
        <v>0</v>
      </c>
      <c r="I233" s="42">
        <f t="shared" si="51"/>
        <v>0</v>
      </c>
      <c r="J233" s="103" t="str">
        <f t="shared" si="52"/>
        <v/>
      </c>
      <c r="K233" s="104" t="str">
        <f t="shared" si="52"/>
        <v/>
      </c>
      <c r="L233" s="105" t="str">
        <f t="shared" si="52"/>
        <v/>
      </c>
      <c r="M233" s="106" t="str">
        <f t="shared" si="45"/>
        <v/>
      </c>
    </row>
    <row r="234" spans="1:14" s="5" customFormat="1" ht="30" customHeight="1" x14ac:dyDescent="0.25">
      <c r="A234" s="14" t="s">
        <v>1670</v>
      </c>
      <c r="B234" s="16" t="s">
        <v>78</v>
      </c>
      <c r="C234" s="25" t="s">
        <v>61</v>
      </c>
      <c r="D234" s="168" t="s">
        <v>83</v>
      </c>
      <c r="E234" s="38">
        <v>0</v>
      </c>
      <c r="F234" s="39">
        <v>0</v>
      </c>
      <c r="G234" s="40">
        <v>0</v>
      </c>
      <c r="H234" s="41">
        <v>0</v>
      </c>
      <c r="I234" s="42">
        <f t="shared" si="51"/>
        <v>0</v>
      </c>
      <c r="J234" s="103" t="str">
        <f t="shared" si="52"/>
        <v/>
      </c>
      <c r="K234" s="104" t="str">
        <f t="shared" si="52"/>
        <v/>
      </c>
      <c r="L234" s="105" t="str">
        <f t="shared" si="52"/>
        <v/>
      </c>
      <c r="M234" s="106" t="str">
        <f t="shared" si="45"/>
        <v/>
      </c>
    </row>
    <row r="235" spans="1:14" s="5" customFormat="1" ht="30" customHeight="1" x14ac:dyDescent="0.25">
      <c r="A235" s="14" t="s">
        <v>1670</v>
      </c>
      <c r="B235" s="16" t="s">
        <v>78</v>
      </c>
      <c r="C235" s="25" t="s">
        <v>61</v>
      </c>
      <c r="D235" s="168" t="s">
        <v>88</v>
      </c>
      <c r="E235" s="38">
        <v>0</v>
      </c>
      <c r="F235" s="39">
        <v>0</v>
      </c>
      <c r="G235" s="40">
        <v>0</v>
      </c>
      <c r="H235" s="41">
        <v>0</v>
      </c>
      <c r="I235" s="42">
        <f t="shared" si="51"/>
        <v>0</v>
      </c>
      <c r="J235" s="103" t="str">
        <f t="shared" si="52"/>
        <v/>
      </c>
      <c r="K235" s="104" t="str">
        <f t="shared" si="52"/>
        <v/>
      </c>
      <c r="L235" s="105" t="str">
        <f t="shared" si="52"/>
        <v/>
      </c>
      <c r="M235" s="106" t="str">
        <f t="shared" si="45"/>
        <v/>
      </c>
    </row>
    <row r="236" spans="1:14" s="5" customFormat="1" ht="30" customHeight="1" x14ac:dyDescent="0.25">
      <c r="A236" s="14" t="s">
        <v>1670</v>
      </c>
      <c r="B236" s="16" t="s">
        <v>78</v>
      </c>
      <c r="C236" s="25" t="s">
        <v>61</v>
      </c>
      <c r="D236" s="168" t="s">
        <v>87</v>
      </c>
      <c r="E236" s="38">
        <v>0</v>
      </c>
      <c r="F236" s="39">
        <v>0</v>
      </c>
      <c r="G236" s="40">
        <v>0</v>
      </c>
      <c r="H236" s="41">
        <v>0</v>
      </c>
      <c r="I236" s="42">
        <f t="shared" si="51"/>
        <v>0</v>
      </c>
      <c r="J236" s="103" t="str">
        <f t="shared" si="52"/>
        <v/>
      </c>
      <c r="K236" s="104" t="str">
        <f t="shared" si="52"/>
        <v/>
      </c>
      <c r="L236" s="105" t="str">
        <f t="shared" si="52"/>
        <v/>
      </c>
      <c r="M236" s="106" t="str">
        <f t="shared" si="45"/>
        <v/>
      </c>
    </row>
    <row r="237" spans="1:14" s="5" customFormat="1" ht="30" customHeight="1" x14ac:dyDescent="0.25">
      <c r="A237" s="14" t="s">
        <v>1670</v>
      </c>
      <c r="B237" s="16" t="s">
        <v>78</v>
      </c>
      <c r="C237" s="25" t="s">
        <v>61</v>
      </c>
      <c r="D237" s="168" t="s">
        <v>84</v>
      </c>
      <c r="E237" s="38">
        <v>0</v>
      </c>
      <c r="F237" s="39">
        <v>0</v>
      </c>
      <c r="G237" s="40">
        <v>0</v>
      </c>
      <c r="H237" s="41">
        <v>0</v>
      </c>
      <c r="I237" s="42">
        <f t="shared" si="51"/>
        <v>0</v>
      </c>
      <c r="J237" s="103" t="str">
        <f t="shared" si="52"/>
        <v/>
      </c>
      <c r="K237" s="104" t="str">
        <f t="shared" si="52"/>
        <v/>
      </c>
      <c r="L237" s="105" t="str">
        <f t="shared" si="52"/>
        <v/>
      </c>
      <c r="M237" s="106" t="str">
        <f t="shared" si="45"/>
        <v/>
      </c>
    </row>
    <row r="238" spans="1:14" s="5" customFormat="1" ht="30" customHeight="1" x14ac:dyDescent="0.25">
      <c r="A238" s="14" t="s">
        <v>1670</v>
      </c>
      <c r="B238" s="16" t="s">
        <v>78</v>
      </c>
      <c r="C238" s="25" t="s">
        <v>86</v>
      </c>
      <c r="D238" s="168" t="s">
        <v>79</v>
      </c>
      <c r="E238" s="38">
        <v>0</v>
      </c>
      <c r="F238" s="39">
        <v>0</v>
      </c>
      <c r="G238" s="40">
        <v>0</v>
      </c>
      <c r="H238" s="41">
        <v>0</v>
      </c>
      <c r="I238" s="42">
        <f t="shared" si="51"/>
        <v>0</v>
      </c>
      <c r="J238" s="103" t="str">
        <f t="shared" si="52"/>
        <v/>
      </c>
      <c r="K238" s="104" t="str">
        <f t="shared" si="52"/>
        <v/>
      </c>
      <c r="L238" s="105" t="str">
        <f t="shared" si="52"/>
        <v/>
      </c>
      <c r="M238" s="106" t="str">
        <f t="shared" si="45"/>
        <v/>
      </c>
      <c r="N238" s="5" t="s">
        <v>1671</v>
      </c>
    </row>
    <row r="239" spans="1:14" ht="5.0999999999999996" customHeight="1" x14ac:dyDescent="0.25">
      <c r="A239" s="14" t="s">
        <v>1670</v>
      </c>
      <c r="B239" s="16" t="s">
        <v>78</v>
      </c>
      <c r="C239"/>
      <c r="D239" s="57"/>
      <c r="E239" s="59"/>
      <c r="F239" s="59"/>
      <c r="G239" s="59"/>
      <c r="H239" s="59"/>
      <c r="I239" s="59"/>
      <c r="J239" s="103"/>
      <c r="K239" s="104"/>
      <c r="L239" s="105"/>
      <c r="M239" s="106" t="str">
        <f t="shared" si="45"/>
        <v/>
      </c>
    </row>
    <row r="240" spans="1:14" s="5" customFormat="1" ht="20.100000000000001" customHeight="1" x14ac:dyDescent="0.25">
      <c r="A240" s="14" t="s">
        <v>1670</v>
      </c>
      <c r="B240" s="16" t="s">
        <v>1642</v>
      </c>
      <c r="C240" s="25" t="s">
        <v>60</v>
      </c>
      <c r="D240" s="6" t="s">
        <v>1644</v>
      </c>
      <c r="E240" s="37"/>
      <c r="F240" s="37"/>
      <c r="G240" s="37"/>
      <c r="H240" s="37"/>
      <c r="I240" s="48"/>
      <c r="J240" s="103"/>
      <c r="K240" s="104"/>
      <c r="L240" s="105"/>
      <c r="M240" s="106" t="str">
        <f t="shared" si="45"/>
        <v/>
      </c>
      <c r="N240" s="5" t="s">
        <v>1673</v>
      </c>
    </row>
    <row r="241" spans="1:14" s="5" customFormat="1" ht="30" customHeight="1" x14ac:dyDescent="0.25">
      <c r="A241" s="14" t="s">
        <v>1670</v>
      </c>
      <c r="B241" s="16" t="s">
        <v>1642</v>
      </c>
      <c r="C241" s="25" t="s">
        <v>61</v>
      </c>
      <c r="D241" s="168" t="s">
        <v>1643</v>
      </c>
      <c r="E241" s="38">
        <v>0</v>
      </c>
      <c r="F241" s="39">
        <v>0</v>
      </c>
      <c r="G241" s="40">
        <v>0</v>
      </c>
      <c r="H241" s="41">
        <v>0</v>
      </c>
      <c r="I241" s="42">
        <f t="shared" ref="I241" si="53">SUM(E241:H241)</f>
        <v>0</v>
      </c>
      <c r="J241" s="103" t="str">
        <f>IFERROR(E241/$I241*100,"")</f>
        <v/>
      </c>
      <c r="K241" s="104" t="str">
        <f>IFERROR(F241/$I241*100,"")</f>
        <v/>
      </c>
      <c r="L241" s="105" t="str">
        <f>IFERROR(G241/$I241*100,"")</f>
        <v/>
      </c>
      <c r="M241" s="106" t="str">
        <f t="shared" si="45"/>
        <v/>
      </c>
      <c r="N241" s="5" t="s">
        <v>1671</v>
      </c>
    </row>
    <row r="242" spans="1:14" ht="5.0999999999999996" customHeight="1" x14ac:dyDescent="0.25">
      <c r="A242" s="14" t="s">
        <v>1670</v>
      </c>
      <c r="B242" s="16" t="s">
        <v>1642</v>
      </c>
      <c r="C242"/>
      <c r="D242" s="57"/>
      <c r="E242" s="59"/>
      <c r="F242" s="59"/>
      <c r="G242" s="59"/>
      <c r="H242" s="59"/>
      <c r="I242" s="59"/>
      <c r="J242" s="103"/>
      <c r="K242" s="104"/>
      <c r="L242" s="105"/>
      <c r="M242" s="106" t="str">
        <f t="shared" si="45"/>
        <v/>
      </c>
    </row>
    <row r="243" spans="1:14" s="5" customFormat="1" ht="20.100000000000001" customHeight="1" x14ac:dyDescent="0.25">
      <c r="A243" s="14" t="s">
        <v>1670</v>
      </c>
      <c r="B243" s="16" t="s">
        <v>91</v>
      </c>
      <c r="C243" s="25" t="s">
        <v>60</v>
      </c>
      <c r="D243" s="6" t="s">
        <v>89</v>
      </c>
      <c r="E243" s="37"/>
      <c r="F243" s="37"/>
      <c r="G243" s="37"/>
      <c r="H243" s="37"/>
      <c r="I243" s="48"/>
      <c r="J243" s="103"/>
      <c r="K243" s="104"/>
      <c r="L243" s="105"/>
      <c r="M243" s="106" t="str">
        <f t="shared" si="45"/>
        <v/>
      </c>
      <c r="N243" s="5" t="s">
        <v>1673</v>
      </c>
    </row>
    <row r="244" spans="1:14" s="5" customFormat="1" ht="30" customHeight="1" x14ac:dyDescent="0.25">
      <c r="A244" s="14" t="s">
        <v>1670</v>
      </c>
      <c r="B244" s="16" t="s">
        <v>91</v>
      </c>
      <c r="C244" s="25" t="s">
        <v>61</v>
      </c>
      <c r="D244" s="168" t="s">
        <v>90</v>
      </c>
      <c r="E244" s="38">
        <v>0</v>
      </c>
      <c r="F244" s="39">
        <v>0</v>
      </c>
      <c r="G244" s="40">
        <v>0</v>
      </c>
      <c r="H244" s="41">
        <v>0</v>
      </c>
      <c r="I244" s="42">
        <f t="shared" ref="I244" si="54">SUM(E244:H244)</f>
        <v>0</v>
      </c>
      <c r="J244" s="103" t="str">
        <f>IFERROR(E244/$I244*100,"")</f>
        <v/>
      </c>
      <c r="K244" s="104" t="str">
        <f>IFERROR(F244/$I244*100,"")</f>
        <v/>
      </c>
      <c r="L244" s="105" t="str">
        <f>IFERROR(G244/$I244*100,"")</f>
        <v/>
      </c>
      <c r="M244" s="106" t="str">
        <f t="shared" si="45"/>
        <v/>
      </c>
      <c r="N244" s="5" t="s">
        <v>1671</v>
      </c>
    </row>
    <row r="245" spans="1:14" ht="5.0999999999999996" customHeight="1" x14ac:dyDescent="0.25">
      <c r="A245" s="14" t="s">
        <v>1670</v>
      </c>
      <c r="B245" s="16" t="s">
        <v>91</v>
      </c>
      <c r="C245"/>
      <c r="D245" s="57"/>
      <c r="E245" s="59"/>
      <c r="F245" s="59"/>
      <c r="G245" s="59"/>
      <c r="H245" s="59"/>
      <c r="I245" s="59"/>
      <c r="J245" s="103"/>
      <c r="K245" s="104"/>
      <c r="L245" s="105"/>
      <c r="M245" s="106" t="str">
        <f t="shared" si="45"/>
        <v/>
      </c>
    </row>
    <row r="246" spans="1:14" s="5" customFormat="1" ht="20.100000000000001" customHeight="1" x14ac:dyDescent="0.25">
      <c r="A246" s="14" t="s">
        <v>1670</v>
      </c>
      <c r="B246" s="16" t="s">
        <v>1637</v>
      </c>
      <c r="C246" s="25" t="s">
        <v>60</v>
      </c>
      <c r="D246" s="6" t="s">
        <v>1636</v>
      </c>
      <c r="E246" s="37"/>
      <c r="F246" s="37"/>
      <c r="G246" s="37"/>
      <c r="H246" s="37"/>
      <c r="I246" s="48"/>
      <c r="J246" s="103"/>
      <c r="K246" s="104"/>
      <c r="L246" s="105"/>
      <c r="M246" s="106" t="str">
        <f t="shared" si="45"/>
        <v/>
      </c>
      <c r="N246" s="5" t="s">
        <v>1673</v>
      </c>
    </row>
    <row r="247" spans="1:14" s="3" customFormat="1" ht="30" customHeight="1" x14ac:dyDescent="0.25">
      <c r="A247" s="14" t="s">
        <v>1670</v>
      </c>
      <c r="B247" s="16" t="s">
        <v>1637</v>
      </c>
      <c r="C247" s="25" t="s">
        <v>61</v>
      </c>
      <c r="D247" s="168" t="s">
        <v>1638</v>
      </c>
      <c r="E247" s="38">
        <v>0</v>
      </c>
      <c r="F247" s="39">
        <v>0</v>
      </c>
      <c r="G247" s="40">
        <v>0</v>
      </c>
      <c r="H247" s="41">
        <v>0</v>
      </c>
      <c r="I247" s="42">
        <f t="shared" ref="I247:I252" si="55">SUM(E247:H247)</f>
        <v>0</v>
      </c>
      <c r="J247" s="103" t="str">
        <f t="shared" ref="J247:L251" si="56">IFERROR(E247/$I247*100,"")</f>
        <v/>
      </c>
      <c r="K247" s="104" t="str">
        <f t="shared" si="56"/>
        <v/>
      </c>
      <c r="L247" s="105" t="str">
        <f t="shared" si="56"/>
        <v/>
      </c>
      <c r="M247" s="106" t="str">
        <f t="shared" si="45"/>
        <v/>
      </c>
    </row>
    <row r="248" spans="1:14" s="3" customFormat="1" ht="30" customHeight="1" x14ac:dyDescent="0.25">
      <c r="A248" s="14" t="s">
        <v>1670</v>
      </c>
      <c r="B248" s="16" t="s">
        <v>1637</v>
      </c>
      <c r="C248" s="25" t="s">
        <v>61</v>
      </c>
      <c r="D248" s="168" t="s">
        <v>1669</v>
      </c>
      <c r="E248" s="38">
        <v>0</v>
      </c>
      <c r="F248" s="39">
        <v>0</v>
      </c>
      <c r="G248" s="40">
        <v>0</v>
      </c>
      <c r="H248" s="41">
        <v>0</v>
      </c>
      <c r="I248" s="42">
        <f t="shared" si="55"/>
        <v>0</v>
      </c>
      <c r="J248" s="103" t="str">
        <f t="shared" si="56"/>
        <v/>
      </c>
      <c r="K248" s="104" t="str">
        <f t="shared" si="56"/>
        <v/>
      </c>
      <c r="L248" s="105" t="str">
        <f t="shared" si="56"/>
        <v/>
      </c>
      <c r="M248" s="106" t="str">
        <f t="shared" si="45"/>
        <v/>
      </c>
    </row>
    <row r="249" spans="1:14" s="3" customFormat="1" ht="30" customHeight="1" x14ac:dyDescent="0.25">
      <c r="A249" s="14" t="s">
        <v>1670</v>
      </c>
      <c r="B249" s="16" t="s">
        <v>1637</v>
      </c>
      <c r="C249" s="25" t="s">
        <v>61</v>
      </c>
      <c r="D249" s="168" t="s">
        <v>1640</v>
      </c>
      <c r="E249" s="38">
        <v>0</v>
      </c>
      <c r="F249" s="39">
        <v>0</v>
      </c>
      <c r="G249" s="40">
        <v>0</v>
      </c>
      <c r="H249" s="41">
        <v>0</v>
      </c>
      <c r="I249" s="42">
        <f t="shared" si="55"/>
        <v>0</v>
      </c>
      <c r="J249" s="103" t="str">
        <f t="shared" si="56"/>
        <v/>
      </c>
      <c r="K249" s="104" t="str">
        <f t="shared" si="56"/>
        <v/>
      </c>
      <c r="L249" s="105" t="str">
        <f t="shared" si="56"/>
        <v/>
      </c>
      <c r="M249" s="106" t="str">
        <f t="shared" si="45"/>
        <v/>
      </c>
    </row>
    <row r="250" spans="1:14" s="3" customFormat="1" ht="30" customHeight="1" x14ac:dyDescent="0.25">
      <c r="A250" s="14" t="s">
        <v>1670</v>
      </c>
      <c r="B250" s="16" t="s">
        <v>1637</v>
      </c>
      <c r="C250" s="25" t="s">
        <v>61</v>
      </c>
      <c r="D250" s="168" t="s">
        <v>1639</v>
      </c>
      <c r="E250" s="38">
        <v>0</v>
      </c>
      <c r="F250" s="39">
        <v>0</v>
      </c>
      <c r="G250" s="40">
        <v>0</v>
      </c>
      <c r="H250" s="41">
        <v>0</v>
      </c>
      <c r="I250" s="42">
        <f t="shared" si="55"/>
        <v>0</v>
      </c>
      <c r="J250" s="103" t="str">
        <f t="shared" si="56"/>
        <v/>
      </c>
      <c r="K250" s="104" t="str">
        <f t="shared" si="56"/>
        <v/>
      </c>
      <c r="L250" s="105" t="str">
        <f t="shared" si="56"/>
        <v/>
      </c>
      <c r="M250" s="106" t="str">
        <f t="shared" si="45"/>
        <v/>
      </c>
    </row>
    <row r="251" spans="1:14" s="3" customFormat="1" ht="30" customHeight="1" x14ac:dyDescent="0.25">
      <c r="A251" s="14" t="s">
        <v>1670</v>
      </c>
      <c r="B251" s="16" t="s">
        <v>1637</v>
      </c>
      <c r="C251" s="25" t="s">
        <v>61</v>
      </c>
      <c r="D251" s="168" t="s">
        <v>1641</v>
      </c>
      <c r="E251" s="38">
        <v>0</v>
      </c>
      <c r="F251" s="39">
        <v>0</v>
      </c>
      <c r="G251" s="40">
        <v>0</v>
      </c>
      <c r="H251" s="41">
        <v>0</v>
      </c>
      <c r="I251" s="42">
        <f t="shared" si="55"/>
        <v>0</v>
      </c>
      <c r="J251" s="103" t="str">
        <f t="shared" si="56"/>
        <v/>
      </c>
      <c r="K251" s="104" t="str">
        <f t="shared" si="56"/>
        <v/>
      </c>
      <c r="L251" s="105" t="str">
        <f t="shared" si="56"/>
        <v/>
      </c>
      <c r="M251" s="106" t="str">
        <f t="shared" si="45"/>
        <v/>
      </c>
    </row>
    <row r="252" spans="1:14" s="3" customFormat="1" ht="30" customHeight="1" x14ac:dyDescent="0.25">
      <c r="A252" s="14" t="s">
        <v>1670</v>
      </c>
      <c r="B252" s="16" t="s">
        <v>1637</v>
      </c>
      <c r="C252" s="25"/>
      <c r="D252" s="168" t="s">
        <v>29</v>
      </c>
      <c r="E252" s="38">
        <f>SUM(E247:E251)</f>
        <v>0</v>
      </c>
      <c r="F252" s="39">
        <f>SUM(F247:F251)</f>
        <v>0</v>
      </c>
      <c r="G252" s="40">
        <f>SUM(G247:G251)</f>
        <v>0</v>
      </c>
      <c r="H252" s="41">
        <f>SUM(H247:H251)</f>
        <v>0</v>
      </c>
      <c r="I252" s="42">
        <f t="shared" si="55"/>
        <v>0</v>
      </c>
      <c r="J252" s="103" t="str">
        <f>IFERROR(E252/SUM($E252:$H252)*100,"")</f>
        <v/>
      </c>
      <c r="K252" s="104" t="str">
        <f>IFERROR(F252/SUM($E252:$H252)*100,"")</f>
        <v/>
      </c>
      <c r="L252" s="105" t="str">
        <f>IFERROR(G252/SUM($E252:$H252)*100,"")</f>
        <v/>
      </c>
      <c r="M252" s="106" t="str">
        <f t="shared" si="45"/>
        <v/>
      </c>
      <c r="N252" s="5" t="s">
        <v>1671</v>
      </c>
    </row>
    <row r="253" spans="1:14" ht="5.0999999999999996" customHeight="1" x14ac:dyDescent="0.25">
      <c r="A253" s="14" t="s">
        <v>1670</v>
      </c>
      <c r="B253" s="16" t="s">
        <v>1637</v>
      </c>
      <c r="C253"/>
      <c r="J253" s="103"/>
      <c r="K253" s="104"/>
      <c r="L253" s="105"/>
      <c r="M253" s="106" t="str">
        <f t="shared" si="45"/>
        <v/>
      </c>
    </row>
    <row r="254" spans="1:14" s="5" customFormat="1" ht="20.100000000000001" customHeight="1" x14ac:dyDescent="0.25">
      <c r="A254" s="14" t="s">
        <v>1670</v>
      </c>
      <c r="B254" s="16" t="s">
        <v>42</v>
      </c>
      <c r="C254" s="25" t="s">
        <v>60</v>
      </c>
      <c r="D254" s="6" t="s">
        <v>1744</v>
      </c>
      <c r="E254" s="37"/>
      <c r="F254" s="37"/>
      <c r="G254" s="37"/>
      <c r="H254" s="37"/>
      <c r="I254" s="48"/>
      <c r="J254" s="103"/>
      <c r="K254" s="104"/>
      <c r="L254" s="105"/>
      <c r="M254" s="106" t="str">
        <f t="shared" si="45"/>
        <v/>
      </c>
      <c r="N254" s="5" t="s">
        <v>1673</v>
      </c>
    </row>
    <row r="255" spans="1:14" s="3" customFormat="1" ht="30" customHeight="1" x14ac:dyDescent="0.25">
      <c r="A255" s="14" t="s">
        <v>1670</v>
      </c>
      <c r="B255" s="16" t="s">
        <v>42</v>
      </c>
      <c r="C255" s="25" t="s">
        <v>61</v>
      </c>
      <c r="D255" s="168" t="s">
        <v>43</v>
      </c>
      <c r="E255" s="38">
        <v>0</v>
      </c>
      <c r="F255" s="39">
        <v>0</v>
      </c>
      <c r="G255" s="40">
        <v>0</v>
      </c>
      <c r="H255" s="41">
        <v>0</v>
      </c>
      <c r="I255" s="42">
        <f t="shared" ref="I255:I264" si="57">SUM(E255:H255)</f>
        <v>0</v>
      </c>
      <c r="J255" s="103" t="str">
        <f t="shared" ref="J255:L264" si="58">IFERROR(E255/$I255*100,"")</f>
        <v/>
      </c>
      <c r="K255" s="104" t="str">
        <f t="shared" si="58"/>
        <v/>
      </c>
      <c r="L255" s="105" t="str">
        <f t="shared" si="58"/>
        <v/>
      </c>
      <c r="M255" s="106" t="str">
        <f t="shared" si="45"/>
        <v/>
      </c>
    </row>
    <row r="256" spans="1:14" s="3" customFormat="1" ht="30" customHeight="1" x14ac:dyDescent="0.25">
      <c r="A256" s="14" t="s">
        <v>1670</v>
      </c>
      <c r="B256" s="16" t="s">
        <v>42</v>
      </c>
      <c r="C256" s="25" t="s">
        <v>61</v>
      </c>
      <c r="D256" s="168" t="s">
        <v>44</v>
      </c>
      <c r="E256" s="38">
        <v>0</v>
      </c>
      <c r="F256" s="39">
        <v>0</v>
      </c>
      <c r="G256" s="40">
        <v>0</v>
      </c>
      <c r="H256" s="41">
        <v>0</v>
      </c>
      <c r="I256" s="42">
        <f t="shared" si="57"/>
        <v>0</v>
      </c>
      <c r="J256" s="103" t="str">
        <f t="shared" si="58"/>
        <v/>
      </c>
      <c r="K256" s="104" t="str">
        <f t="shared" si="58"/>
        <v/>
      </c>
      <c r="L256" s="105" t="str">
        <f t="shared" si="58"/>
        <v/>
      </c>
      <c r="M256" s="106" t="str">
        <f t="shared" si="45"/>
        <v/>
      </c>
    </row>
    <row r="257" spans="1:14" s="3" customFormat="1" ht="30" customHeight="1" x14ac:dyDescent="0.25">
      <c r="A257" s="14" t="s">
        <v>1670</v>
      </c>
      <c r="B257" s="16" t="s">
        <v>42</v>
      </c>
      <c r="C257" s="25" t="s">
        <v>61</v>
      </c>
      <c r="D257" s="168" t="s">
        <v>45</v>
      </c>
      <c r="E257" s="38">
        <v>0</v>
      </c>
      <c r="F257" s="39">
        <v>0</v>
      </c>
      <c r="G257" s="40">
        <v>0</v>
      </c>
      <c r="H257" s="41">
        <v>0</v>
      </c>
      <c r="I257" s="42">
        <f t="shared" si="57"/>
        <v>0</v>
      </c>
      <c r="J257" s="103" t="str">
        <f t="shared" si="58"/>
        <v/>
      </c>
      <c r="K257" s="104" t="str">
        <f t="shared" si="58"/>
        <v/>
      </c>
      <c r="L257" s="105" t="str">
        <f t="shared" si="58"/>
        <v/>
      </c>
      <c r="M257" s="106" t="str">
        <f t="shared" si="45"/>
        <v/>
      </c>
    </row>
    <row r="258" spans="1:14" s="3" customFormat="1" ht="30" customHeight="1" x14ac:dyDescent="0.25">
      <c r="A258" s="14" t="s">
        <v>1670</v>
      </c>
      <c r="B258" s="16" t="s">
        <v>42</v>
      </c>
      <c r="C258" s="25" t="s">
        <v>61</v>
      </c>
      <c r="D258" s="168" t="s">
        <v>46</v>
      </c>
      <c r="E258" s="38">
        <v>0</v>
      </c>
      <c r="F258" s="39">
        <v>0</v>
      </c>
      <c r="G258" s="40">
        <v>0</v>
      </c>
      <c r="H258" s="41">
        <v>0</v>
      </c>
      <c r="I258" s="42">
        <f t="shared" si="57"/>
        <v>0</v>
      </c>
      <c r="J258" s="103" t="str">
        <f t="shared" si="58"/>
        <v/>
      </c>
      <c r="K258" s="104" t="str">
        <f t="shared" si="58"/>
        <v/>
      </c>
      <c r="L258" s="105" t="str">
        <f t="shared" si="58"/>
        <v/>
      </c>
      <c r="M258" s="106" t="str">
        <f t="shared" si="45"/>
        <v/>
      </c>
    </row>
    <row r="259" spans="1:14" s="3" customFormat="1" ht="30" customHeight="1" x14ac:dyDescent="0.25">
      <c r="A259" s="14" t="s">
        <v>1670</v>
      </c>
      <c r="B259" s="16" t="s">
        <v>42</v>
      </c>
      <c r="C259" s="25" t="s">
        <v>61</v>
      </c>
      <c r="D259" s="168" t="s">
        <v>51</v>
      </c>
      <c r="E259" s="38">
        <v>0</v>
      </c>
      <c r="F259" s="39">
        <v>0</v>
      </c>
      <c r="G259" s="40">
        <v>0</v>
      </c>
      <c r="H259" s="41">
        <v>0</v>
      </c>
      <c r="I259" s="42">
        <f t="shared" si="57"/>
        <v>0</v>
      </c>
      <c r="J259" s="103" t="str">
        <f t="shared" si="58"/>
        <v/>
      </c>
      <c r="K259" s="104" t="str">
        <f t="shared" si="58"/>
        <v/>
      </c>
      <c r="L259" s="105" t="str">
        <f t="shared" si="58"/>
        <v/>
      </c>
      <c r="M259" s="106" t="str">
        <f t="shared" si="45"/>
        <v/>
      </c>
    </row>
    <row r="260" spans="1:14" s="3" customFormat="1" ht="30" customHeight="1" x14ac:dyDescent="0.25">
      <c r="A260" s="14" t="s">
        <v>1670</v>
      </c>
      <c r="B260" s="16" t="s">
        <v>42</v>
      </c>
      <c r="C260" s="25" t="s">
        <v>61</v>
      </c>
      <c r="D260" s="168" t="s">
        <v>52</v>
      </c>
      <c r="E260" s="38">
        <v>0</v>
      </c>
      <c r="F260" s="39">
        <v>0</v>
      </c>
      <c r="G260" s="40">
        <v>0</v>
      </c>
      <c r="H260" s="41">
        <v>0</v>
      </c>
      <c r="I260" s="42">
        <f t="shared" si="57"/>
        <v>0</v>
      </c>
      <c r="J260" s="103" t="str">
        <f t="shared" si="58"/>
        <v/>
      </c>
      <c r="K260" s="104" t="str">
        <f t="shared" si="58"/>
        <v/>
      </c>
      <c r="L260" s="105" t="str">
        <f t="shared" si="58"/>
        <v/>
      </c>
      <c r="M260" s="106" t="str">
        <f t="shared" si="45"/>
        <v/>
      </c>
    </row>
    <row r="261" spans="1:14" s="3" customFormat="1" ht="30" customHeight="1" x14ac:dyDescent="0.25">
      <c r="A261" s="14" t="s">
        <v>1670</v>
      </c>
      <c r="B261" s="16" t="s">
        <v>42</v>
      </c>
      <c r="C261" s="25" t="s">
        <v>61</v>
      </c>
      <c r="D261" s="168" t="s">
        <v>47</v>
      </c>
      <c r="E261" s="38">
        <v>0</v>
      </c>
      <c r="F261" s="39">
        <v>0</v>
      </c>
      <c r="G261" s="40">
        <v>0</v>
      </c>
      <c r="H261" s="41">
        <v>0</v>
      </c>
      <c r="I261" s="42">
        <f t="shared" si="57"/>
        <v>0</v>
      </c>
      <c r="J261" s="103" t="str">
        <f t="shared" si="58"/>
        <v/>
      </c>
      <c r="K261" s="104" t="str">
        <f t="shared" si="58"/>
        <v/>
      </c>
      <c r="L261" s="105" t="str">
        <f t="shared" si="58"/>
        <v/>
      </c>
      <c r="M261" s="106" t="str">
        <f t="shared" si="45"/>
        <v/>
      </c>
    </row>
    <row r="262" spans="1:14" s="3" customFormat="1" ht="30" customHeight="1" x14ac:dyDescent="0.25">
      <c r="A262" s="14" t="s">
        <v>1670</v>
      </c>
      <c r="B262" s="16" t="s">
        <v>42</v>
      </c>
      <c r="C262" s="25" t="s">
        <v>61</v>
      </c>
      <c r="D262" s="168" t="s">
        <v>48</v>
      </c>
      <c r="E262" s="38">
        <v>0</v>
      </c>
      <c r="F262" s="39">
        <v>0</v>
      </c>
      <c r="G262" s="40">
        <v>0</v>
      </c>
      <c r="H262" s="41">
        <v>0</v>
      </c>
      <c r="I262" s="42">
        <f t="shared" si="57"/>
        <v>0</v>
      </c>
      <c r="J262" s="103" t="str">
        <f t="shared" si="58"/>
        <v/>
      </c>
      <c r="K262" s="104" t="str">
        <f t="shared" si="58"/>
        <v/>
      </c>
      <c r="L262" s="105" t="str">
        <f t="shared" si="58"/>
        <v/>
      </c>
      <c r="M262" s="106" t="str">
        <f t="shared" si="45"/>
        <v/>
      </c>
    </row>
    <row r="263" spans="1:14" s="3" customFormat="1" ht="30" customHeight="1" x14ac:dyDescent="0.25">
      <c r="A263" s="14" t="s">
        <v>1670</v>
      </c>
      <c r="B263" s="16" t="s">
        <v>42</v>
      </c>
      <c r="C263" s="25" t="s">
        <v>61</v>
      </c>
      <c r="D263" s="168" t="s">
        <v>49</v>
      </c>
      <c r="E263" s="38">
        <v>0</v>
      </c>
      <c r="F263" s="39">
        <v>0</v>
      </c>
      <c r="G263" s="40">
        <v>0</v>
      </c>
      <c r="H263" s="41">
        <v>0</v>
      </c>
      <c r="I263" s="42">
        <f t="shared" si="57"/>
        <v>0</v>
      </c>
      <c r="J263" s="103" t="str">
        <f t="shared" si="58"/>
        <v/>
      </c>
      <c r="K263" s="104" t="str">
        <f t="shared" si="58"/>
        <v/>
      </c>
      <c r="L263" s="105" t="str">
        <f t="shared" si="58"/>
        <v/>
      </c>
      <c r="M263" s="106" t="str">
        <f t="shared" si="45"/>
        <v/>
      </c>
    </row>
    <row r="264" spans="1:14" s="3" customFormat="1" ht="30" customHeight="1" x14ac:dyDescent="0.25">
      <c r="A264" s="14" t="s">
        <v>1670</v>
      </c>
      <c r="B264" s="16" t="s">
        <v>42</v>
      </c>
      <c r="C264" s="25" t="s">
        <v>61</v>
      </c>
      <c r="D264" s="168" t="s">
        <v>50</v>
      </c>
      <c r="E264" s="38">
        <v>0</v>
      </c>
      <c r="F264" s="39">
        <v>0</v>
      </c>
      <c r="G264" s="40">
        <v>0</v>
      </c>
      <c r="H264" s="41">
        <v>0</v>
      </c>
      <c r="I264" s="42">
        <f t="shared" si="57"/>
        <v>0</v>
      </c>
      <c r="J264" s="103" t="str">
        <f t="shared" si="58"/>
        <v/>
      </c>
      <c r="K264" s="104" t="str">
        <f t="shared" si="58"/>
        <v/>
      </c>
      <c r="L264" s="105" t="str">
        <f t="shared" si="58"/>
        <v/>
      </c>
      <c r="M264" s="106" t="str">
        <f t="shared" si="45"/>
        <v/>
      </c>
    </row>
    <row r="265" spans="1:14" s="8" customFormat="1" ht="30" customHeight="1" x14ac:dyDescent="0.25">
      <c r="A265" s="14" t="s">
        <v>1670</v>
      </c>
      <c r="B265" s="16" t="s">
        <v>42</v>
      </c>
      <c r="C265" s="25"/>
      <c r="D265" s="9" t="s">
        <v>29</v>
      </c>
      <c r="E265" s="38">
        <f>SUM(E255:E264)</f>
        <v>0</v>
      </c>
      <c r="F265" s="39">
        <f t="shared" ref="F265:I265" si="59">SUM(F255:F264)</f>
        <v>0</v>
      </c>
      <c r="G265" s="40">
        <f t="shared" si="59"/>
        <v>0</v>
      </c>
      <c r="H265" s="41">
        <f t="shared" si="59"/>
        <v>0</v>
      </c>
      <c r="I265" s="43">
        <f t="shared" si="59"/>
        <v>0</v>
      </c>
      <c r="J265" s="103" t="str">
        <f>IFERROR(E265/SUM($E265:$H265)*100,"")</f>
        <v/>
      </c>
      <c r="K265" s="104" t="str">
        <f>IFERROR(F265/SUM($E265:$H265)*100,"")</f>
        <v/>
      </c>
      <c r="L265" s="105" t="str">
        <f>IFERROR(G265/SUM($E265:$H265)*100,"")</f>
        <v/>
      </c>
      <c r="M265" s="106" t="str">
        <f t="shared" si="45"/>
        <v/>
      </c>
      <c r="N265" s="5" t="s">
        <v>1671</v>
      </c>
    </row>
    <row r="266" spans="1:14" ht="5.0999999999999996" customHeight="1" x14ac:dyDescent="0.25">
      <c r="A266" s="14" t="s">
        <v>1670</v>
      </c>
      <c r="B266" s="16" t="s">
        <v>42</v>
      </c>
      <c r="C266"/>
      <c r="D266" s="57"/>
      <c r="E266" s="59"/>
      <c r="F266" s="59"/>
      <c r="G266" s="59"/>
      <c r="H266" s="59"/>
      <c r="I266" s="59"/>
      <c r="J266" s="103"/>
      <c r="K266" s="104"/>
      <c r="L266" s="105"/>
      <c r="M266" s="106" t="str">
        <f t="shared" si="45"/>
        <v/>
      </c>
    </row>
    <row r="267" spans="1:14" s="7" customFormat="1" ht="20.100000000000001" customHeight="1" x14ac:dyDescent="0.25">
      <c r="A267" s="14" t="s">
        <v>1670</v>
      </c>
      <c r="B267" s="16" t="s">
        <v>62</v>
      </c>
      <c r="C267" s="25" t="s">
        <v>60</v>
      </c>
      <c r="D267" s="62" t="s">
        <v>63</v>
      </c>
      <c r="E267" s="63"/>
      <c r="F267" s="63"/>
      <c r="G267" s="63"/>
      <c r="H267" s="63"/>
      <c r="I267" s="64"/>
      <c r="J267" s="103"/>
      <c r="K267" s="104"/>
      <c r="L267" s="105"/>
      <c r="M267" s="106" t="str">
        <f t="shared" si="45"/>
        <v/>
      </c>
      <c r="N267" s="5" t="s">
        <v>1673</v>
      </c>
    </row>
    <row r="268" spans="1:14" s="8" customFormat="1" ht="30" customHeight="1" x14ac:dyDescent="0.25">
      <c r="A268" s="14" t="s">
        <v>1670</v>
      </c>
      <c r="B268" s="16" t="s">
        <v>62</v>
      </c>
      <c r="C268" s="25"/>
      <c r="D268" s="168" t="s">
        <v>29</v>
      </c>
      <c r="E268" s="38">
        <f>SUM(E218,E207,E226,E265,E221,E229,E238,E244,E252,E241)</f>
        <v>0</v>
      </c>
      <c r="F268" s="39">
        <f>SUM(F218,F207,F226,F265,F221,F229,F238,F244,F252,F241)</f>
        <v>0</v>
      </c>
      <c r="G268" s="40">
        <f>SUM(G218,G207,G226,G265,G221,G229,G238,G244,G252,G241)</f>
        <v>0</v>
      </c>
      <c r="H268" s="41">
        <f>SUM(H218,H207,H226,H265,H221,H229,H238,H244,H252,H241)</f>
        <v>0</v>
      </c>
      <c r="I268" s="42">
        <f>SUM(I218,I207,I226,I265,I221,I229,I238,I244,I252,I241)</f>
        <v>0</v>
      </c>
      <c r="J268" s="103" t="str">
        <f>IFERROR(E268/SUM($E268:$H268)*100,"")</f>
        <v/>
      </c>
      <c r="K268" s="104" t="str">
        <f>IFERROR(F268/SUM($E268:$H268)*100,"")</f>
        <v/>
      </c>
      <c r="L268" s="105" t="str">
        <f>IFERROR(G268/SUM($E268:$H268)*100,"")</f>
        <v/>
      </c>
      <c r="M268" s="106" t="str">
        <f t="shared" si="45"/>
        <v/>
      </c>
      <c r="N268" s="5" t="s">
        <v>1671</v>
      </c>
    </row>
    <row r="269" spans="1:14" s="5" customFormat="1" ht="20.100000000000001" customHeight="1" x14ac:dyDescent="0.25">
      <c r="A269" s="14" t="s">
        <v>1670</v>
      </c>
      <c r="B269" s="14"/>
      <c r="C269" s="25" t="s">
        <v>60</v>
      </c>
      <c r="D269" s="7"/>
      <c r="E269" s="8"/>
      <c r="F269" s="8"/>
      <c r="G269" s="8"/>
      <c r="H269" s="8"/>
      <c r="I269" s="8"/>
      <c r="J269" s="103"/>
      <c r="K269" s="104"/>
      <c r="L269" s="105"/>
      <c r="M269" s="106" t="str">
        <f t="shared" ref="M269:M332" si="60">IFERROR(H269/$I269*100,"")</f>
        <v/>
      </c>
    </row>
    <row r="270" spans="1:14" s="5" customFormat="1" ht="20.100000000000001" customHeight="1" x14ac:dyDescent="0.25">
      <c r="A270" s="14" t="s">
        <v>17</v>
      </c>
      <c r="B270" s="14"/>
      <c r="C270" s="25" t="s">
        <v>60</v>
      </c>
      <c r="D270" s="20" t="str">
        <f>IFERROR(A270&amp;"   ("&amp;COUNTIFS(#REF!,"="&amp;A270)&amp;")",A270)</f>
        <v>DO</v>
      </c>
      <c r="E270" s="45"/>
      <c r="F270" s="45"/>
      <c r="G270" s="45"/>
      <c r="H270" s="45"/>
      <c r="I270" s="46"/>
      <c r="J270" s="103"/>
      <c r="K270" s="104"/>
      <c r="L270" s="105"/>
      <c r="M270" s="106" t="str">
        <f t="shared" si="60"/>
        <v/>
      </c>
      <c r="N270" s="5" t="s">
        <v>1672</v>
      </c>
    </row>
    <row r="271" spans="1:14" s="5" customFormat="1" ht="20.100000000000001" customHeight="1" x14ac:dyDescent="0.25">
      <c r="A271" s="14" t="s">
        <v>17</v>
      </c>
      <c r="B271" s="16" t="s">
        <v>20</v>
      </c>
      <c r="C271" s="25" t="s">
        <v>60</v>
      </c>
      <c r="D271" s="6" t="s">
        <v>20</v>
      </c>
      <c r="E271" s="37"/>
      <c r="F271" s="37"/>
      <c r="G271" s="37"/>
      <c r="H271" s="37"/>
      <c r="I271" s="48"/>
      <c r="J271" s="103"/>
      <c r="K271" s="104"/>
      <c r="L271" s="105"/>
      <c r="M271" s="106" t="str">
        <f t="shared" si="60"/>
        <v/>
      </c>
      <c r="N271" s="5" t="s">
        <v>1673</v>
      </c>
    </row>
    <row r="272" spans="1:14" s="5" customFormat="1" ht="30" customHeight="1" x14ac:dyDescent="0.25">
      <c r="A272" s="14" t="s">
        <v>17</v>
      </c>
      <c r="B272" s="16" t="s">
        <v>20</v>
      </c>
      <c r="C272" s="25" t="s">
        <v>61</v>
      </c>
      <c r="D272" s="168" t="s">
        <v>25</v>
      </c>
      <c r="E272" s="38">
        <v>0</v>
      </c>
      <c r="F272" s="39">
        <v>0</v>
      </c>
      <c r="G272" s="40">
        <v>0</v>
      </c>
      <c r="H272" s="41">
        <v>0</v>
      </c>
      <c r="I272" s="42">
        <f>SUM(E272:H272)</f>
        <v>0</v>
      </c>
      <c r="J272" s="103" t="str">
        <f>IFERROR(E272/$I272*100,"")</f>
        <v/>
      </c>
      <c r="K272" s="104" t="str">
        <f>IFERROR(F272/$I272*100,"")</f>
        <v/>
      </c>
      <c r="L272" s="105" t="str">
        <f>IFERROR(G272/$I272*100,"")</f>
        <v/>
      </c>
      <c r="M272" s="106" t="str">
        <f t="shared" si="60"/>
        <v/>
      </c>
      <c r="N272" s="5" t="s">
        <v>1671</v>
      </c>
    </row>
    <row r="273" spans="1:14" ht="5.0999999999999996" customHeight="1" x14ac:dyDescent="0.25">
      <c r="A273" s="14" t="s">
        <v>17</v>
      </c>
      <c r="B273" s="16" t="s">
        <v>20</v>
      </c>
      <c r="C273"/>
      <c r="J273" s="103"/>
      <c r="K273" s="104"/>
      <c r="L273" s="105"/>
      <c r="M273" s="106" t="str">
        <f t="shared" si="60"/>
        <v/>
      </c>
    </row>
    <row r="274" spans="1:14" s="5" customFormat="1" ht="20.100000000000001" customHeight="1" x14ac:dyDescent="0.25">
      <c r="A274" s="14" t="s">
        <v>17</v>
      </c>
      <c r="B274" s="16" t="s">
        <v>26</v>
      </c>
      <c r="C274" s="25" t="s">
        <v>60</v>
      </c>
      <c r="D274" s="6" t="s">
        <v>98</v>
      </c>
      <c r="E274" s="37"/>
      <c r="F274" s="37"/>
      <c r="G274" s="37"/>
      <c r="H274" s="37"/>
      <c r="I274" s="47"/>
      <c r="J274" s="103"/>
      <c r="K274" s="104"/>
      <c r="L274" s="105"/>
      <c r="M274" s="106" t="str">
        <f t="shared" si="60"/>
        <v/>
      </c>
      <c r="N274" s="5" t="s">
        <v>1673</v>
      </c>
    </row>
    <row r="275" spans="1:14" s="5" customFormat="1" ht="30" customHeight="1" x14ac:dyDescent="0.25">
      <c r="A275" s="14" t="s">
        <v>17</v>
      </c>
      <c r="B275" s="16" t="s">
        <v>26</v>
      </c>
      <c r="C275" s="25" t="s">
        <v>61</v>
      </c>
      <c r="D275" s="169" t="s">
        <v>21</v>
      </c>
      <c r="E275" s="38">
        <v>0</v>
      </c>
      <c r="F275" s="39">
        <v>0</v>
      </c>
      <c r="G275" s="40">
        <v>0</v>
      </c>
      <c r="H275" s="41">
        <v>0</v>
      </c>
      <c r="I275" s="42">
        <f t="shared" ref="I275:I282" si="61">SUM(E275:H275)</f>
        <v>0</v>
      </c>
      <c r="J275" s="103" t="str">
        <f t="shared" ref="J275:L282" si="62">IFERROR(E275/$I275*100,"")</f>
        <v/>
      </c>
      <c r="K275" s="104" t="str">
        <f t="shared" si="62"/>
        <v/>
      </c>
      <c r="L275" s="105" t="str">
        <f t="shared" si="62"/>
        <v/>
      </c>
      <c r="M275" s="106" t="str">
        <f t="shared" si="60"/>
        <v/>
      </c>
    </row>
    <row r="276" spans="1:14" s="5" customFormat="1" ht="30" customHeight="1" x14ac:dyDescent="0.25">
      <c r="A276" s="14" t="s">
        <v>17</v>
      </c>
      <c r="B276" s="16" t="s">
        <v>26</v>
      </c>
      <c r="C276" s="25" t="s">
        <v>61</v>
      </c>
      <c r="D276" s="169" t="s">
        <v>22</v>
      </c>
      <c r="E276" s="38">
        <v>0</v>
      </c>
      <c r="F276" s="39">
        <v>0</v>
      </c>
      <c r="G276" s="40">
        <v>0</v>
      </c>
      <c r="H276" s="41">
        <v>0</v>
      </c>
      <c r="I276" s="42">
        <f t="shared" si="61"/>
        <v>0</v>
      </c>
      <c r="J276" s="103" t="str">
        <f t="shared" si="62"/>
        <v/>
      </c>
      <c r="K276" s="104" t="str">
        <f t="shared" si="62"/>
        <v/>
      </c>
      <c r="L276" s="105" t="str">
        <f t="shared" si="62"/>
        <v/>
      </c>
      <c r="M276" s="106" t="str">
        <f t="shared" si="60"/>
        <v/>
      </c>
    </row>
    <row r="277" spans="1:14" s="5" customFormat="1" ht="30" customHeight="1" x14ac:dyDescent="0.25">
      <c r="A277" s="14" t="s">
        <v>17</v>
      </c>
      <c r="B277" s="16" t="s">
        <v>26</v>
      </c>
      <c r="C277" s="25" t="s">
        <v>61</v>
      </c>
      <c r="D277" s="169" t="s">
        <v>27</v>
      </c>
      <c r="E277" s="38">
        <v>0</v>
      </c>
      <c r="F277" s="39">
        <v>0</v>
      </c>
      <c r="G277" s="40">
        <v>0</v>
      </c>
      <c r="H277" s="41">
        <v>0</v>
      </c>
      <c r="I277" s="42">
        <f t="shared" si="61"/>
        <v>0</v>
      </c>
      <c r="J277" s="103" t="str">
        <f t="shared" si="62"/>
        <v/>
      </c>
      <c r="K277" s="104" t="str">
        <f t="shared" si="62"/>
        <v/>
      </c>
      <c r="L277" s="105" t="str">
        <f t="shared" si="62"/>
        <v/>
      </c>
      <c r="M277" s="106" t="str">
        <f t="shared" si="60"/>
        <v/>
      </c>
    </row>
    <row r="278" spans="1:14" s="5" customFormat="1" ht="30" customHeight="1" x14ac:dyDescent="0.25">
      <c r="A278" s="14" t="s">
        <v>17</v>
      </c>
      <c r="B278" s="16" t="s">
        <v>26</v>
      </c>
      <c r="C278" s="25" t="s">
        <v>61</v>
      </c>
      <c r="D278" s="169" t="s">
        <v>23</v>
      </c>
      <c r="E278" s="38">
        <v>0</v>
      </c>
      <c r="F278" s="39">
        <v>0</v>
      </c>
      <c r="G278" s="40">
        <v>0</v>
      </c>
      <c r="H278" s="41">
        <v>0</v>
      </c>
      <c r="I278" s="42">
        <f t="shared" si="61"/>
        <v>0</v>
      </c>
      <c r="J278" s="103" t="str">
        <f t="shared" si="62"/>
        <v/>
      </c>
      <c r="K278" s="104" t="str">
        <f t="shared" si="62"/>
        <v/>
      </c>
      <c r="L278" s="105" t="str">
        <f t="shared" si="62"/>
        <v/>
      </c>
      <c r="M278" s="106" t="str">
        <f t="shared" si="60"/>
        <v/>
      </c>
    </row>
    <row r="279" spans="1:14" s="5" customFormat="1" ht="30" customHeight="1" x14ac:dyDescent="0.25">
      <c r="A279" s="14" t="s">
        <v>17</v>
      </c>
      <c r="B279" s="16" t="s">
        <v>26</v>
      </c>
      <c r="C279" s="25" t="s">
        <v>61</v>
      </c>
      <c r="D279" s="169" t="s">
        <v>24</v>
      </c>
      <c r="E279" s="38">
        <v>0</v>
      </c>
      <c r="F279" s="39">
        <v>0</v>
      </c>
      <c r="G279" s="40">
        <v>0</v>
      </c>
      <c r="H279" s="41">
        <v>0</v>
      </c>
      <c r="I279" s="42">
        <f t="shared" si="61"/>
        <v>0</v>
      </c>
      <c r="J279" s="103" t="str">
        <f t="shared" si="62"/>
        <v/>
      </c>
      <c r="K279" s="104" t="str">
        <f t="shared" si="62"/>
        <v/>
      </c>
      <c r="L279" s="105" t="str">
        <f t="shared" si="62"/>
        <v/>
      </c>
      <c r="M279" s="106" t="str">
        <f t="shared" si="60"/>
        <v/>
      </c>
    </row>
    <row r="280" spans="1:14" s="3" customFormat="1" ht="30" customHeight="1" x14ac:dyDescent="0.25">
      <c r="A280" s="14" t="s">
        <v>17</v>
      </c>
      <c r="B280" s="16" t="s">
        <v>26</v>
      </c>
      <c r="C280" s="25" t="s">
        <v>61</v>
      </c>
      <c r="D280" s="169" t="s">
        <v>41</v>
      </c>
      <c r="E280" s="38">
        <v>0</v>
      </c>
      <c r="F280" s="39">
        <v>0</v>
      </c>
      <c r="G280" s="40">
        <v>0</v>
      </c>
      <c r="H280" s="41">
        <v>0</v>
      </c>
      <c r="I280" s="42">
        <f t="shared" si="61"/>
        <v>0</v>
      </c>
      <c r="J280" s="103" t="str">
        <f t="shared" si="62"/>
        <v/>
      </c>
      <c r="K280" s="104" t="str">
        <f t="shared" si="62"/>
        <v/>
      </c>
      <c r="L280" s="105" t="str">
        <f t="shared" si="62"/>
        <v/>
      </c>
      <c r="M280" s="106" t="str">
        <f t="shared" si="60"/>
        <v/>
      </c>
    </row>
    <row r="281" spans="1:14" s="5" customFormat="1" ht="30" customHeight="1" x14ac:dyDescent="0.25">
      <c r="A281" s="14" t="s">
        <v>17</v>
      </c>
      <c r="B281" s="16" t="s">
        <v>26</v>
      </c>
      <c r="C281" s="25" t="s">
        <v>61</v>
      </c>
      <c r="D281" s="169" t="s">
        <v>28</v>
      </c>
      <c r="E281" s="38">
        <v>0</v>
      </c>
      <c r="F281" s="39">
        <v>0</v>
      </c>
      <c r="G281" s="40">
        <v>0</v>
      </c>
      <c r="H281" s="41">
        <v>0</v>
      </c>
      <c r="I281" s="42">
        <f t="shared" si="61"/>
        <v>0</v>
      </c>
      <c r="J281" s="103" t="str">
        <f t="shared" si="62"/>
        <v/>
      </c>
      <c r="K281" s="104" t="str">
        <f t="shared" si="62"/>
        <v/>
      </c>
      <c r="L281" s="105" t="str">
        <f t="shared" si="62"/>
        <v/>
      </c>
      <c r="M281" s="106" t="str">
        <f t="shared" si="60"/>
        <v/>
      </c>
    </row>
    <row r="282" spans="1:14" s="5" customFormat="1" ht="30" customHeight="1" x14ac:dyDescent="0.25">
      <c r="A282" s="14" t="s">
        <v>17</v>
      </c>
      <c r="B282" s="16" t="s">
        <v>26</v>
      </c>
      <c r="C282" s="25" t="s">
        <v>61</v>
      </c>
      <c r="D282" s="169" t="s">
        <v>40</v>
      </c>
      <c r="E282" s="38">
        <v>0</v>
      </c>
      <c r="F282" s="39">
        <v>0</v>
      </c>
      <c r="G282" s="40">
        <v>0</v>
      </c>
      <c r="H282" s="41">
        <v>0</v>
      </c>
      <c r="I282" s="42">
        <f t="shared" si="61"/>
        <v>0</v>
      </c>
      <c r="J282" s="103" t="str">
        <f t="shared" si="62"/>
        <v/>
      </c>
      <c r="K282" s="104" t="str">
        <f t="shared" si="62"/>
        <v/>
      </c>
      <c r="L282" s="105" t="str">
        <f t="shared" si="62"/>
        <v/>
      </c>
      <c r="M282" s="106" t="str">
        <f t="shared" si="60"/>
        <v/>
      </c>
    </row>
    <row r="283" spans="1:14" s="5" customFormat="1" ht="30" customHeight="1" x14ac:dyDescent="0.25">
      <c r="A283" s="14" t="s">
        <v>17</v>
      </c>
      <c r="B283" s="16" t="s">
        <v>26</v>
      </c>
      <c r="C283" s="25"/>
      <c r="D283" s="9" t="s">
        <v>29</v>
      </c>
      <c r="E283" s="38">
        <f>SUM(E275:E282)</f>
        <v>0</v>
      </c>
      <c r="F283" s="39">
        <f t="shared" ref="F283:I283" si="63">SUM(F275:F282)</f>
        <v>0</v>
      </c>
      <c r="G283" s="40">
        <f t="shared" si="63"/>
        <v>0</v>
      </c>
      <c r="H283" s="41">
        <f t="shared" si="63"/>
        <v>0</v>
      </c>
      <c r="I283" s="43">
        <f t="shared" si="63"/>
        <v>0</v>
      </c>
      <c r="J283" s="103" t="str">
        <f>IFERROR(E283/SUM($E283:$H283)*100,"")</f>
        <v/>
      </c>
      <c r="K283" s="104" t="str">
        <f>IFERROR(F283/SUM($E283:$H283)*100,"")</f>
        <v/>
      </c>
      <c r="L283" s="105" t="str">
        <f>IFERROR(G283/SUM($E283:$H283)*100,"")</f>
        <v/>
      </c>
      <c r="M283" s="106" t="str">
        <f t="shared" si="60"/>
        <v/>
      </c>
      <c r="N283" s="5" t="s">
        <v>1671</v>
      </c>
    </row>
    <row r="284" spans="1:14" ht="5.0999999999999996" customHeight="1" x14ac:dyDescent="0.25">
      <c r="A284" s="14" t="s">
        <v>17</v>
      </c>
      <c r="B284" s="16" t="s">
        <v>26</v>
      </c>
      <c r="C284"/>
      <c r="J284" s="103"/>
      <c r="K284" s="104"/>
      <c r="L284" s="105"/>
      <c r="M284" s="106" t="str">
        <f t="shared" si="60"/>
        <v/>
      </c>
    </row>
    <row r="285" spans="1:14" s="5" customFormat="1" ht="20.100000000000001" customHeight="1" x14ac:dyDescent="0.25">
      <c r="A285" s="14" t="s">
        <v>17</v>
      </c>
      <c r="B285" s="16" t="s">
        <v>64</v>
      </c>
      <c r="C285" s="25" t="s">
        <v>60</v>
      </c>
      <c r="D285" s="6" t="s">
        <v>65</v>
      </c>
      <c r="E285" s="37"/>
      <c r="F285" s="37"/>
      <c r="G285" s="37"/>
      <c r="H285" s="37"/>
      <c r="I285" s="48"/>
      <c r="J285" s="103"/>
      <c r="K285" s="104"/>
      <c r="L285" s="105"/>
      <c r="M285" s="106" t="str">
        <f t="shared" si="60"/>
        <v/>
      </c>
      <c r="N285" s="5" t="s">
        <v>1673</v>
      </c>
    </row>
    <row r="286" spans="1:14" s="5" customFormat="1" ht="30" customHeight="1" x14ac:dyDescent="0.25">
      <c r="A286" s="14" t="s">
        <v>17</v>
      </c>
      <c r="B286" s="16" t="s">
        <v>64</v>
      </c>
      <c r="C286" s="25" t="s">
        <v>61</v>
      </c>
      <c r="D286" s="168" t="s">
        <v>66</v>
      </c>
      <c r="E286" s="38">
        <v>0</v>
      </c>
      <c r="F286" s="39">
        <v>0</v>
      </c>
      <c r="G286" s="40">
        <v>0</v>
      </c>
      <c r="H286" s="41">
        <v>0</v>
      </c>
      <c r="I286" s="42">
        <f>SUM(E286:H286)</f>
        <v>0</v>
      </c>
      <c r="J286" s="103" t="str">
        <f>IFERROR(E286/$I286*100,"")</f>
        <v/>
      </c>
      <c r="K286" s="104" t="str">
        <f>IFERROR(F286/$I286*100,"")</f>
        <v/>
      </c>
      <c r="L286" s="105" t="str">
        <f>IFERROR(G286/$I286*100,"")</f>
        <v/>
      </c>
      <c r="M286" s="106" t="str">
        <f t="shared" si="60"/>
        <v/>
      </c>
      <c r="N286" s="5" t="s">
        <v>1671</v>
      </c>
    </row>
    <row r="287" spans="1:14" ht="5.0999999999999996" customHeight="1" x14ac:dyDescent="0.25">
      <c r="A287" s="14" t="s">
        <v>17</v>
      </c>
      <c r="B287" s="16" t="s">
        <v>64</v>
      </c>
      <c r="C287"/>
      <c r="D287" s="57"/>
      <c r="E287" s="59"/>
      <c r="F287" s="59"/>
      <c r="G287" s="59"/>
      <c r="H287" s="59"/>
      <c r="I287" s="59"/>
      <c r="J287" s="103"/>
      <c r="K287" s="104"/>
      <c r="L287" s="105"/>
      <c r="M287" s="106" t="str">
        <f t="shared" si="60"/>
        <v/>
      </c>
    </row>
    <row r="288" spans="1:14" s="5" customFormat="1" ht="20.100000000000001" customHeight="1" x14ac:dyDescent="0.25">
      <c r="A288" s="14" t="s">
        <v>17</v>
      </c>
      <c r="B288" s="16" t="s">
        <v>55</v>
      </c>
      <c r="C288" s="25" t="s">
        <v>60</v>
      </c>
      <c r="D288" s="6" t="s">
        <v>55</v>
      </c>
      <c r="E288" s="37"/>
      <c r="F288" s="37"/>
      <c r="G288" s="37"/>
      <c r="H288" s="37"/>
      <c r="I288" s="48"/>
      <c r="J288" s="103"/>
      <c r="K288" s="104"/>
      <c r="L288" s="105"/>
      <c r="M288" s="106" t="str">
        <f t="shared" si="60"/>
        <v/>
      </c>
      <c r="N288" s="5" t="s">
        <v>1673</v>
      </c>
    </row>
    <row r="289" spans="1:14" s="3" customFormat="1" ht="30" customHeight="1" x14ac:dyDescent="0.25">
      <c r="A289" s="14" t="s">
        <v>17</v>
      </c>
      <c r="B289" s="16" t="s">
        <v>55</v>
      </c>
      <c r="C289" s="25" t="s">
        <v>61</v>
      </c>
      <c r="D289" s="168" t="s">
        <v>56</v>
      </c>
      <c r="E289" s="38">
        <v>0</v>
      </c>
      <c r="F289" s="39">
        <v>0</v>
      </c>
      <c r="G289" s="40">
        <v>0</v>
      </c>
      <c r="H289" s="41">
        <v>0</v>
      </c>
      <c r="I289" s="42">
        <f>SUM(E289:H289)</f>
        <v>0</v>
      </c>
      <c r="J289" s="103" t="str">
        <f t="shared" ref="J289:L291" si="64">IFERROR(E289/$I289*100,"")</f>
        <v/>
      </c>
      <c r="K289" s="104" t="str">
        <f t="shared" si="64"/>
        <v/>
      </c>
      <c r="L289" s="105" t="str">
        <f t="shared" si="64"/>
        <v/>
      </c>
      <c r="M289" s="106" t="str">
        <f t="shared" si="60"/>
        <v/>
      </c>
      <c r="N289" s="5"/>
    </row>
    <row r="290" spans="1:14" s="3" customFormat="1" ht="30" customHeight="1" x14ac:dyDescent="0.25">
      <c r="A290" s="14" t="s">
        <v>17</v>
      </c>
      <c r="B290" s="16" t="s">
        <v>55</v>
      </c>
      <c r="C290" s="25" t="s">
        <v>61</v>
      </c>
      <c r="D290" s="168" t="s">
        <v>57</v>
      </c>
      <c r="E290" s="38">
        <v>0</v>
      </c>
      <c r="F290" s="39">
        <v>0</v>
      </c>
      <c r="G290" s="40">
        <v>0</v>
      </c>
      <c r="H290" s="41">
        <v>0</v>
      </c>
      <c r="I290" s="42">
        <f>SUM(E290:H290)</f>
        <v>0</v>
      </c>
      <c r="J290" s="103" t="str">
        <f t="shared" si="64"/>
        <v/>
      </c>
      <c r="K290" s="104" t="str">
        <f t="shared" si="64"/>
        <v/>
      </c>
      <c r="L290" s="105" t="str">
        <f t="shared" si="64"/>
        <v/>
      </c>
      <c r="M290" s="106" t="str">
        <f t="shared" si="60"/>
        <v/>
      </c>
    </row>
    <row r="291" spans="1:14" s="3" customFormat="1" ht="30" customHeight="1" x14ac:dyDescent="0.25">
      <c r="A291" s="14" t="s">
        <v>17</v>
      </c>
      <c r="B291" s="16" t="s">
        <v>55</v>
      </c>
      <c r="C291" s="25"/>
      <c r="D291" s="168" t="s">
        <v>29</v>
      </c>
      <c r="E291" s="38">
        <f>SUM(E289:E290)</f>
        <v>0</v>
      </c>
      <c r="F291" s="39">
        <f t="shared" ref="F291:I291" si="65">SUM(F289:F290)</f>
        <v>0</v>
      </c>
      <c r="G291" s="40">
        <f t="shared" si="65"/>
        <v>0</v>
      </c>
      <c r="H291" s="41">
        <f t="shared" si="65"/>
        <v>0</v>
      </c>
      <c r="I291" s="42">
        <f t="shared" si="65"/>
        <v>0</v>
      </c>
      <c r="J291" s="103" t="str">
        <f t="shared" si="64"/>
        <v/>
      </c>
      <c r="K291" s="104" t="str">
        <f t="shared" si="64"/>
        <v/>
      </c>
      <c r="L291" s="105" t="str">
        <f t="shared" si="64"/>
        <v/>
      </c>
      <c r="M291" s="106" t="str">
        <f t="shared" si="60"/>
        <v/>
      </c>
      <c r="N291" s="5" t="s">
        <v>1671</v>
      </c>
    </row>
    <row r="292" spans="1:14" ht="5.0999999999999996" customHeight="1" x14ac:dyDescent="0.25">
      <c r="A292" s="14" t="s">
        <v>17</v>
      </c>
      <c r="B292" s="16" t="s">
        <v>55</v>
      </c>
      <c r="C292"/>
      <c r="D292" s="57"/>
      <c r="E292" s="59"/>
      <c r="F292" s="59"/>
      <c r="G292" s="59"/>
      <c r="H292" s="59"/>
      <c r="I292" s="59"/>
      <c r="J292" s="103"/>
      <c r="K292" s="104"/>
      <c r="L292" s="105"/>
      <c r="M292" s="106" t="str">
        <f t="shared" si="60"/>
        <v/>
      </c>
    </row>
    <row r="293" spans="1:14" s="5" customFormat="1" ht="20.100000000000001" customHeight="1" x14ac:dyDescent="0.25">
      <c r="A293" s="14" t="s">
        <v>17</v>
      </c>
      <c r="B293" s="16" t="s">
        <v>74</v>
      </c>
      <c r="C293" s="25" t="s">
        <v>60</v>
      </c>
      <c r="D293" s="6" t="s">
        <v>75</v>
      </c>
      <c r="E293" s="37"/>
      <c r="F293" s="37"/>
      <c r="G293" s="37"/>
      <c r="H293" s="37"/>
      <c r="I293" s="48"/>
      <c r="J293" s="103"/>
      <c r="K293" s="104"/>
      <c r="L293" s="105"/>
      <c r="M293" s="106" t="str">
        <f t="shared" si="60"/>
        <v/>
      </c>
      <c r="N293" s="5" t="s">
        <v>1673</v>
      </c>
    </row>
    <row r="294" spans="1:14" s="3" customFormat="1" ht="30" customHeight="1" x14ac:dyDescent="0.25">
      <c r="A294" s="14" t="s">
        <v>17</v>
      </c>
      <c r="B294" s="16" t="s">
        <v>74</v>
      </c>
      <c r="C294" s="25" t="s">
        <v>61</v>
      </c>
      <c r="D294" s="168" t="s">
        <v>77</v>
      </c>
      <c r="E294" s="38">
        <v>0</v>
      </c>
      <c r="F294" s="39">
        <v>0</v>
      </c>
      <c r="G294" s="40">
        <v>0</v>
      </c>
      <c r="H294" s="41">
        <v>0</v>
      </c>
      <c r="I294" s="42">
        <f>SUM(E294:H294)</f>
        <v>0</v>
      </c>
      <c r="J294" s="103" t="str">
        <f>IFERROR(E294/$I294*100,"")</f>
        <v/>
      </c>
      <c r="K294" s="104" t="str">
        <f>IFERROR(F294/$I294*100,"")</f>
        <v/>
      </c>
      <c r="L294" s="105" t="str">
        <f>IFERROR(G294/$I294*100,"")</f>
        <v/>
      </c>
      <c r="M294" s="106" t="str">
        <f t="shared" si="60"/>
        <v/>
      </c>
      <c r="N294" s="3" t="s">
        <v>1671</v>
      </c>
    </row>
    <row r="295" spans="1:14" ht="5.0999999999999996" customHeight="1" x14ac:dyDescent="0.25">
      <c r="A295" s="14" t="s">
        <v>17</v>
      </c>
      <c r="B295" s="16" t="s">
        <v>74</v>
      </c>
      <c r="C295"/>
      <c r="D295" s="57"/>
      <c r="E295" s="59"/>
      <c r="F295" s="59"/>
      <c r="G295" s="59"/>
      <c r="H295" s="59"/>
      <c r="I295" s="59"/>
      <c r="J295" s="103"/>
      <c r="K295" s="104"/>
      <c r="L295" s="105"/>
      <c r="M295" s="106" t="str">
        <f t="shared" si="60"/>
        <v/>
      </c>
    </row>
    <row r="296" spans="1:14" s="5" customFormat="1" ht="20.100000000000001" customHeight="1" x14ac:dyDescent="0.25">
      <c r="A296" s="14" t="s">
        <v>17</v>
      </c>
      <c r="B296" s="16" t="s">
        <v>78</v>
      </c>
      <c r="C296" s="25" t="s">
        <v>60</v>
      </c>
      <c r="D296" s="6" t="s">
        <v>80</v>
      </c>
      <c r="E296" s="37"/>
      <c r="F296" s="37"/>
      <c r="G296" s="37"/>
      <c r="H296" s="37"/>
      <c r="I296" s="48"/>
      <c r="J296" s="103"/>
      <c r="K296" s="104"/>
      <c r="L296" s="105"/>
      <c r="M296" s="106" t="str">
        <f t="shared" si="60"/>
        <v/>
      </c>
      <c r="N296" s="5" t="s">
        <v>1673</v>
      </c>
    </row>
    <row r="297" spans="1:14" s="5" customFormat="1" ht="30" customHeight="1" x14ac:dyDescent="0.25">
      <c r="A297" s="14" t="s">
        <v>17</v>
      </c>
      <c r="B297" s="16" t="s">
        <v>78</v>
      </c>
      <c r="C297" s="25" t="s">
        <v>61</v>
      </c>
      <c r="D297" s="168" t="s">
        <v>81</v>
      </c>
      <c r="E297" s="38">
        <v>0</v>
      </c>
      <c r="F297" s="39">
        <v>0</v>
      </c>
      <c r="G297" s="40">
        <v>0</v>
      </c>
      <c r="H297" s="41">
        <v>0</v>
      </c>
      <c r="I297" s="42">
        <f t="shared" ref="I297:I303" si="66">SUM(E297:H297)</f>
        <v>0</v>
      </c>
      <c r="J297" s="103" t="str">
        <f t="shared" ref="J297:L303" si="67">IFERROR(E297/$I297*100,"")</f>
        <v/>
      </c>
      <c r="K297" s="104" t="str">
        <f t="shared" si="67"/>
        <v/>
      </c>
      <c r="L297" s="105" t="str">
        <f t="shared" si="67"/>
        <v/>
      </c>
      <c r="M297" s="106" t="str">
        <f t="shared" si="60"/>
        <v/>
      </c>
    </row>
    <row r="298" spans="1:14" s="5" customFormat="1" ht="30" customHeight="1" x14ac:dyDescent="0.25">
      <c r="A298" s="14" t="s">
        <v>17</v>
      </c>
      <c r="B298" s="16" t="s">
        <v>78</v>
      </c>
      <c r="C298" s="25" t="s">
        <v>61</v>
      </c>
      <c r="D298" s="168" t="s">
        <v>82</v>
      </c>
      <c r="E298" s="38">
        <v>0</v>
      </c>
      <c r="F298" s="39">
        <v>0</v>
      </c>
      <c r="G298" s="40">
        <v>0</v>
      </c>
      <c r="H298" s="41">
        <v>0</v>
      </c>
      <c r="I298" s="42">
        <f t="shared" si="66"/>
        <v>0</v>
      </c>
      <c r="J298" s="103" t="str">
        <f t="shared" si="67"/>
        <v/>
      </c>
      <c r="K298" s="104" t="str">
        <f t="shared" si="67"/>
        <v/>
      </c>
      <c r="L298" s="105" t="str">
        <f t="shared" si="67"/>
        <v/>
      </c>
      <c r="M298" s="106" t="str">
        <f t="shared" si="60"/>
        <v/>
      </c>
    </row>
    <row r="299" spans="1:14" s="5" customFormat="1" ht="30" customHeight="1" x14ac:dyDescent="0.25">
      <c r="A299" s="14" t="s">
        <v>17</v>
      </c>
      <c r="B299" s="16" t="s">
        <v>78</v>
      </c>
      <c r="C299" s="25" t="s">
        <v>61</v>
      </c>
      <c r="D299" s="168" t="s">
        <v>83</v>
      </c>
      <c r="E299" s="38">
        <v>0</v>
      </c>
      <c r="F299" s="39">
        <v>0</v>
      </c>
      <c r="G299" s="40">
        <v>0</v>
      </c>
      <c r="H299" s="41">
        <v>0</v>
      </c>
      <c r="I299" s="42">
        <f t="shared" si="66"/>
        <v>0</v>
      </c>
      <c r="J299" s="103" t="str">
        <f t="shared" si="67"/>
        <v/>
      </c>
      <c r="K299" s="104" t="str">
        <f t="shared" si="67"/>
        <v/>
      </c>
      <c r="L299" s="105" t="str">
        <f t="shared" si="67"/>
        <v/>
      </c>
      <c r="M299" s="106" t="str">
        <f t="shared" si="60"/>
        <v/>
      </c>
    </row>
    <row r="300" spans="1:14" s="5" customFormat="1" ht="30" customHeight="1" x14ac:dyDescent="0.25">
      <c r="A300" s="14" t="s">
        <v>17</v>
      </c>
      <c r="B300" s="16" t="s">
        <v>78</v>
      </c>
      <c r="C300" s="25" t="s">
        <v>61</v>
      </c>
      <c r="D300" s="168" t="s">
        <v>88</v>
      </c>
      <c r="E300" s="38">
        <v>0</v>
      </c>
      <c r="F300" s="39">
        <v>0</v>
      </c>
      <c r="G300" s="40">
        <v>0</v>
      </c>
      <c r="H300" s="41">
        <v>0</v>
      </c>
      <c r="I300" s="42">
        <f t="shared" si="66"/>
        <v>0</v>
      </c>
      <c r="J300" s="103" t="str">
        <f t="shared" si="67"/>
        <v/>
      </c>
      <c r="K300" s="104" t="str">
        <f t="shared" si="67"/>
        <v/>
      </c>
      <c r="L300" s="105" t="str">
        <f t="shared" si="67"/>
        <v/>
      </c>
      <c r="M300" s="106" t="str">
        <f t="shared" si="60"/>
        <v/>
      </c>
    </row>
    <row r="301" spans="1:14" s="5" customFormat="1" ht="30" customHeight="1" x14ac:dyDescent="0.25">
      <c r="A301" s="14" t="s">
        <v>17</v>
      </c>
      <c r="B301" s="16" t="s">
        <v>78</v>
      </c>
      <c r="C301" s="25" t="s">
        <v>61</v>
      </c>
      <c r="D301" s="168" t="s">
        <v>87</v>
      </c>
      <c r="E301" s="38">
        <v>0</v>
      </c>
      <c r="F301" s="39">
        <v>0</v>
      </c>
      <c r="G301" s="40">
        <v>0</v>
      </c>
      <c r="H301" s="41">
        <v>0</v>
      </c>
      <c r="I301" s="42">
        <f t="shared" si="66"/>
        <v>0</v>
      </c>
      <c r="J301" s="103" t="str">
        <f t="shared" si="67"/>
        <v/>
      </c>
      <c r="K301" s="104" t="str">
        <f t="shared" si="67"/>
        <v/>
      </c>
      <c r="L301" s="105" t="str">
        <f t="shared" si="67"/>
        <v/>
      </c>
      <c r="M301" s="106" t="str">
        <f t="shared" si="60"/>
        <v/>
      </c>
    </row>
    <row r="302" spans="1:14" s="5" customFormat="1" ht="30" customHeight="1" x14ac:dyDescent="0.25">
      <c r="A302" s="14" t="s">
        <v>17</v>
      </c>
      <c r="B302" s="16" t="s">
        <v>78</v>
      </c>
      <c r="C302" s="25" t="s">
        <v>61</v>
      </c>
      <c r="D302" s="168" t="s">
        <v>84</v>
      </c>
      <c r="E302" s="38">
        <v>0</v>
      </c>
      <c r="F302" s="39">
        <v>0</v>
      </c>
      <c r="G302" s="40">
        <v>0</v>
      </c>
      <c r="H302" s="41">
        <v>0</v>
      </c>
      <c r="I302" s="42">
        <f t="shared" si="66"/>
        <v>0</v>
      </c>
      <c r="J302" s="103" t="str">
        <f t="shared" si="67"/>
        <v/>
      </c>
      <c r="K302" s="104" t="str">
        <f t="shared" si="67"/>
        <v/>
      </c>
      <c r="L302" s="105" t="str">
        <f t="shared" si="67"/>
        <v/>
      </c>
      <c r="M302" s="106" t="str">
        <f t="shared" si="60"/>
        <v/>
      </c>
    </row>
    <row r="303" spans="1:14" s="5" customFormat="1" ht="30" customHeight="1" x14ac:dyDescent="0.25">
      <c r="A303" s="14" t="s">
        <v>17</v>
      </c>
      <c r="B303" s="16" t="s">
        <v>78</v>
      </c>
      <c r="C303" s="25" t="s">
        <v>86</v>
      </c>
      <c r="D303" s="168" t="s">
        <v>79</v>
      </c>
      <c r="E303" s="38">
        <v>0</v>
      </c>
      <c r="F303" s="39">
        <v>0</v>
      </c>
      <c r="G303" s="40">
        <v>0</v>
      </c>
      <c r="H303" s="41">
        <v>0</v>
      </c>
      <c r="I303" s="42">
        <f t="shared" si="66"/>
        <v>0</v>
      </c>
      <c r="J303" s="103" t="str">
        <f t="shared" si="67"/>
        <v/>
      </c>
      <c r="K303" s="104" t="str">
        <f t="shared" si="67"/>
        <v/>
      </c>
      <c r="L303" s="105" t="str">
        <f t="shared" si="67"/>
        <v/>
      </c>
      <c r="M303" s="106" t="str">
        <f t="shared" si="60"/>
        <v/>
      </c>
      <c r="N303" s="5" t="s">
        <v>1671</v>
      </c>
    </row>
    <row r="304" spans="1:14" ht="5.0999999999999996" customHeight="1" x14ac:dyDescent="0.25">
      <c r="A304" s="14" t="s">
        <v>17</v>
      </c>
      <c r="B304" s="16" t="s">
        <v>78</v>
      </c>
      <c r="C304"/>
      <c r="D304" s="57"/>
      <c r="E304" s="59"/>
      <c r="F304" s="59"/>
      <c r="G304" s="59"/>
      <c r="H304" s="59"/>
      <c r="I304" s="59"/>
      <c r="J304" s="103"/>
      <c r="K304" s="104"/>
      <c r="L304" s="105"/>
      <c r="M304" s="106" t="str">
        <f t="shared" si="60"/>
        <v/>
      </c>
    </row>
    <row r="305" spans="1:14" s="5" customFormat="1" ht="20.100000000000001" customHeight="1" x14ac:dyDescent="0.25">
      <c r="A305" s="14" t="s">
        <v>17</v>
      </c>
      <c r="B305" s="16" t="s">
        <v>1642</v>
      </c>
      <c r="C305" s="25" t="s">
        <v>60</v>
      </c>
      <c r="D305" s="6" t="s">
        <v>1644</v>
      </c>
      <c r="E305" s="37"/>
      <c r="F305" s="37"/>
      <c r="G305" s="37"/>
      <c r="H305" s="37"/>
      <c r="I305" s="48"/>
      <c r="J305" s="103"/>
      <c r="K305" s="104"/>
      <c r="L305" s="105"/>
      <c r="M305" s="106" t="str">
        <f t="shared" si="60"/>
        <v/>
      </c>
      <c r="N305" s="5" t="s">
        <v>1673</v>
      </c>
    </row>
    <row r="306" spans="1:14" s="5" customFormat="1" ht="30" customHeight="1" x14ac:dyDescent="0.25">
      <c r="A306" s="14" t="s">
        <v>17</v>
      </c>
      <c r="B306" s="16" t="s">
        <v>1642</v>
      </c>
      <c r="C306" s="25" t="s">
        <v>61</v>
      </c>
      <c r="D306" s="168" t="s">
        <v>1643</v>
      </c>
      <c r="E306" s="38">
        <v>0</v>
      </c>
      <c r="F306" s="39">
        <v>0</v>
      </c>
      <c r="G306" s="40">
        <v>0</v>
      </c>
      <c r="H306" s="41">
        <v>0</v>
      </c>
      <c r="I306" s="42">
        <f t="shared" ref="I306" si="68">SUM(E306:H306)</f>
        <v>0</v>
      </c>
      <c r="J306" s="103" t="str">
        <f>IFERROR(E306/$I306*100,"")</f>
        <v/>
      </c>
      <c r="K306" s="104" t="str">
        <f>IFERROR(F306/$I306*100,"")</f>
        <v/>
      </c>
      <c r="L306" s="105" t="str">
        <f>IFERROR(G306/$I306*100,"")</f>
        <v/>
      </c>
      <c r="M306" s="106" t="str">
        <f t="shared" si="60"/>
        <v/>
      </c>
      <c r="N306" s="5" t="s">
        <v>1671</v>
      </c>
    </row>
    <row r="307" spans="1:14" ht="5.0999999999999996" customHeight="1" x14ac:dyDescent="0.25">
      <c r="A307" s="14" t="s">
        <v>17</v>
      </c>
      <c r="B307" s="16" t="s">
        <v>1642</v>
      </c>
      <c r="C307"/>
      <c r="D307" s="57"/>
      <c r="E307" s="59"/>
      <c r="F307" s="59"/>
      <c r="G307" s="59"/>
      <c r="H307" s="59"/>
      <c r="I307" s="59"/>
      <c r="J307" s="103"/>
      <c r="K307" s="104"/>
      <c r="L307" s="105"/>
      <c r="M307" s="106" t="str">
        <f t="shared" si="60"/>
        <v/>
      </c>
    </row>
    <row r="308" spans="1:14" s="5" customFormat="1" ht="20.100000000000001" customHeight="1" x14ac:dyDescent="0.25">
      <c r="A308" s="14" t="s">
        <v>17</v>
      </c>
      <c r="B308" s="16" t="s">
        <v>91</v>
      </c>
      <c r="C308" s="25" t="s">
        <v>60</v>
      </c>
      <c r="D308" s="6" t="s">
        <v>89</v>
      </c>
      <c r="E308" s="37"/>
      <c r="F308" s="37"/>
      <c r="G308" s="37"/>
      <c r="H308" s="37"/>
      <c r="I308" s="48"/>
      <c r="J308" s="103"/>
      <c r="K308" s="104"/>
      <c r="L308" s="105"/>
      <c r="M308" s="106" t="str">
        <f t="shared" si="60"/>
        <v/>
      </c>
      <c r="N308" s="5" t="s">
        <v>1673</v>
      </c>
    </row>
    <row r="309" spans="1:14" s="5" customFormat="1" ht="30" customHeight="1" x14ac:dyDescent="0.25">
      <c r="A309" s="14" t="s">
        <v>17</v>
      </c>
      <c r="B309" s="16" t="s">
        <v>91</v>
      </c>
      <c r="C309" s="25" t="s">
        <v>61</v>
      </c>
      <c r="D309" s="168" t="s">
        <v>90</v>
      </c>
      <c r="E309" s="38">
        <v>0</v>
      </c>
      <c r="F309" s="39">
        <v>0</v>
      </c>
      <c r="G309" s="40">
        <v>0</v>
      </c>
      <c r="H309" s="41">
        <v>0</v>
      </c>
      <c r="I309" s="42">
        <f t="shared" ref="I309" si="69">SUM(E309:H309)</f>
        <v>0</v>
      </c>
      <c r="J309" s="103" t="str">
        <f>IFERROR(E309/$I309*100,"")</f>
        <v/>
      </c>
      <c r="K309" s="104" t="str">
        <f>IFERROR(F309/$I309*100,"")</f>
        <v/>
      </c>
      <c r="L309" s="105" t="str">
        <f>IFERROR(G309/$I309*100,"")</f>
        <v/>
      </c>
      <c r="M309" s="106" t="str">
        <f t="shared" si="60"/>
        <v/>
      </c>
      <c r="N309" s="5" t="s">
        <v>1671</v>
      </c>
    </row>
    <row r="310" spans="1:14" ht="5.0999999999999996" customHeight="1" x14ac:dyDescent="0.25">
      <c r="A310" s="14" t="s">
        <v>17</v>
      </c>
      <c r="B310" s="16" t="s">
        <v>91</v>
      </c>
      <c r="C310"/>
      <c r="D310" s="57"/>
      <c r="E310" s="59"/>
      <c r="F310" s="59"/>
      <c r="G310" s="59"/>
      <c r="H310" s="59"/>
      <c r="I310" s="59"/>
      <c r="J310" s="103"/>
      <c r="K310" s="104"/>
      <c r="L310" s="105"/>
      <c r="M310" s="106" t="str">
        <f t="shared" si="60"/>
        <v/>
      </c>
    </row>
    <row r="311" spans="1:14" s="5" customFormat="1" ht="20.100000000000001" customHeight="1" x14ac:dyDescent="0.25">
      <c r="A311" s="14" t="s">
        <v>17</v>
      </c>
      <c r="B311" s="16" t="s">
        <v>1637</v>
      </c>
      <c r="C311" s="25" t="s">
        <v>60</v>
      </c>
      <c r="D311" s="6" t="s">
        <v>1636</v>
      </c>
      <c r="E311" s="37"/>
      <c r="F311" s="37"/>
      <c r="G311" s="37"/>
      <c r="H311" s="37"/>
      <c r="I311" s="48"/>
      <c r="J311" s="103"/>
      <c r="K311" s="104"/>
      <c r="L311" s="105"/>
      <c r="M311" s="106" t="str">
        <f t="shared" si="60"/>
        <v/>
      </c>
      <c r="N311" s="5" t="s">
        <v>1673</v>
      </c>
    </row>
    <row r="312" spans="1:14" s="3" customFormat="1" ht="30" customHeight="1" x14ac:dyDescent="0.25">
      <c r="A312" s="14" t="s">
        <v>17</v>
      </c>
      <c r="B312" s="16" t="s">
        <v>1637</v>
      </c>
      <c r="C312" s="25" t="s">
        <v>61</v>
      </c>
      <c r="D312" s="168" t="s">
        <v>1638</v>
      </c>
      <c r="E312" s="38">
        <v>0</v>
      </c>
      <c r="F312" s="39">
        <v>0</v>
      </c>
      <c r="G312" s="40">
        <v>0</v>
      </c>
      <c r="H312" s="41">
        <v>0</v>
      </c>
      <c r="I312" s="42">
        <f t="shared" ref="I312:I317" si="70">SUM(E312:H312)</f>
        <v>0</v>
      </c>
      <c r="J312" s="103" t="str">
        <f t="shared" ref="J312:L316" si="71">IFERROR(E312/$I312*100,"")</f>
        <v/>
      </c>
      <c r="K312" s="104" t="str">
        <f t="shared" si="71"/>
        <v/>
      </c>
      <c r="L312" s="105" t="str">
        <f t="shared" si="71"/>
        <v/>
      </c>
      <c r="M312" s="106" t="str">
        <f t="shared" si="60"/>
        <v/>
      </c>
    </row>
    <row r="313" spans="1:14" s="3" customFormat="1" ht="30" customHeight="1" x14ac:dyDescent="0.25">
      <c r="A313" s="14" t="s">
        <v>17</v>
      </c>
      <c r="B313" s="16" t="s">
        <v>1637</v>
      </c>
      <c r="C313" s="25" t="s">
        <v>61</v>
      </c>
      <c r="D313" s="168" t="s">
        <v>1669</v>
      </c>
      <c r="E313" s="38">
        <v>0</v>
      </c>
      <c r="F313" s="39">
        <v>0</v>
      </c>
      <c r="G313" s="40">
        <v>0</v>
      </c>
      <c r="H313" s="41">
        <v>0</v>
      </c>
      <c r="I313" s="42">
        <f t="shared" si="70"/>
        <v>0</v>
      </c>
      <c r="J313" s="103" t="str">
        <f t="shared" si="71"/>
        <v/>
      </c>
      <c r="K313" s="104" t="str">
        <f t="shared" si="71"/>
        <v/>
      </c>
      <c r="L313" s="105" t="str">
        <f t="shared" si="71"/>
        <v/>
      </c>
      <c r="M313" s="106" t="str">
        <f t="shared" si="60"/>
        <v/>
      </c>
    </row>
    <row r="314" spans="1:14" s="3" customFormat="1" ht="30" customHeight="1" x14ac:dyDescent="0.25">
      <c r="A314" s="14" t="s">
        <v>17</v>
      </c>
      <c r="B314" s="16" t="s">
        <v>1637</v>
      </c>
      <c r="C314" s="25" t="s">
        <v>61</v>
      </c>
      <c r="D314" s="168" t="s">
        <v>1640</v>
      </c>
      <c r="E314" s="38">
        <v>0</v>
      </c>
      <c r="F314" s="39">
        <v>0</v>
      </c>
      <c r="G314" s="40">
        <v>0</v>
      </c>
      <c r="H314" s="41">
        <v>0</v>
      </c>
      <c r="I314" s="42">
        <f t="shared" si="70"/>
        <v>0</v>
      </c>
      <c r="J314" s="103" t="str">
        <f t="shared" si="71"/>
        <v/>
      </c>
      <c r="K314" s="104" t="str">
        <f t="shared" si="71"/>
        <v/>
      </c>
      <c r="L314" s="105" t="str">
        <f t="shared" si="71"/>
        <v/>
      </c>
      <c r="M314" s="106" t="str">
        <f t="shared" si="60"/>
        <v/>
      </c>
    </row>
    <row r="315" spans="1:14" s="3" customFormat="1" ht="30" customHeight="1" x14ac:dyDescent="0.25">
      <c r="A315" s="14" t="s">
        <v>17</v>
      </c>
      <c r="B315" s="16" t="s">
        <v>1637</v>
      </c>
      <c r="C315" s="25" t="s">
        <v>61</v>
      </c>
      <c r="D315" s="168" t="s">
        <v>1639</v>
      </c>
      <c r="E315" s="38">
        <v>0</v>
      </c>
      <c r="F315" s="39">
        <v>0</v>
      </c>
      <c r="G315" s="40">
        <v>0</v>
      </c>
      <c r="H315" s="41">
        <v>0</v>
      </c>
      <c r="I315" s="42">
        <f t="shared" si="70"/>
        <v>0</v>
      </c>
      <c r="J315" s="103" t="str">
        <f t="shared" si="71"/>
        <v/>
      </c>
      <c r="K315" s="104" t="str">
        <f t="shared" si="71"/>
        <v/>
      </c>
      <c r="L315" s="105" t="str">
        <f t="shared" si="71"/>
        <v/>
      </c>
      <c r="M315" s="106" t="str">
        <f t="shared" si="60"/>
        <v/>
      </c>
    </row>
    <row r="316" spans="1:14" s="3" customFormat="1" ht="30" customHeight="1" x14ac:dyDescent="0.25">
      <c r="A316" s="14" t="s">
        <v>17</v>
      </c>
      <c r="B316" s="16" t="s">
        <v>1637</v>
      </c>
      <c r="C316" s="25" t="s">
        <v>61</v>
      </c>
      <c r="D316" s="168" t="s">
        <v>1641</v>
      </c>
      <c r="E316" s="38">
        <v>0</v>
      </c>
      <c r="F316" s="39">
        <v>0</v>
      </c>
      <c r="G316" s="40">
        <v>0</v>
      </c>
      <c r="H316" s="41">
        <v>0</v>
      </c>
      <c r="I316" s="42">
        <f t="shared" si="70"/>
        <v>0</v>
      </c>
      <c r="J316" s="103" t="str">
        <f t="shared" si="71"/>
        <v/>
      </c>
      <c r="K316" s="104" t="str">
        <f t="shared" si="71"/>
        <v/>
      </c>
      <c r="L316" s="105" t="str">
        <f t="shared" si="71"/>
        <v/>
      </c>
      <c r="M316" s="106" t="str">
        <f t="shared" si="60"/>
        <v/>
      </c>
    </row>
    <row r="317" spans="1:14" s="3" customFormat="1" ht="30" customHeight="1" x14ac:dyDescent="0.25">
      <c r="A317" s="14" t="s">
        <v>17</v>
      </c>
      <c r="B317" s="16" t="s">
        <v>1637</v>
      </c>
      <c r="C317" s="25"/>
      <c r="D317" s="168" t="s">
        <v>29</v>
      </c>
      <c r="E317" s="38">
        <f>SUM(E312:E316)</f>
        <v>0</v>
      </c>
      <c r="F317" s="39">
        <f>SUM(F312:F316)</f>
        <v>0</v>
      </c>
      <c r="G317" s="40">
        <f>SUM(G312:G316)</f>
        <v>0</v>
      </c>
      <c r="H317" s="41">
        <f>SUM(H312:H316)</f>
        <v>0</v>
      </c>
      <c r="I317" s="42">
        <f t="shared" si="70"/>
        <v>0</v>
      </c>
      <c r="J317" s="103" t="str">
        <f>IFERROR(E317/SUM($E317:$H317)*100,"")</f>
        <v/>
      </c>
      <c r="K317" s="104" t="str">
        <f>IFERROR(F317/SUM($E317:$H317)*100,"")</f>
        <v/>
      </c>
      <c r="L317" s="105" t="str">
        <f>IFERROR(G317/SUM($E317:$H317)*100,"")</f>
        <v/>
      </c>
      <c r="M317" s="106" t="str">
        <f t="shared" si="60"/>
        <v/>
      </c>
      <c r="N317" s="5" t="s">
        <v>1671</v>
      </c>
    </row>
    <row r="318" spans="1:14" ht="5.0999999999999996" customHeight="1" x14ac:dyDescent="0.25">
      <c r="A318" s="14" t="s">
        <v>17</v>
      </c>
      <c r="B318" s="16" t="s">
        <v>1637</v>
      </c>
      <c r="C318"/>
      <c r="J318" s="103"/>
      <c r="K318" s="104"/>
      <c r="L318" s="105"/>
      <c r="M318" s="106" t="str">
        <f t="shared" si="60"/>
        <v/>
      </c>
    </row>
    <row r="319" spans="1:14" s="5" customFormat="1" ht="20.100000000000001" customHeight="1" x14ac:dyDescent="0.25">
      <c r="A319" s="14" t="s">
        <v>17</v>
      </c>
      <c r="B319" s="16" t="s">
        <v>42</v>
      </c>
      <c r="C319" s="25" t="s">
        <v>60</v>
      </c>
      <c r="D319" s="6" t="s">
        <v>1744</v>
      </c>
      <c r="E319" s="37"/>
      <c r="F319" s="37"/>
      <c r="G319" s="37"/>
      <c r="H319" s="37"/>
      <c r="I319" s="48"/>
      <c r="J319" s="103"/>
      <c r="K319" s="104"/>
      <c r="L319" s="105"/>
      <c r="M319" s="106" t="str">
        <f t="shared" si="60"/>
        <v/>
      </c>
      <c r="N319" s="5" t="s">
        <v>1673</v>
      </c>
    </row>
    <row r="320" spans="1:14" s="3" customFormat="1" ht="30" customHeight="1" x14ac:dyDescent="0.25">
      <c r="A320" s="14" t="s">
        <v>17</v>
      </c>
      <c r="B320" s="16" t="s">
        <v>42</v>
      </c>
      <c r="C320" s="25" t="s">
        <v>61</v>
      </c>
      <c r="D320" s="168" t="s">
        <v>43</v>
      </c>
      <c r="E320" s="38">
        <v>0</v>
      </c>
      <c r="F320" s="39">
        <v>0</v>
      </c>
      <c r="G320" s="40">
        <v>0</v>
      </c>
      <c r="H320" s="41">
        <v>0</v>
      </c>
      <c r="I320" s="42">
        <f t="shared" ref="I320:I329" si="72">SUM(E320:H320)</f>
        <v>0</v>
      </c>
      <c r="J320" s="103" t="str">
        <f t="shared" ref="J320:L329" si="73">IFERROR(E320/$I320*100,"")</f>
        <v/>
      </c>
      <c r="K320" s="104" t="str">
        <f t="shared" si="73"/>
        <v/>
      </c>
      <c r="L320" s="105" t="str">
        <f t="shared" si="73"/>
        <v/>
      </c>
      <c r="M320" s="106" t="str">
        <f t="shared" si="60"/>
        <v/>
      </c>
    </row>
    <row r="321" spans="1:14" s="3" customFormat="1" ht="30" customHeight="1" x14ac:dyDescent="0.25">
      <c r="A321" s="14" t="s">
        <v>17</v>
      </c>
      <c r="B321" s="16" t="s">
        <v>42</v>
      </c>
      <c r="C321" s="25" t="s">
        <v>61</v>
      </c>
      <c r="D321" s="168" t="s">
        <v>44</v>
      </c>
      <c r="E321" s="38">
        <v>0</v>
      </c>
      <c r="F321" s="39">
        <v>0</v>
      </c>
      <c r="G321" s="40">
        <v>0</v>
      </c>
      <c r="H321" s="41">
        <v>0</v>
      </c>
      <c r="I321" s="42">
        <f t="shared" si="72"/>
        <v>0</v>
      </c>
      <c r="J321" s="103" t="str">
        <f t="shared" si="73"/>
        <v/>
      </c>
      <c r="K321" s="104" t="str">
        <f t="shared" si="73"/>
        <v/>
      </c>
      <c r="L321" s="105" t="str">
        <f t="shared" si="73"/>
        <v/>
      </c>
      <c r="M321" s="106" t="str">
        <f t="shared" si="60"/>
        <v/>
      </c>
    </row>
    <row r="322" spans="1:14" s="3" customFormat="1" ht="30" customHeight="1" x14ac:dyDescent="0.25">
      <c r="A322" s="14" t="s">
        <v>17</v>
      </c>
      <c r="B322" s="16" t="s">
        <v>42</v>
      </c>
      <c r="C322" s="25" t="s">
        <v>61</v>
      </c>
      <c r="D322" s="168" t="s">
        <v>45</v>
      </c>
      <c r="E322" s="38">
        <v>0</v>
      </c>
      <c r="F322" s="39">
        <v>0</v>
      </c>
      <c r="G322" s="40">
        <v>0</v>
      </c>
      <c r="H322" s="41">
        <v>0</v>
      </c>
      <c r="I322" s="42">
        <f t="shared" si="72"/>
        <v>0</v>
      </c>
      <c r="J322" s="103" t="str">
        <f t="shared" si="73"/>
        <v/>
      </c>
      <c r="K322" s="104" t="str">
        <f t="shared" si="73"/>
        <v/>
      </c>
      <c r="L322" s="105" t="str">
        <f t="shared" si="73"/>
        <v/>
      </c>
      <c r="M322" s="106" t="str">
        <f t="shared" si="60"/>
        <v/>
      </c>
    </row>
    <row r="323" spans="1:14" s="3" customFormat="1" ht="30" customHeight="1" x14ac:dyDescent="0.25">
      <c r="A323" s="14" t="s">
        <v>17</v>
      </c>
      <c r="B323" s="16" t="s">
        <v>42</v>
      </c>
      <c r="C323" s="25" t="s">
        <v>61</v>
      </c>
      <c r="D323" s="168" t="s">
        <v>46</v>
      </c>
      <c r="E323" s="38">
        <v>0</v>
      </c>
      <c r="F323" s="39">
        <v>0</v>
      </c>
      <c r="G323" s="40">
        <v>0</v>
      </c>
      <c r="H323" s="41">
        <v>0</v>
      </c>
      <c r="I323" s="42">
        <f t="shared" si="72"/>
        <v>0</v>
      </c>
      <c r="J323" s="103" t="str">
        <f t="shared" si="73"/>
        <v/>
      </c>
      <c r="K323" s="104" t="str">
        <f t="shared" si="73"/>
        <v/>
      </c>
      <c r="L323" s="105" t="str">
        <f t="shared" si="73"/>
        <v/>
      </c>
      <c r="M323" s="106" t="str">
        <f t="shared" si="60"/>
        <v/>
      </c>
    </row>
    <row r="324" spans="1:14" s="3" customFormat="1" ht="30" customHeight="1" x14ac:dyDescent="0.25">
      <c r="A324" s="14" t="s">
        <v>17</v>
      </c>
      <c r="B324" s="16" t="s">
        <v>42</v>
      </c>
      <c r="C324" s="25" t="s">
        <v>61</v>
      </c>
      <c r="D324" s="168" t="s">
        <v>51</v>
      </c>
      <c r="E324" s="38">
        <v>0</v>
      </c>
      <c r="F324" s="39">
        <v>0</v>
      </c>
      <c r="G324" s="40">
        <v>0</v>
      </c>
      <c r="H324" s="41">
        <v>0</v>
      </c>
      <c r="I324" s="42">
        <f t="shared" si="72"/>
        <v>0</v>
      </c>
      <c r="J324" s="103" t="str">
        <f t="shared" si="73"/>
        <v/>
      </c>
      <c r="K324" s="104" t="str">
        <f t="shared" si="73"/>
        <v/>
      </c>
      <c r="L324" s="105" t="str">
        <f t="shared" si="73"/>
        <v/>
      </c>
      <c r="M324" s="106" t="str">
        <f t="shared" si="60"/>
        <v/>
      </c>
    </row>
    <row r="325" spans="1:14" s="3" customFormat="1" ht="30" customHeight="1" x14ac:dyDescent="0.25">
      <c r="A325" s="14" t="s">
        <v>17</v>
      </c>
      <c r="B325" s="16" t="s">
        <v>42</v>
      </c>
      <c r="C325" s="25" t="s">
        <v>61</v>
      </c>
      <c r="D325" s="168" t="s">
        <v>52</v>
      </c>
      <c r="E325" s="38">
        <v>0</v>
      </c>
      <c r="F325" s="39">
        <v>0</v>
      </c>
      <c r="G325" s="40">
        <v>0</v>
      </c>
      <c r="H325" s="41">
        <v>0</v>
      </c>
      <c r="I325" s="42">
        <f t="shared" si="72"/>
        <v>0</v>
      </c>
      <c r="J325" s="103" t="str">
        <f t="shared" si="73"/>
        <v/>
      </c>
      <c r="K325" s="104" t="str">
        <f t="shared" si="73"/>
        <v/>
      </c>
      <c r="L325" s="105" t="str">
        <f t="shared" si="73"/>
        <v/>
      </c>
      <c r="M325" s="106" t="str">
        <f t="shared" si="60"/>
        <v/>
      </c>
    </row>
    <row r="326" spans="1:14" s="3" customFormat="1" ht="30" customHeight="1" x14ac:dyDescent="0.25">
      <c r="A326" s="14" t="s">
        <v>17</v>
      </c>
      <c r="B326" s="16" t="s">
        <v>42</v>
      </c>
      <c r="C326" s="25" t="s">
        <v>61</v>
      </c>
      <c r="D326" s="168" t="s">
        <v>47</v>
      </c>
      <c r="E326" s="38">
        <v>0</v>
      </c>
      <c r="F326" s="39">
        <v>0</v>
      </c>
      <c r="G326" s="40">
        <v>0</v>
      </c>
      <c r="H326" s="41">
        <v>0</v>
      </c>
      <c r="I326" s="42">
        <f t="shared" si="72"/>
        <v>0</v>
      </c>
      <c r="J326" s="103" t="str">
        <f t="shared" si="73"/>
        <v/>
      </c>
      <c r="K326" s="104" t="str">
        <f t="shared" si="73"/>
        <v/>
      </c>
      <c r="L326" s="105" t="str">
        <f t="shared" si="73"/>
        <v/>
      </c>
      <c r="M326" s="106" t="str">
        <f t="shared" si="60"/>
        <v/>
      </c>
    </row>
    <row r="327" spans="1:14" s="3" customFormat="1" ht="30" customHeight="1" x14ac:dyDescent="0.25">
      <c r="A327" s="14" t="s">
        <v>17</v>
      </c>
      <c r="B327" s="16" t="s">
        <v>42</v>
      </c>
      <c r="C327" s="25" t="s">
        <v>61</v>
      </c>
      <c r="D327" s="168" t="s">
        <v>48</v>
      </c>
      <c r="E327" s="38">
        <v>0</v>
      </c>
      <c r="F327" s="39">
        <v>0</v>
      </c>
      <c r="G327" s="40">
        <v>0</v>
      </c>
      <c r="H327" s="41">
        <v>0</v>
      </c>
      <c r="I327" s="42">
        <f t="shared" si="72"/>
        <v>0</v>
      </c>
      <c r="J327" s="103" t="str">
        <f t="shared" si="73"/>
        <v/>
      </c>
      <c r="K327" s="104" t="str">
        <f t="shared" si="73"/>
        <v/>
      </c>
      <c r="L327" s="105" t="str">
        <f t="shared" si="73"/>
        <v/>
      </c>
      <c r="M327" s="106" t="str">
        <f t="shared" si="60"/>
        <v/>
      </c>
    </row>
    <row r="328" spans="1:14" s="3" customFormat="1" ht="30" customHeight="1" x14ac:dyDescent="0.25">
      <c r="A328" s="14" t="s">
        <v>17</v>
      </c>
      <c r="B328" s="16" t="s">
        <v>42</v>
      </c>
      <c r="C328" s="25" t="s">
        <v>61</v>
      </c>
      <c r="D328" s="168" t="s">
        <v>49</v>
      </c>
      <c r="E328" s="38">
        <v>0</v>
      </c>
      <c r="F328" s="39">
        <v>0</v>
      </c>
      <c r="G328" s="40">
        <v>0</v>
      </c>
      <c r="H328" s="41">
        <v>0</v>
      </c>
      <c r="I328" s="42">
        <f t="shared" si="72"/>
        <v>0</v>
      </c>
      <c r="J328" s="103" t="str">
        <f t="shared" si="73"/>
        <v/>
      </c>
      <c r="K328" s="104" t="str">
        <f t="shared" si="73"/>
        <v/>
      </c>
      <c r="L328" s="105" t="str">
        <f t="shared" si="73"/>
        <v/>
      </c>
      <c r="M328" s="106" t="str">
        <f t="shared" si="60"/>
        <v/>
      </c>
    </row>
    <row r="329" spans="1:14" s="3" customFormat="1" ht="30" customHeight="1" x14ac:dyDescent="0.25">
      <c r="A329" s="14" t="s">
        <v>17</v>
      </c>
      <c r="B329" s="16" t="s">
        <v>42</v>
      </c>
      <c r="C329" s="25" t="s">
        <v>61</v>
      </c>
      <c r="D329" s="168" t="s">
        <v>50</v>
      </c>
      <c r="E329" s="38">
        <v>0</v>
      </c>
      <c r="F329" s="39">
        <v>0</v>
      </c>
      <c r="G329" s="40">
        <v>0</v>
      </c>
      <c r="H329" s="41">
        <v>0</v>
      </c>
      <c r="I329" s="42">
        <f t="shared" si="72"/>
        <v>0</v>
      </c>
      <c r="J329" s="103" t="str">
        <f t="shared" si="73"/>
        <v/>
      </c>
      <c r="K329" s="104" t="str">
        <f t="shared" si="73"/>
        <v/>
      </c>
      <c r="L329" s="105" t="str">
        <f t="shared" si="73"/>
        <v/>
      </c>
      <c r="M329" s="106" t="str">
        <f t="shared" si="60"/>
        <v/>
      </c>
    </row>
    <row r="330" spans="1:14" s="8" customFormat="1" ht="30" customHeight="1" x14ac:dyDescent="0.25">
      <c r="A330" s="14" t="s">
        <v>17</v>
      </c>
      <c r="B330" s="16" t="s">
        <v>42</v>
      </c>
      <c r="C330" s="25"/>
      <c r="D330" s="9" t="s">
        <v>29</v>
      </c>
      <c r="E330" s="38">
        <f>SUM(E320:E329)</f>
        <v>0</v>
      </c>
      <c r="F330" s="39">
        <f t="shared" ref="F330:I330" si="74">SUM(F320:F329)</f>
        <v>0</v>
      </c>
      <c r="G330" s="40">
        <f t="shared" si="74"/>
        <v>0</v>
      </c>
      <c r="H330" s="41">
        <f t="shared" si="74"/>
        <v>0</v>
      </c>
      <c r="I330" s="43">
        <f t="shared" si="74"/>
        <v>0</v>
      </c>
      <c r="J330" s="103" t="str">
        <f>IFERROR(E330/SUM($E330:$H330)*100,"")</f>
        <v/>
      </c>
      <c r="K330" s="104" t="str">
        <f>IFERROR(F330/SUM($E330:$H330)*100,"")</f>
        <v/>
      </c>
      <c r="L330" s="105" t="str">
        <f>IFERROR(G330/SUM($E330:$H330)*100,"")</f>
        <v/>
      </c>
      <c r="M330" s="106" t="str">
        <f t="shared" si="60"/>
        <v/>
      </c>
      <c r="N330" s="5" t="s">
        <v>1671</v>
      </c>
    </row>
    <row r="331" spans="1:14" ht="5.0999999999999996" customHeight="1" x14ac:dyDescent="0.25">
      <c r="A331" s="14" t="s">
        <v>17</v>
      </c>
      <c r="B331" s="16" t="s">
        <v>42</v>
      </c>
      <c r="C331"/>
      <c r="D331" s="57"/>
      <c r="E331" s="59"/>
      <c r="F331" s="59"/>
      <c r="G331" s="59"/>
      <c r="H331" s="59"/>
      <c r="I331" s="59"/>
      <c r="J331" s="103"/>
      <c r="K331" s="104"/>
      <c r="L331" s="105"/>
      <c r="M331" s="106" t="str">
        <f t="shared" si="60"/>
        <v/>
      </c>
    </row>
    <row r="332" spans="1:14" s="7" customFormat="1" ht="20.100000000000001" customHeight="1" x14ac:dyDescent="0.25">
      <c r="A332" s="14" t="s">
        <v>17</v>
      </c>
      <c r="B332" s="16" t="s">
        <v>62</v>
      </c>
      <c r="C332" s="25" t="s">
        <v>60</v>
      </c>
      <c r="D332" s="62" t="s">
        <v>63</v>
      </c>
      <c r="E332" s="63"/>
      <c r="F332" s="63"/>
      <c r="G332" s="63"/>
      <c r="H332" s="63"/>
      <c r="I332" s="64"/>
      <c r="J332" s="103"/>
      <c r="K332" s="104"/>
      <c r="L332" s="105"/>
      <c r="M332" s="106" t="str">
        <f t="shared" si="60"/>
        <v/>
      </c>
      <c r="N332" s="5" t="s">
        <v>1673</v>
      </c>
    </row>
    <row r="333" spans="1:14" s="8" customFormat="1" ht="30" customHeight="1" x14ac:dyDescent="0.25">
      <c r="A333" s="14" t="s">
        <v>17</v>
      </c>
      <c r="B333" s="16" t="s">
        <v>62</v>
      </c>
      <c r="C333" s="25"/>
      <c r="D333" s="168" t="s">
        <v>29</v>
      </c>
      <c r="E333" s="38">
        <f>SUM(E283,E272,E291,E330,E286,E294,E303,E309,E317,E306)</f>
        <v>0</v>
      </c>
      <c r="F333" s="39">
        <f>SUM(F283,F272,F291,F330,F286,F294,F303,F309,F317,F306)</f>
        <v>0</v>
      </c>
      <c r="G333" s="40">
        <f>SUM(G283,G272,G291,G330,G286,G294,G303,G309,G317,G306)</f>
        <v>0</v>
      </c>
      <c r="H333" s="41">
        <f>SUM(H283,H272,H291,H330,H286,H294,H303,H309,H317,H306)</f>
        <v>0</v>
      </c>
      <c r="I333" s="42">
        <f>SUM(I283,I272,I291,I330,I286,I294,I303,I309,I317,I306)</f>
        <v>0</v>
      </c>
      <c r="J333" s="103" t="str">
        <f>IFERROR(E333/SUM($E333:$H333)*100,"")</f>
        <v/>
      </c>
      <c r="K333" s="104" t="str">
        <f>IFERROR(F333/SUM($E333:$H333)*100,"")</f>
        <v/>
      </c>
      <c r="L333" s="105" t="str">
        <f>IFERROR(G333/SUM($E333:$H333)*100,"")</f>
        <v/>
      </c>
      <c r="M333" s="106" t="str">
        <f t="shared" ref="M333:M396" si="75">IFERROR(H333/$I333*100,"")</f>
        <v/>
      </c>
      <c r="N333" s="5" t="s">
        <v>1671</v>
      </c>
    </row>
    <row r="334" spans="1:14" s="5" customFormat="1" ht="20.100000000000001" customHeight="1" x14ac:dyDescent="0.25">
      <c r="A334" s="14" t="s">
        <v>17</v>
      </c>
      <c r="B334" s="14"/>
      <c r="C334" s="25" t="s">
        <v>60</v>
      </c>
      <c r="D334" s="58"/>
      <c r="E334" s="60"/>
      <c r="F334" s="60"/>
      <c r="G334" s="60"/>
      <c r="H334" s="60"/>
      <c r="I334" s="60"/>
      <c r="J334" s="103"/>
      <c r="K334" s="104"/>
      <c r="L334" s="105"/>
      <c r="M334" s="106" t="str">
        <f t="shared" si="75"/>
        <v/>
      </c>
    </row>
    <row r="335" spans="1:14" s="5" customFormat="1" ht="20.100000000000001" customHeight="1" x14ac:dyDescent="0.25">
      <c r="A335" s="14" t="s">
        <v>8</v>
      </c>
      <c r="B335" s="14"/>
      <c r="C335" s="23"/>
      <c r="D335" s="20" t="str">
        <f>IFERROR(A335&amp;"   ("&amp;COUNTIFS(#REF!,"="&amp;A335)&amp;")",A335)</f>
        <v>DOA</v>
      </c>
      <c r="E335" s="35"/>
      <c r="F335" s="35"/>
      <c r="G335" s="35"/>
      <c r="H335" s="35"/>
      <c r="I335" s="36"/>
      <c r="J335" s="103"/>
      <c r="K335" s="104"/>
      <c r="L335" s="105"/>
      <c r="M335" s="106" t="str">
        <f t="shared" si="75"/>
        <v/>
      </c>
      <c r="N335" s="5" t="s">
        <v>1672</v>
      </c>
    </row>
    <row r="336" spans="1:14" s="5" customFormat="1" ht="20.100000000000001" customHeight="1" x14ac:dyDescent="0.25">
      <c r="A336" s="14" t="s">
        <v>8</v>
      </c>
      <c r="B336" s="16" t="s">
        <v>20</v>
      </c>
      <c r="C336" s="25" t="s">
        <v>60</v>
      </c>
      <c r="D336" s="6" t="s">
        <v>20</v>
      </c>
      <c r="E336" s="37"/>
      <c r="F336" s="37"/>
      <c r="G336" s="37"/>
      <c r="H336" s="37"/>
      <c r="I336" s="48"/>
      <c r="J336" s="103"/>
      <c r="K336" s="104"/>
      <c r="L336" s="105"/>
      <c r="M336" s="106" t="str">
        <f t="shared" si="75"/>
        <v/>
      </c>
      <c r="N336" s="5" t="s">
        <v>1673</v>
      </c>
    </row>
    <row r="337" spans="1:14" s="3" customFormat="1" ht="30" customHeight="1" x14ac:dyDescent="0.25">
      <c r="A337" s="14" t="s">
        <v>8</v>
      </c>
      <c r="B337" s="16" t="s">
        <v>20</v>
      </c>
      <c r="C337" s="25" t="s">
        <v>61</v>
      </c>
      <c r="D337" s="168" t="s">
        <v>25</v>
      </c>
      <c r="E337" s="38">
        <v>0</v>
      </c>
      <c r="F337" s="39">
        <v>0</v>
      </c>
      <c r="G337" s="40">
        <v>0</v>
      </c>
      <c r="H337" s="41">
        <v>0</v>
      </c>
      <c r="I337" s="42">
        <f>SUM(E337:H337)</f>
        <v>0</v>
      </c>
      <c r="J337" s="103" t="str">
        <f>IFERROR(E337/$I337*100,"")</f>
        <v/>
      </c>
      <c r="K337" s="104" t="str">
        <f>IFERROR(F337/$I337*100,"")</f>
        <v/>
      </c>
      <c r="L337" s="105" t="str">
        <f>IFERROR(G337/$I337*100,"")</f>
        <v/>
      </c>
      <c r="M337" s="106" t="str">
        <f t="shared" si="75"/>
        <v/>
      </c>
      <c r="N337" s="5" t="s">
        <v>1671</v>
      </c>
    </row>
    <row r="338" spans="1:14" ht="5.0999999999999996" customHeight="1" x14ac:dyDescent="0.25">
      <c r="A338" s="14" t="s">
        <v>8</v>
      </c>
      <c r="B338" s="16" t="s">
        <v>20</v>
      </c>
      <c r="C338"/>
      <c r="D338" s="57"/>
      <c r="E338" s="59"/>
      <c r="F338" s="59"/>
      <c r="G338" s="59"/>
      <c r="H338" s="59"/>
      <c r="I338" s="59"/>
      <c r="J338" s="103"/>
      <c r="K338" s="104"/>
      <c r="L338" s="105"/>
      <c r="M338" s="106" t="str">
        <f t="shared" si="75"/>
        <v/>
      </c>
    </row>
    <row r="339" spans="1:14" s="5" customFormat="1" ht="20.100000000000001" customHeight="1" x14ac:dyDescent="0.25">
      <c r="A339" s="14" t="s">
        <v>8</v>
      </c>
      <c r="B339" s="16" t="s">
        <v>26</v>
      </c>
      <c r="C339" s="25" t="s">
        <v>60</v>
      </c>
      <c r="D339" s="6" t="s">
        <v>98</v>
      </c>
      <c r="E339" s="37"/>
      <c r="F339" s="37"/>
      <c r="G339" s="37"/>
      <c r="H339" s="37"/>
      <c r="I339" s="47"/>
      <c r="J339" s="103"/>
      <c r="K339" s="104"/>
      <c r="L339" s="105"/>
      <c r="M339" s="106" t="str">
        <f t="shared" si="75"/>
        <v/>
      </c>
      <c r="N339" s="5" t="s">
        <v>1673</v>
      </c>
    </row>
    <row r="340" spans="1:14" s="3" customFormat="1" ht="30" customHeight="1" x14ac:dyDescent="0.25">
      <c r="A340" s="14" t="s">
        <v>8</v>
      </c>
      <c r="B340" s="16" t="s">
        <v>26</v>
      </c>
      <c r="C340" s="25" t="s">
        <v>61</v>
      </c>
      <c r="D340" s="169" t="s">
        <v>21</v>
      </c>
      <c r="E340" s="38">
        <v>0</v>
      </c>
      <c r="F340" s="39">
        <v>0</v>
      </c>
      <c r="G340" s="40">
        <v>0</v>
      </c>
      <c r="H340" s="41">
        <v>0</v>
      </c>
      <c r="I340" s="42">
        <f t="shared" ref="I340:I347" si="76">SUM(E340:H340)</f>
        <v>0</v>
      </c>
      <c r="J340" s="103" t="str">
        <f t="shared" ref="J340:L347" si="77">IFERROR(E340/$I340*100,"")</f>
        <v/>
      </c>
      <c r="K340" s="104" t="str">
        <f t="shared" si="77"/>
        <v/>
      </c>
      <c r="L340" s="105" t="str">
        <f t="shared" si="77"/>
        <v/>
      </c>
      <c r="M340" s="106" t="str">
        <f t="shared" si="75"/>
        <v/>
      </c>
      <c r="N340" s="5"/>
    </row>
    <row r="341" spans="1:14" s="3" customFormat="1" ht="30" customHeight="1" x14ac:dyDescent="0.25">
      <c r="A341" s="14" t="s">
        <v>8</v>
      </c>
      <c r="B341" s="16" t="s">
        <v>26</v>
      </c>
      <c r="C341" s="25" t="s">
        <v>61</v>
      </c>
      <c r="D341" s="169" t="s">
        <v>22</v>
      </c>
      <c r="E341" s="38">
        <v>0</v>
      </c>
      <c r="F341" s="39">
        <v>0</v>
      </c>
      <c r="G341" s="40">
        <v>0</v>
      </c>
      <c r="H341" s="41">
        <v>0</v>
      </c>
      <c r="I341" s="42">
        <f t="shared" si="76"/>
        <v>0</v>
      </c>
      <c r="J341" s="103" t="str">
        <f t="shared" si="77"/>
        <v/>
      </c>
      <c r="K341" s="104" t="str">
        <f t="shared" si="77"/>
        <v/>
      </c>
      <c r="L341" s="105" t="str">
        <f t="shared" si="77"/>
        <v/>
      </c>
      <c r="M341" s="106" t="str">
        <f t="shared" si="75"/>
        <v/>
      </c>
      <c r="N341" s="5"/>
    </row>
    <row r="342" spans="1:14" s="3" customFormat="1" ht="30" customHeight="1" x14ac:dyDescent="0.25">
      <c r="A342" s="14" t="s">
        <v>8</v>
      </c>
      <c r="B342" s="16" t="s">
        <v>26</v>
      </c>
      <c r="C342" s="25" t="s">
        <v>61</v>
      </c>
      <c r="D342" s="169" t="s">
        <v>27</v>
      </c>
      <c r="E342" s="38">
        <v>0</v>
      </c>
      <c r="F342" s="39">
        <v>0</v>
      </c>
      <c r="G342" s="40">
        <v>0</v>
      </c>
      <c r="H342" s="41">
        <v>0</v>
      </c>
      <c r="I342" s="42">
        <f t="shared" si="76"/>
        <v>0</v>
      </c>
      <c r="J342" s="103" t="str">
        <f t="shared" si="77"/>
        <v/>
      </c>
      <c r="K342" s="104" t="str">
        <f t="shared" si="77"/>
        <v/>
      </c>
      <c r="L342" s="105" t="str">
        <f t="shared" si="77"/>
        <v/>
      </c>
      <c r="M342" s="106" t="str">
        <f t="shared" si="75"/>
        <v/>
      </c>
      <c r="N342" s="5"/>
    </row>
    <row r="343" spans="1:14" s="3" customFormat="1" ht="30" customHeight="1" x14ac:dyDescent="0.25">
      <c r="A343" s="14" t="s">
        <v>8</v>
      </c>
      <c r="B343" s="16" t="s">
        <v>26</v>
      </c>
      <c r="C343" s="25" t="s">
        <v>61</v>
      </c>
      <c r="D343" s="169" t="s">
        <v>23</v>
      </c>
      <c r="E343" s="38">
        <v>0</v>
      </c>
      <c r="F343" s="39">
        <v>0</v>
      </c>
      <c r="G343" s="40">
        <v>0</v>
      </c>
      <c r="H343" s="41">
        <v>0</v>
      </c>
      <c r="I343" s="42">
        <f t="shared" si="76"/>
        <v>0</v>
      </c>
      <c r="J343" s="103" t="str">
        <f t="shared" si="77"/>
        <v/>
      </c>
      <c r="K343" s="104" t="str">
        <f t="shared" si="77"/>
        <v/>
      </c>
      <c r="L343" s="105" t="str">
        <f t="shared" si="77"/>
        <v/>
      </c>
      <c r="M343" s="106" t="str">
        <f t="shared" si="75"/>
        <v/>
      </c>
      <c r="N343" s="5"/>
    </row>
    <row r="344" spans="1:14" s="3" customFormat="1" ht="30" customHeight="1" x14ac:dyDescent="0.25">
      <c r="A344" s="14" t="s">
        <v>8</v>
      </c>
      <c r="B344" s="16" t="s">
        <v>26</v>
      </c>
      <c r="C344" s="25" t="s">
        <v>61</v>
      </c>
      <c r="D344" s="169" t="s">
        <v>24</v>
      </c>
      <c r="E344" s="38">
        <v>0</v>
      </c>
      <c r="F344" s="39">
        <v>0</v>
      </c>
      <c r="G344" s="40">
        <v>0</v>
      </c>
      <c r="H344" s="41">
        <v>0</v>
      </c>
      <c r="I344" s="42">
        <f t="shared" si="76"/>
        <v>0</v>
      </c>
      <c r="J344" s="103" t="str">
        <f t="shared" si="77"/>
        <v/>
      </c>
      <c r="K344" s="104" t="str">
        <f t="shared" si="77"/>
        <v/>
      </c>
      <c r="L344" s="105" t="str">
        <f t="shared" si="77"/>
        <v/>
      </c>
      <c r="M344" s="106" t="str">
        <f t="shared" si="75"/>
        <v/>
      </c>
      <c r="N344" s="5"/>
    </row>
    <row r="345" spans="1:14" s="3" customFormat="1" ht="30" customHeight="1" x14ac:dyDescent="0.25">
      <c r="A345" s="14" t="s">
        <v>8</v>
      </c>
      <c r="B345" s="16" t="s">
        <v>26</v>
      </c>
      <c r="C345" s="25" t="s">
        <v>61</v>
      </c>
      <c r="D345" s="169" t="s">
        <v>41</v>
      </c>
      <c r="E345" s="38">
        <v>0</v>
      </c>
      <c r="F345" s="39">
        <v>0</v>
      </c>
      <c r="G345" s="40">
        <v>0</v>
      </c>
      <c r="H345" s="41">
        <v>0</v>
      </c>
      <c r="I345" s="42">
        <f t="shared" si="76"/>
        <v>0</v>
      </c>
      <c r="J345" s="103" t="str">
        <f t="shared" si="77"/>
        <v/>
      </c>
      <c r="K345" s="104" t="str">
        <f t="shared" si="77"/>
        <v/>
      </c>
      <c r="L345" s="105" t="str">
        <f t="shared" si="77"/>
        <v/>
      </c>
      <c r="M345" s="106" t="str">
        <f t="shared" si="75"/>
        <v/>
      </c>
    </row>
    <row r="346" spans="1:14" s="3" customFormat="1" ht="30" customHeight="1" x14ac:dyDescent="0.25">
      <c r="A346" s="14" t="s">
        <v>8</v>
      </c>
      <c r="B346" s="16" t="s">
        <v>26</v>
      </c>
      <c r="C346" s="25" t="s">
        <v>61</v>
      </c>
      <c r="D346" s="169" t="s">
        <v>28</v>
      </c>
      <c r="E346" s="38">
        <v>0</v>
      </c>
      <c r="F346" s="39">
        <v>0</v>
      </c>
      <c r="G346" s="40">
        <v>0</v>
      </c>
      <c r="H346" s="41">
        <v>0</v>
      </c>
      <c r="I346" s="42">
        <f t="shared" si="76"/>
        <v>0</v>
      </c>
      <c r="J346" s="103" t="str">
        <f t="shared" si="77"/>
        <v/>
      </c>
      <c r="K346" s="104" t="str">
        <f t="shared" si="77"/>
        <v/>
      </c>
      <c r="L346" s="105" t="str">
        <f t="shared" si="77"/>
        <v/>
      </c>
      <c r="M346" s="106" t="str">
        <f t="shared" si="75"/>
        <v/>
      </c>
      <c r="N346" s="5"/>
    </row>
    <row r="347" spans="1:14" s="3" customFormat="1" ht="30" customHeight="1" x14ac:dyDescent="0.25">
      <c r="A347" s="14" t="s">
        <v>8</v>
      </c>
      <c r="B347" s="16" t="s">
        <v>26</v>
      </c>
      <c r="C347" s="25" t="s">
        <v>61</v>
      </c>
      <c r="D347" s="169" t="s">
        <v>40</v>
      </c>
      <c r="E347" s="38">
        <v>0</v>
      </c>
      <c r="F347" s="39">
        <v>0</v>
      </c>
      <c r="G347" s="40">
        <v>0</v>
      </c>
      <c r="H347" s="41">
        <v>0</v>
      </c>
      <c r="I347" s="42">
        <f t="shared" si="76"/>
        <v>0</v>
      </c>
      <c r="J347" s="103" t="str">
        <f t="shared" si="77"/>
        <v/>
      </c>
      <c r="K347" s="104" t="str">
        <f t="shared" si="77"/>
        <v/>
      </c>
      <c r="L347" s="105" t="str">
        <f t="shared" si="77"/>
        <v/>
      </c>
      <c r="M347" s="106" t="str">
        <f t="shared" si="75"/>
        <v/>
      </c>
      <c r="N347" s="5"/>
    </row>
    <row r="348" spans="1:14" s="8" customFormat="1" ht="30" customHeight="1" x14ac:dyDescent="0.25">
      <c r="A348" s="14" t="s">
        <v>8</v>
      </c>
      <c r="B348" s="16" t="s">
        <v>26</v>
      </c>
      <c r="C348" s="25"/>
      <c r="D348" s="9" t="s">
        <v>29</v>
      </c>
      <c r="E348" s="38">
        <f>SUM(E340:E347)</f>
        <v>0</v>
      </c>
      <c r="F348" s="39">
        <f t="shared" ref="F348:I348" si="78">SUM(F340:F347)</f>
        <v>0</v>
      </c>
      <c r="G348" s="40">
        <f t="shared" si="78"/>
        <v>0</v>
      </c>
      <c r="H348" s="41">
        <f t="shared" si="78"/>
        <v>0</v>
      </c>
      <c r="I348" s="43">
        <f t="shared" si="78"/>
        <v>0</v>
      </c>
      <c r="J348" s="103" t="str">
        <f>IFERROR(E348/SUM($E348:$H348)*100,"")</f>
        <v/>
      </c>
      <c r="K348" s="104" t="str">
        <f>IFERROR(F348/SUM($E348:$H348)*100,"")</f>
        <v/>
      </c>
      <c r="L348" s="105" t="str">
        <f>IFERROR(G348/SUM($E348:$H348)*100,"")</f>
        <v/>
      </c>
      <c r="M348" s="106" t="str">
        <f t="shared" si="75"/>
        <v/>
      </c>
      <c r="N348" s="5" t="s">
        <v>1671</v>
      </c>
    </row>
    <row r="349" spans="1:14" ht="5.0999999999999996" customHeight="1" x14ac:dyDescent="0.25">
      <c r="A349" s="14" t="s">
        <v>8</v>
      </c>
      <c r="B349" s="16" t="s">
        <v>26</v>
      </c>
      <c r="C349"/>
      <c r="D349" s="57"/>
      <c r="E349" s="59"/>
      <c r="F349" s="59"/>
      <c r="G349" s="59"/>
      <c r="H349" s="59"/>
      <c r="I349" s="59"/>
      <c r="J349" s="103"/>
      <c r="K349" s="104"/>
      <c r="L349" s="105"/>
      <c r="M349" s="106" t="str">
        <f t="shared" si="75"/>
        <v/>
      </c>
    </row>
    <row r="350" spans="1:14" s="5" customFormat="1" ht="20.100000000000001" customHeight="1" x14ac:dyDescent="0.25">
      <c r="A350" s="14" t="s">
        <v>8</v>
      </c>
      <c r="B350" s="16" t="s">
        <v>64</v>
      </c>
      <c r="C350" s="25" t="s">
        <v>60</v>
      </c>
      <c r="D350" s="6" t="s">
        <v>65</v>
      </c>
      <c r="E350" s="37"/>
      <c r="F350" s="37"/>
      <c r="G350" s="37"/>
      <c r="H350" s="37"/>
      <c r="I350" s="48"/>
      <c r="J350" s="103"/>
      <c r="K350" s="104"/>
      <c r="L350" s="105"/>
      <c r="M350" s="106" t="str">
        <f t="shared" si="75"/>
        <v/>
      </c>
      <c r="N350" s="5" t="s">
        <v>1673</v>
      </c>
    </row>
    <row r="351" spans="1:14" s="5" customFormat="1" ht="30" customHeight="1" x14ac:dyDescent="0.25">
      <c r="A351" s="14" t="s">
        <v>8</v>
      </c>
      <c r="B351" s="16" t="s">
        <v>64</v>
      </c>
      <c r="C351" s="25" t="s">
        <v>61</v>
      </c>
      <c r="D351" s="168" t="s">
        <v>66</v>
      </c>
      <c r="E351" s="38">
        <v>0</v>
      </c>
      <c r="F351" s="39">
        <v>0</v>
      </c>
      <c r="G351" s="40">
        <v>0</v>
      </c>
      <c r="H351" s="41">
        <v>0</v>
      </c>
      <c r="I351" s="42">
        <f>SUM(E351:H351)</f>
        <v>0</v>
      </c>
      <c r="J351" s="103" t="str">
        <f>IFERROR(E351/$I351*100,"")</f>
        <v/>
      </c>
      <c r="K351" s="104" t="str">
        <f>IFERROR(F351/$I351*100,"")</f>
        <v/>
      </c>
      <c r="L351" s="105" t="str">
        <f>IFERROR(G351/$I351*100,"")</f>
        <v/>
      </c>
      <c r="M351" s="106" t="str">
        <f t="shared" si="75"/>
        <v/>
      </c>
      <c r="N351" s="5" t="s">
        <v>1671</v>
      </c>
    </row>
    <row r="352" spans="1:14" ht="5.0999999999999996" customHeight="1" x14ac:dyDescent="0.25">
      <c r="A352" s="14" t="s">
        <v>8</v>
      </c>
      <c r="B352" s="16" t="s">
        <v>64</v>
      </c>
      <c r="C352"/>
      <c r="D352" s="57"/>
      <c r="E352" s="59"/>
      <c r="F352" s="59"/>
      <c r="G352" s="59"/>
      <c r="H352" s="59"/>
      <c r="I352" s="59"/>
      <c r="J352" s="103"/>
      <c r="K352" s="104"/>
      <c r="L352" s="105"/>
      <c r="M352" s="106" t="str">
        <f t="shared" si="75"/>
        <v/>
      </c>
    </row>
    <row r="353" spans="1:14" s="5" customFormat="1" ht="20.100000000000001" customHeight="1" x14ac:dyDescent="0.25">
      <c r="A353" s="14" t="s">
        <v>8</v>
      </c>
      <c r="B353" s="16" t="s">
        <v>55</v>
      </c>
      <c r="C353" s="25" t="s">
        <v>60</v>
      </c>
      <c r="D353" s="6" t="s">
        <v>55</v>
      </c>
      <c r="E353" s="37"/>
      <c r="F353" s="37"/>
      <c r="G353" s="37"/>
      <c r="H353" s="37"/>
      <c r="I353" s="48"/>
      <c r="J353" s="103"/>
      <c r="K353" s="104"/>
      <c r="L353" s="105"/>
      <c r="M353" s="106" t="str">
        <f t="shared" si="75"/>
        <v/>
      </c>
      <c r="N353" s="5" t="s">
        <v>1673</v>
      </c>
    </row>
    <row r="354" spans="1:14" s="3" customFormat="1" ht="30" customHeight="1" x14ac:dyDescent="0.25">
      <c r="A354" s="14" t="s">
        <v>8</v>
      </c>
      <c r="B354" s="16" t="s">
        <v>55</v>
      </c>
      <c r="C354" s="25" t="s">
        <v>61</v>
      </c>
      <c r="D354" s="168" t="s">
        <v>56</v>
      </c>
      <c r="E354" s="38">
        <v>0</v>
      </c>
      <c r="F354" s="39">
        <v>0</v>
      </c>
      <c r="G354" s="40">
        <v>0</v>
      </c>
      <c r="H354" s="41">
        <v>0</v>
      </c>
      <c r="I354" s="42">
        <f>SUM(E354:H354)</f>
        <v>0</v>
      </c>
      <c r="J354" s="103" t="str">
        <f t="shared" ref="J354:L356" si="79">IFERROR(E354/$I354*100,"")</f>
        <v/>
      </c>
      <c r="K354" s="104" t="str">
        <f t="shared" si="79"/>
        <v/>
      </c>
      <c r="L354" s="105" t="str">
        <f t="shared" si="79"/>
        <v/>
      </c>
      <c r="M354" s="106" t="str">
        <f t="shared" si="75"/>
        <v/>
      </c>
      <c r="N354" s="5"/>
    </row>
    <row r="355" spans="1:14" s="3" customFormat="1" ht="30" customHeight="1" x14ac:dyDescent="0.25">
      <c r="A355" s="14" t="s">
        <v>8</v>
      </c>
      <c r="B355" s="16" t="s">
        <v>55</v>
      </c>
      <c r="C355" s="25" t="s">
        <v>61</v>
      </c>
      <c r="D355" s="168" t="s">
        <v>57</v>
      </c>
      <c r="E355" s="38">
        <v>0</v>
      </c>
      <c r="F355" s="39">
        <v>0</v>
      </c>
      <c r="G355" s="40">
        <v>0</v>
      </c>
      <c r="H355" s="41">
        <v>0</v>
      </c>
      <c r="I355" s="42">
        <f>SUM(E355:H355)</f>
        <v>0</v>
      </c>
      <c r="J355" s="103" t="str">
        <f t="shared" si="79"/>
        <v/>
      </c>
      <c r="K355" s="104" t="str">
        <f t="shared" si="79"/>
        <v/>
      </c>
      <c r="L355" s="105" t="str">
        <f t="shared" si="79"/>
        <v/>
      </c>
      <c r="M355" s="106" t="str">
        <f t="shared" si="75"/>
        <v/>
      </c>
    </row>
    <row r="356" spans="1:14" s="3" customFormat="1" ht="30" customHeight="1" x14ac:dyDescent="0.25">
      <c r="A356" s="14" t="s">
        <v>8</v>
      </c>
      <c r="B356" s="16" t="s">
        <v>55</v>
      </c>
      <c r="C356" s="25"/>
      <c r="D356" s="168" t="s">
        <v>29</v>
      </c>
      <c r="E356" s="38">
        <f>SUM(E354:E355)</f>
        <v>0</v>
      </c>
      <c r="F356" s="39">
        <f t="shared" ref="F356:I356" si="80">SUM(F354:F355)</f>
        <v>0</v>
      </c>
      <c r="G356" s="40">
        <f t="shared" si="80"/>
        <v>0</v>
      </c>
      <c r="H356" s="41">
        <f t="shared" si="80"/>
        <v>0</v>
      </c>
      <c r="I356" s="42">
        <f t="shared" si="80"/>
        <v>0</v>
      </c>
      <c r="J356" s="103" t="str">
        <f t="shared" si="79"/>
        <v/>
      </c>
      <c r="K356" s="104" t="str">
        <f t="shared" si="79"/>
        <v/>
      </c>
      <c r="L356" s="105" t="str">
        <f t="shared" si="79"/>
        <v/>
      </c>
      <c r="M356" s="106" t="str">
        <f t="shared" si="75"/>
        <v/>
      </c>
      <c r="N356" s="5" t="s">
        <v>1671</v>
      </c>
    </row>
    <row r="357" spans="1:14" ht="5.0999999999999996" customHeight="1" x14ac:dyDescent="0.25">
      <c r="A357" s="14" t="s">
        <v>8</v>
      </c>
      <c r="B357" s="16" t="s">
        <v>55</v>
      </c>
      <c r="C357"/>
      <c r="D357" s="57"/>
      <c r="E357" s="59"/>
      <c r="F357" s="59"/>
      <c r="G357" s="59"/>
      <c r="H357" s="59"/>
      <c r="I357" s="59"/>
      <c r="J357" s="103"/>
      <c r="K357" s="104"/>
      <c r="L357" s="105"/>
      <c r="M357" s="106" t="str">
        <f t="shared" si="75"/>
        <v/>
      </c>
    </row>
    <row r="358" spans="1:14" s="5" customFormat="1" ht="20.100000000000001" customHeight="1" x14ac:dyDescent="0.25">
      <c r="A358" s="14" t="s">
        <v>8</v>
      </c>
      <c r="B358" s="16" t="s">
        <v>74</v>
      </c>
      <c r="C358" s="25" t="s">
        <v>60</v>
      </c>
      <c r="D358" s="6" t="s">
        <v>75</v>
      </c>
      <c r="E358" s="37"/>
      <c r="F358" s="37"/>
      <c r="G358" s="37"/>
      <c r="H358" s="37"/>
      <c r="I358" s="48"/>
      <c r="J358" s="103"/>
      <c r="K358" s="104"/>
      <c r="L358" s="105"/>
      <c r="M358" s="106" t="str">
        <f t="shared" si="75"/>
        <v/>
      </c>
      <c r="N358" s="5" t="s">
        <v>1673</v>
      </c>
    </row>
    <row r="359" spans="1:14" s="3" customFormat="1" ht="30" customHeight="1" x14ac:dyDescent="0.25">
      <c r="A359" s="14" t="s">
        <v>8</v>
      </c>
      <c r="B359" s="16" t="s">
        <v>74</v>
      </c>
      <c r="C359" s="25" t="s">
        <v>61</v>
      </c>
      <c r="D359" s="168" t="s">
        <v>77</v>
      </c>
      <c r="E359" s="38">
        <v>0</v>
      </c>
      <c r="F359" s="39">
        <v>0</v>
      </c>
      <c r="G359" s="40">
        <v>0</v>
      </c>
      <c r="H359" s="41">
        <v>0</v>
      </c>
      <c r="I359" s="42">
        <f>SUM(E359:H359)</f>
        <v>0</v>
      </c>
      <c r="J359" s="103" t="str">
        <f>IFERROR(E359/$I359*100,"")</f>
        <v/>
      </c>
      <c r="K359" s="104" t="str">
        <f>IFERROR(F359/$I359*100,"")</f>
        <v/>
      </c>
      <c r="L359" s="105" t="str">
        <f>IFERROR(G359/$I359*100,"")</f>
        <v/>
      </c>
      <c r="M359" s="106" t="str">
        <f t="shared" si="75"/>
        <v/>
      </c>
      <c r="N359" s="3" t="s">
        <v>1671</v>
      </c>
    </row>
    <row r="360" spans="1:14" ht="5.0999999999999996" customHeight="1" x14ac:dyDescent="0.25">
      <c r="A360" s="14" t="s">
        <v>8</v>
      </c>
      <c r="B360" s="16" t="s">
        <v>74</v>
      </c>
      <c r="C360"/>
      <c r="D360" s="57"/>
      <c r="E360" s="59"/>
      <c r="F360" s="59"/>
      <c r="G360" s="59"/>
      <c r="H360" s="59"/>
      <c r="I360" s="59"/>
      <c r="J360" s="103"/>
      <c r="K360" s="104"/>
      <c r="L360" s="105"/>
      <c r="M360" s="106" t="str">
        <f t="shared" si="75"/>
        <v/>
      </c>
    </row>
    <row r="361" spans="1:14" s="5" customFormat="1" ht="20.100000000000001" customHeight="1" x14ac:dyDescent="0.25">
      <c r="A361" s="14" t="s">
        <v>8</v>
      </c>
      <c r="B361" s="16" t="s">
        <v>78</v>
      </c>
      <c r="C361" s="25" t="s">
        <v>60</v>
      </c>
      <c r="D361" s="6" t="s">
        <v>80</v>
      </c>
      <c r="E361" s="37"/>
      <c r="F361" s="37"/>
      <c r="G361" s="37"/>
      <c r="H361" s="37"/>
      <c r="I361" s="48"/>
      <c r="J361" s="103"/>
      <c r="K361" s="104"/>
      <c r="L361" s="105"/>
      <c r="M361" s="106" t="str">
        <f t="shared" si="75"/>
        <v/>
      </c>
      <c r="N361" s="5" t="s">
        <v>1673</v>
      </c>
    </row>
    <row r="362" spans="1:14" s="5" customFormat="1" ht="30" customHeight="1" x14ac:dyDescent="0.25">
      <c r="A362" s="14" t="s">
        <v>8</v>
      </c>
      <c r="B362" s="16" t="s">
        <v>78</v>
      </c>
      <c r="C362" s="25" t="s">
        <v>61</v>
      </c>
      <c r="D362" s="168" t="s">
        <v>81</v>
      </c>
      <c r="E362" s="38">
        <v>0</v>
      </c>
      <c r="F362" s="39">
        <v>0</v>
      </c>
      <c r="G362" s="40">
        <v>0</v>
      </c>
      <c r="H362" s="41">
        <v>0</v>
      </c>
      <c r="I362" s="42">
        <f t="shared" ref="I362:I368" si="81">SUM(E362:H362)</f>
        <v>0</v>
      </c>
      <c r="J362" s="103" t="str">
        <f t="shared" ref="J362:L368" si="82">IFERROR(E362/$I362*100,"")</f>
        <v/>
      </c>
      <c r="K362" s="104" t="str">
        <f t="shared" si="82"/>
        <v/>
      </c>
      <c r="L362" s="105" t="str">
        <f t="shared" si="82"/>
        <v/>
      </c>
      <c r="M362" s="106" t="str">
        <f t="shared" si="75"/>
        <v/>
      </c>
    </row>
    <row r="363" spans="1:14" s="5" customFormat="1" ht="30" customHeight="1" x14ac:dyDescent="0.25">
      <c r="A363" s="14" t="s">
        <v>8</v>
      </c>
      <c r="B363" s="16" t="s">
        <v>78</v>
      </c>
      <c r="C363" s="25" t="s">
        <v>61</v>
      </c>
      <c r="D363" s="168" t="s">
        <v>82</v>
      </c>
      <c r="E363" s="38">
        <v>0</v>
      </c>
      <c r="F363" s="39">
        <v>0</v>
      </c>
      <c r="G363" s="40">
        <v>0</v>
      </c>
      <c r="H363" s="41">
        <v>0</v>
      </c>
      <c r="I363" s="42">
        <f t="shared" si="81"/>
        <v>0</v>
      </c>
      <c r="J363" s="103" t="str">
        <f t="shared" si="82"/>
        <v/>
      </c>
      <c r="K363" s="104" t="str">
        <f t="shared" si="82"/>
        <v/>
      </c>
      <c r="L363" s="105" t="str">
        <f t="shared" si="82"/>
        <v/>
      </c>
      <c r="M363" s="106" t="str">
        <f t="shared" si="75"/>
        <v/>
      </c>
    </row>
    <row r="364" spans="1:14" s="5" customFormat="1" ht="30" customHeight="1" x14ac:dyDescent="0.25">
      <c r="A364" s="14" t="s">
        <v>8</v>
      </c>
      <c r="B364" s="16" t="s">
        <v>78</v>
      </c>
      <c r="C364" s="25" t="s">
        <v>61</v>
      </c>
      <c r="D364" s="168" t="s">
        <v>83</v>
      </c>
      <c r="E364" s="38">
        <v>0</v>
      </c>
      <c r="F364" s="39">
        <v>0</v>
      </c>
      <c r="G364" s="40">
        <v>0</v>
      </c>
      <c r="H364" s="41">
        <v>0</v>
      </c>
      <c r="I364" s="42">
        <f t="shared" si="81"/>
        <v>0</v>
      </c>
      <c r="J364" s="103" t="str">
        <f t="shared" si="82"/>
        <v/>
      </c>
      <c r="K364" s="104" t="str">
        <f t="shared" si="82"/>
        <v/>
      </c>
      <c r="L364" s="105" t="str">
        <f t="shared" si="82"/>
        <v/>
      </c>
      <c r="M364" s="106" t="str">
        <f t="shared" si="75"/>
        <v/>
      </c>
    </row>
    <row r="365" spans="1:14" s="5" customFormat="1" ht="30" customHeight="1" x14ac:dyDescent="0.25">
      <c r="A365" s="14" t="s">
        <v>8</v>
      </c>
      <c r="B365" s="16" t="s">
        <v>78</v>
      </c>
      <c r="C365" s="25" t="s">
        <v>61</v>
      </c>
      <c r="D365" s="168" t="s">
        <v>88</v>
      </c>
      <c r="E365" s="38">
        <v>0</v>
      </c>
      <c r="F365" s="39">
        <v>0</v>
      </c>
      <c r="G365" s="40">
        <v>0</v>
      </c>
      <c r="H365" s="41">
        <v>0</v>
      </c>
      <c r="I365" s="42">
        <f t="shared" si="81"/>
        <v>0</v>
      </c>
      <c r="J365" s="103" t="str">
        <f t="shared" si="82"/>
        <v/>
      </c>
      <c r="K365" s="104" t="str">
        <f t="shared" si="82"/>
        <v/>
      </c>
      <c r="L365" s="105" t="str">
        <f t="shared" si="82"/>
        <v/>
      </c>
      <c r="M365" s="106" t="str">
        <f t="shared" si="75"/>
        <v/>
      </c>
    </row>
    <row r="366" spans="1:14" s="5" customFormat="1" ht="30" customHeight="1" x14ac:dyDescent="0.25">
      <c r="A366" s="14" t="s">
        <v>8</v>
      </c>
      <c r="B366" s="16" t="s">
        <v>78</v>
      </c>
      <c r="C366" s="25" t="s">
        <v>61</v>
      </c>
      <c r="D366" s="168" t="s">
        <v>87</v>
      </c>
      <c r="E366" s="38">
        <v>0</v>
      </c>
      <c r="F366" s="39">
        <v>0</v>
      </c>
      <c r="G366" s="40">
        <v>0</v>
      </c>
      <c r="H366" s="41">
        <v>0</v>
      </c>
      <c r="I366" s="42">
        <f t="shared" si="81"/>
        <v>0</v>
      </c>
      <c r="J366" s="103" t="str">
        <f t="shared" si="82"/>
        <v/>
      </c>
      <c r="K366" s="104" t="str">
        <f t="shared" si="82"/>
        <v/>
      </c>
      <c r="L366" s="105" t="str">
        <f t="shared" si="82"/>
        <v/>
      </c>
      <c r="M366" s="106" t="str">
        <f t="shared" si="75"/>
        <v/>
      </c>
    </row>
    <row r="367" spans="1:14" s="5" customFormat="1" ht="30" customHeight="1" x14ac:dyDescent="0.25">
      <c r="A367" s="14" t="s">
        <v>8</v>
      </c>
      <c r="B367" s="16" t="s">
        <v>78</v>
      </c>
      <c r="C367" s="25" t="s">
        <v>61</v>
      </c>
      <c r="D367" s="168" t="s">
        <v>84</v>
      </c>
      <c r="E367" s="38">
        <v>0</v>
      </c>
      <c r="F367" s="39">
        <v>0</v>
      </c>
      <c r="G367" s="40">
        <v>0</v>
      </c>
      <c r="H367" s="41">
        <v>0</v>
      </c>
      <c r="I367" s="42">
        <f t="shared" si="81"/>
        <v>0</v>
      </c>
      <c r="J367" s="103" t="str">
        <f t="shared" si="82"/>
        <v/>
      </c>
      <c r="K367" s="104" t="str">
        <f t="shared" si="82"/>
        <v/>
      </c>
      <c r="L367" s="105" t="str">
        <f t="shared" si="82"/>
        <v/>
      </c>
      <c r="M367" s="106" t="str">
        <f t="shared" si="75"/>
        <v/>
      </c>
    </row>
    <row r="368" spans="1:14" s="5" customFormat="1" ht="30" customHeight="1" x14ac:dyDescent="0.25">
      <c r="A368" s="14" t="s">
        <v>8</v>
      </c>
      <c r="B368" s="16" t="s">
        <v>78</v>
      </c>
      <c r="C368" s="25" t="s">
        <v>86</v>
      </c>
      <c r="D368" s="168" t="s">
        <v>79</v>
      </c>
      <c r="E368" s="38">
        <v>0</v>
      </c>
      <c r="F368" s="39">
        <v>0</v>
      </c>
      <c r="G368" s="40">
        <v>0</v>
      </c>
      <c r="H368" s="41">
        <v>0</v>
      </c>
      <c r="I368" s="42">
        <f t="shared" si="81"/>
        <v>0</v>
      </c>
      <c r="J368" s="103" t="str">
        <f t="shared" si="82"/>
        <v/>
      </c>
      <c r="K368" s="104" t="str">
        <f t="shared" si="82"/>
        <v/>
      </c>
      <c r="L368" s="105" t="str">
        <f t="shared" si="82"/>
        <v/>
      </c>
      <c r="M368" s="106" t="str">
        <f t="shared" si="75"/>
        <v/>
      </c>
      <c r="N368" s="5" t="s">
        <v>1671</v>
      </c>
    </row>
    <row r="369" spans="1:14" ht="5.0999999999999996" customHeight="1" x14ac:dyDescent="0.25">
      <c r="A369" s="14" t="s">
        <v>8</v>
      </c>
      <c r="B369" s="16" t="s">
        <v>78</v>
      </c>
      <c r="C369"/>
      <c r="D369" s="57"/>
      <c r="E369" s="59"/>
      <c r="F369" s="59"/>
      <c r="G369" s="59"/>
      <c r="H369" s="59"/>
      <c r="I369" s="59"/>
      <c r="J369" s="103"/>
      <c r="K369" s="104"/>
      <c r="L369" s="105"/>
      <c r="M369" s="106" t="str">
        <f t="shared" si="75"/>
        <v/>
      </c>
    </row>
    <row r="370" spans="1:14" s="5" customFormat="1" ht="20.100000000000001" customHeight="1" x14ac:dyDescent="0.25">
      <c r="A370" s="14" t="s">
        <v>8</v>
      </c>
      <c r="B370" s="16" t="s">
        <v>1642</v>
      </c>
      <c r="C370" s="25" t="s">
        <v>60</v>
      </c>
      <c r="D370" s="6" t="s">
        <v>1644</v>
      </c>
      <c r="E370" s="37"/>
      <c r="F370" s="37"/>
      <c r="G370" s="37"/>
      <c r="H370" s="37"/>
      <c r="I370" s="48"/>
      <c r="J370" s="103"/>
      <c r="K370" s="104"/>
      <c r="L370" s="105"/>
      <c r="M370" s="106" t="str">
        <f t="shared" si="75"/>
        <v/>
      </c>
      <c r="N370" s="5" t="s">
        <v>1673</v>
      </c>
    </row>
    <row r="371" spans="1:14" s="5" customFormat="1" ht="30" customHeight="1" x14ac:dyDescent="0.25">
      <c r="A371" s="14" t="s">
        <v>8</v>
      </c>
      <c r="B371" s="16" t="s">
        <v>1642</v>
      </c>
      <c r="C371" s="25" t="s">
        <v>61</v>
      </c>
      <c r="D371" s="168" t="s">
        <v>1643</v>
      </c>
      <c r="E371" s="38">
        <v>0</v>
      </c>
      <c r="F371" s="39">
        <v>0</v>
      </c>
      <c r="G371" s="40">
        <v>0</v>
      </c>
      <c r="H371" s="41">
        <v>0</v>
      </c>
      <c r="I371" s="42">
        <f t="shared" ref="I371" si="83">SUM(E371:H371)</f>
        <v>0</v>
      </c>
      <c r="J371" s="103" t="str">
        <f>IFERROR(E371/$I371*100,"")</f>
        <v/>
      </c>
      <c r="K371" s="104" t="str">
        <f>IFERROR(F371/$I371*100,"")</f>
        <v/>
      </c>
      <c r="L371" s="105" t="str">
        <f>IFERROR(G371/$I371*100,"")</f>
        <v/>
      </c>
      <c r="M371" s="106" t="str">
        <f t="shared" si="75"/>
        <v/>
      </c>
      <c r="N371" s="5" t="s">
        <v>1671</v>
      </c>
    </row>
    <row r="372" spans="1:14" ht="5.0999999999999996" customHeight="1" x14ac:dyDescent="0.25">
      <c r="A372" s="14" t="s">
        <v>8</v>
      </c>
      <c r="B372" s="16" t="s">
        <v>1642</v>
      </c>
      <c r="C372"/>
      <c r="D372" s="57"/>
      <c r="E372" s="59"/>
      <c r="F372" s="59"/>
      <c r="G372" s="59"/>
      <c r="H372" s="59"/>
      <c r="I372" s="59"/>
      <c r="J372" s="103"/>
      <c r="K372" s="104"/>
      <c r="L372" s="105"/>
      <c r="M372" s="106" t="str">
        <f t="shared" si="75"/>
        <v/>
      </c>
    </row>
    <row r="373" spans="1:14" s="5" customFormat="1" ht="20.100000000000001" customHeight="1" x14ac:dyDescent="0.25">
      <c r="A373" s="14" t="s">
        <v>8</v>
      </c>
      <c r="B373" s="16" t="s">
        <v>91</v>
      </c>
      <c r="C373" s="25" t="s">
        <v>60</v>
      </c>
      <c r="D373" s="6" t="s">
        <v>89</v>
      </c>
      <c r="E373" s="37"/>
      <c r="F373" s="37"/>
      <c r="G373" s="37"/>
      <c r="H373" s="37"/>
      <c r="I373" s="48"/>
      <c r="J373" s="103"/>
      <c r="K373" s="104"/>
      <c r="L373" s="105"/>
      <c r="M373" s="106" t="str">
        <f t="shared" si="75"/>
        <v/>
      </c>
      <c r="N373" s="5" t="s">
        <v>1673</v>
      </c>
    </row>
    <row r="374" spans="1:14" s="5" customFormat="1" ht="30" customHeight="1" x14ac:dyDescent="0.25">
      <c r="A374" s="14" t="s">
        <v>8</v>
      </c>
      <c r="B374" s="16" t="s">
        <v>91</v>
      </c>
      <c r="C374" s="25" t="s">
        <v>61</v>
      </c>
      <c r="D374" s="168" t="s">
        <v>90</v>
      </c>
      <c r="E374" s="38">
        <v>0</v>
      </c>
      <c r="F374" s="39">
        <v>0</v>
      </c>
      <c r="G374" s="40">
        <v>0</v>
      </c>
      <c r="H374" s="41">
        <v>0</v>
      </c>
      <c r="I374" s="42">
        <f t="shared" ref="I374" si="84">SUM(E374:H374)</f>
        <v>0</v>
      </c>
      <c r="J374" s="103" t="str">
        <f>IFERROR(E374/$I374*100,"")</f>
        <v/>
      </c>
      <c r="K374" s="104" t="str">
        <f>IFERROR(F374/$I374*100,"")</f>
        <v/>
      </c>
      <c r="L374" s="105" t="str">
        <f>IFERROR(G374/$I374*100,"")</f>
        <v/>
      </c>
      <c r="M374" s="106" t="str">
        <f t="shared" si="75"/>
        <v/>
      </c>
      <c r="N374" s="5" t="s">
        <v>1671</v>
      </c>
    </row>
    <row r="375" spans="1:14" ht="5.0999999999999996" customHeight="1" x14ac:dyDescent="0.25">
      <c r="A375" s="14" t="s">
        <v>8</v>
      </c>
      <c r="B375" s="16" t="s">
        <v>91</v>
      </c>
      <c r="C375"/>
      <c r="D375" s="57"/>
      <c r="E375" s="59"/>
      <c r="F375" s="59"/>
      <c r="G375" s="59"/>
      <c r="H375" s="59"/>
      <c r="I375" s="59"/>
      <c r="J375" s="103"/>
      <c r="K375" s="104"/>
      <c r="L375" s="105"/>
      <c r="M375" s="106" t="str">
        <f t="shared" si="75"/>
        <v/>
      </c>
    </row>
    <row r="376" spans="1:14" s="5" customFormat="1" ht="20.100000000000001" customHeight="1" x14ac:dyDescent="0.25">
      <c r="A376" s="14" t="s">
        <v>8</v>
      </c>
      <c r="B376" s="16" t="s">
        <v>1637</v>
      </c>
      <c r="C376" s="25" t="s">
        <v>60</v>
      </c>
      <c r="D376" s="6" t="s">
        <v>1636</v>
      </c>
      <c r="E376" s="37"/>
      <c r="F376" s="37"/>
      <c r="G376" s="37"/>
      <c r="H376" s="37"/>
      <c r="I376" s="48"/>
      <c r="J376" s="103"/>
      <c r="K376" s="104"/>
      <c r="L376" s="105"/>
      <c r="M376" s="106" t="str">
        <f t="shared" si="75"/>
        <v/>
      </c>
      <c r="N376" s="5" t="s">
        <v>1673</v>
      </c>
    </row>
    <row r="377" spans="1:14" s="3" customFormat="1" ht="30" customHeight="1" x14ac:dyDescent="0.25">
      <c r="A377" s="14" t="s">
        <v>8</v>
      </c>
      <c r="B377" s="16" t="s">
        <v>1637</v>
      </c>
      <c r="C377" s="25" t="s">
        <v>61</v>
      </c>
      <c r="D377" s="168" t="s">
        <v>1638</v>
      </c>
      <c r="E377" s="38">
        <v>0</v>
      </c>
      <c r="F377" s="39">
        <v>0</v>
      </c>
      <c r="G377" s="40">
        <v>0</v>
      </c>
      <c r="H377" s="41">
        <v>0</v>
      </c>
      <c r="I377" s="42">
        <f t="shared" ref="I377:I381" si="85">SUM(E377:H377)</f>
        <v>0</v>
      </c>
      <c r="J377" s="103" t="str">
        <f t="shared" ref="J377:L381" si="86">IFERROR(E377/$I377*100,"")</f>
        <v/>
      </c>
      <c r="K377" s="104" t="str">
        <f t="shared" si="86"/>
        <v/>
      </c>
      <c r="L377" s="105" t="str">
        <f t="shared" si="86"/>
        <v/>
      </c>
      <c r="M377" s="106" t="str">
        <f t="shared" si="75"/>
        <v/>
      </c>
    </row>
    <row r="378" spans="1:14" s="3" customFormat="1" ht="30" customHeight="1" x14ac:dyDescent="0.25">
      <c r="A378" s="14" t="s">
        <v>8</v>
      </c>
      <c r="B378" s="16" t="s">
        <v>1637</v>
      </c>
      <c r="C378" s="25" t="s">
        <v>61</v>
      </c>
      <c r="D378" s="168" t="s">
        <v>1669</v>
      </c>
      <c r="E378" s="38">
        <v>0</v>
      </c>
      <c r="F378" s="39">
        <v>0</v>
      </c>
      <c r="G378" s="40">
        <v>0</v>
      </c>
      <c r="H378" s="41">
        <v>0</v>
      </c>
      <c r="I378" s="42">
        <f t="shared" si="85"/>
        <v>0</v>
      </c>
      <c r="J378" s="103" t="str">
        <f t="shared" si="86"/>
        <v/>
      </c>
      <c r="K378" s="104" t="str">
        <f t="shared" si="86"/>
        <v/>
      </c>
      <c r="L378" s="105" t="str">
        <f t="shared" si="86"/>
        <v/>
      </c>
      <c r="M378" s="106" t="str">
        <f t="shared" si="75"/>
        <v/>
      </c>
    </row>
    <row r="379" spans="1:14" s="3" customFormat="1" ht="30" customHeight="1" x14ac:dyDescent="0.25">
      <c r="A379" s="14" t="s">
        <v>8</v>
      </c>
      <c r="B379" s="16" t="s">
        <v>1637</v>
      </c>
      <c r="C379" s="25" t="s">
        <v>61</v>
      </c>
      <c r="D379" s="168" t="s">
        <v>1640</v>
      </c>
      <c r="E379" s="38">
        <v>0</v>
      </c>
      <c r="F379" s="39">
        <v>0</v>
      </c>
      <c r="G379" s="40">
        <v>0</v>
      </c>
      <c r="H379" s="41">
        <v>0</v>
      </c>
      <c r="I379" s="42">
        <f t="shared" si="85"/>
        <v>0</v>
      </c>
      <c r="J379" s="103" t="str">
        <f t="shared" si="86"/>
        <v/>
      </c>
      <c r="K379" s="104" t="str">
        <f t="shared" si="86"/>
        <v/>
      </c>
      <c r="L379" s="105" t="str">
        <f t="shared" si="86"/>
        <v/>
      </c>
      <c r="M379" s="106" t="str">
        <f t="shared" si="75"/>
        <v/>
      </c>
    </row>
    <row r="380" spans="1:14" s="3" customFormat="1" ht="30" customHeight="1" x14ac:dyDescent="0.25">
      <c r="A380" s="14" t="s">
        <v>8</v>
      </c>
      <c r="B380" s="16" t="s">
        <v>1637</v>
      </c>
      <c r="C380" s="25" t="s">
        <v>61</v>
      </c>
      <c r="D380" s="168" t="s">
        <v>1639</v>
      </c>
      <c r="E380" s="38">
        <v>0</v>
      </c>
      <c r="F380" s="39">
        <v>0</v>
      </c>
      <c r="G380" s="40">
        <v>0</v>
      </c>
      <c r="H380" s="41">
        <v>0</v>
      </c>
      <c r="I380" s="42">
        <f t="shared" si="85"/>
        <v>0</v>
      </c>
      <c r="J380" s="103" t="str">
        <f t="shared" si="86"/>
        <v/>
      </c>
      <c r="K380" s="104" t="str">
        <f t="shared" si="86"/>
        <v/>
      </c>
      <c r="L380" s="105" t="str">
        <f t="shared" si="86"/>
        <v/>
      </c>
      <c r="M380" s="106" t="str">
        <f t="shared" si="75"/>
        <v/>
      </c>
    </row>
    <row r="381" spans="1:14" s="3" customFormat="1" ht="30" customHeight="1" x14ac:dyDescent="0.25">
      <c r="A381" s="14" t="s">
        <v>8</v>
      </c>
      <c r="B381" s="16" t="s">
        <v>1637</v>
      </c>
      <c r="C381" s="25" t="s">
        <v>61</v>
      </c>
      <c r="D381" s="168" t="s">
        <v>1641</v>
      </c>
      <c r="E381" s="38">
        <v>0</v>
      </c>
      <c r="F381" s="39">
        <v>0</v>
      </c>
      <c r="G381" s="40">
        <v>0</v>
      </c>
      <c r="H381" s="41">
        <v>0</v>
      </c>
      <c r="I381" s="42">
        <f t="shared" si="85"/>
        <v>0</v>
      </c>
      <c r="J381" s="103" t="str">
        <f t="shared" si="86"/>
        <v/>
      </c>
      <c r="K381" s="104" t="str">
        <f t="shared" si="86"/>
        <v/>
      </c>
      <c r="L381" s="105" t="str">
        <f t="shared" si="86"/>
        <v/>
      </c>
      <c r="M381" s="106" t="str">
        <f t="shared" si="75"/>
        <v/>
      </c>
    </row>
    <row r="382" spans="1:14" s="3" customFormat="1" ht="30" customHeight="1" x14ac:dyDescent="0.25">
      <c r="A382" s="14" t="s">
        <v>8</v>
      </c>
      <c r="B382" s="16" t="s">
        <v>1637</v>
      </c>
      <c r="C382" s="25"/>
      <c r="D382" s="168" t="s">
        <v>29</v>
      </c>
      <c r="E382" s="38">
        <f>SUM(E377:E381)</f>
        <v>0</v>
      </c>
      <c r="F382" s="39">
        <f>SUM(F377:F381)</f>
        <v>0</v>
      </c>
      <c r="G382" s="40">
        <f>SUM(G377:G381)</f>
        <v>0</v>
      </c>
      <c r="H382" s="41">
        <f>SUM(H377:H381)</f>
        <v>0</v>
      </c>
      <c r="I382" s="42">
        <f t="shared" ref="I382" si="87">SUM(E382:H382)</f>
        <v>0</v>
      </c>
      <c r="J382" s="103" t="str">
        <f>IFERROR(E382/SUM($E382:$H382)*100,"")</f>
        <v/>
      </c>
      <c r="K382" s="104" t="str">
        <f>IFERROR(F382/SUM($E382:$H382)*100,"")</f>
        <v/>
      </c>
      <c r="L382" s="105" t="str">
        <f>IFERROR(G382/SUM($E382:$H382)*100,"")</f>
        <v/>
      </c>
      <c r="M382" s="106" t="str">
        <f t="shared" si="75"/>
        <v/>
      </c>
      <c r="N382" s="5" t="s">
        <v>1671</v>
      </c>
    </row>
    <row r="383" spans="1:14" ht="5.0999999999999996" customHeight="1" x14ac:dyDescent="0.25">
      <c r="A383" s="14" t="s">
        <v>8</v>
      </c>
      <c r="B383" s="16" t="s">
        <v>1637</v>
      </c>
      <c r="C383"/>
      <c r="J383" s="103"/>
      <c r="K383" s="104"/>
      <c r="L383" s="105"/>
      <c r="M383" s="106" t="str">
        <f t="shared" si="75"/>
        <v/>
      </c>
    </row>
    <row r="384" spans="1:14" s="5" customFormat="1" ht="20.100000000000001" customHeight="1" x14ac:dyDescent="0.25">
      <c r="A384" s="14" t="s">
        <v>8</v>
      </c>
      <c r="B384" s="16" t="s">
        <v>42</v>
      </c>
      <c r="C384" s="25" t="s">
        <v>60</v>
      </c>
      <c r="D384" s="6" t="s">
        <v>1744</v>
      </c>
      <c r="E384" s="37"/>
      <c r="F384" s="37"/>
      <c r="G384" s="37"/>
      <c r="H384" s="37"/>
      <c r="I384" s="48"/>
      <c r="J384" s="103"/>
      <c r="K384" s="104"/>
      <c r="L384" s="105"/>
      <c r="M384" s="106" t="str">
        <f t="shared" si="75"/>
        <v/>
      </c>
      <c r="N384" s="5" t="s">
        <v>1673</v>
      </c>
    </row>
    <row r="385" spans="1:14" s="3" customFormat="1" ht="30" customHeight="1" x14ac:dyDescent="0.25">
      <c r="A385" s="14" t="s">
        <v>8</v>
      </c>
      <c r="B385" s="16" t="s">
        <v>42</v>
      </c>
      <c r="C385" s="25" t="s">
        <v>61</v>
      </c>
      <c r="D385" s="168" t="s">
        <v>43</v>
      </c>
      <c r="E385" s="38">
        <v>0</v>
      </c>
      <c r="F385" s="39">
        <v>0</v>
      </c>
      <c r="G385" s="40">
        <v>0</v>
      </c>
      <c r="H385" s="41">
        <v>0</v>
      </c>
      <c r="I385" s="42">
        <f t="shared" ref="I385:I394" si="88">SUM(E385:H385)</f>
        <v>0</v>
      </c>
      <c r="J385" s="103" t="str">
        <f t="shared" ref="J385:L394" si="89">IFERROR(E385/$I385*100,"")</f>
        <v/>
      </c>
      <c r="K385" s="104" t="str">
        <f t="shared" si="89"/>
        <v/>
      </c>
      <c r="L385" s="105" t="str">
        <f t="shared" si="89"/>
        <v/>
      </c>
      <c r="M385" s="106" t="str">
        <f t="shared" si="75"/>
        <v/>
      </c>
    </row>
    <row r="386" spans="1:14" s="3" customFormat="1" ht="30" customHeight="1" x14ac:dyDescent="0.25">
      <c r="A386" s="14" t="s">
        <v>8</v>
      </c>
      <c r="B386" s="16" t="s">
        <v>42</v>
      </c>
      <c r="C386" s="25" t="s">
        <v>61</v>
      </c>
      <c r="D386" s="168" t="s">
        <v>44</v>
      </c>
      <c r="E386" s="38">
        <v>0</v>
      </c>
      <c r="F386" s="39">
        <v>0</v>
      </c>
      <c r="G386" s="40">
        <v>0</v>
      </c>
      <c r="H386" s="41">
        <v>0</v>
      </c>
      <c r="I386" s="42">
        <f t="shared" si="88"/>
        <v>0</v>
      </c>
      <c r="J386" s="103" t="str">
        <f t="shared" si="89"/>
        <v/>
      </c>
      <c r="K386" s="104" t="str">
        <f t="shared" si="89"/>
        <v/>
      </c>
      <c r="L386" s="105" t="str">
        <f t="shared" si="89"/>
        <v/>
      </c>
      <c r="M386" s="106" t="str">
        <f t="shared" si="75"/>
        <v/>
      </c>
    </row>
    <row r="387" spans="1:14" s="3" customFormat="1" ht="30" customHeight="1" x14ac:dyDescent="0.25">
      <c r="A387" s="14" t="s">
        <v>8</v>
      </c>
      <c r="B387" s="16" t="s">
        <v>42</v>
      </c>
      <c r="C387" s="25" t="s">
        <v>61</v>
      </c>
      <c r="D387" s="168" t="s">
        <v>45</v>
      </c>
      <c r="E387" s="38">
        <v>0</v>
      </c>
      <c r="F387" s="39">
        <v>0</v>
      </c>
      <c r="G387" s="40">
        <v>0</v>
      </c>
      <c r="H387" s="41">
        <v>0</v>
      </c>
      <c r="I387" s="42">
        <f t="shared" si="88"/>
        <v>0</v>
      </c>
      <c r="J387" s="103" t="str">
        <f t="shared" si="89"/>
        <v/>
      </c>
      <c r="K387" s="104" t="str">
        <f t="shared" si="89"/>
        <v/>
      </c>
      <c r="L387" s="105" t="str">
        <f t="shared" si="89"/>
        <v/>
      </c>
      <c r="M387" s="106" t="str">
        <f t="shared" si="75"/>
        <v/>
      </c>
    </row>
    <row r="388" spans="1:14" s="3" customFormat="1" ht="30" customHeight="1" x14ac:dyDescent="0.25">
      <c r="A388" s="14" t="s">
        <v>8</v>
      </c>
      <c r="B388" s="16" t="s">
        <v>42</v>
      </c>
      <c r="C388" s="25" t="s">
        <v>61</v>
      </c>
      <c r="D388" s="168" t="s">
        <v>46</v>
      </c>
      <c r="E388" s="38">
        <v>0</v>
      </c>
      <c r="F388" s="39">
        <v>0</v>
      </c>
      <c r="G388" s="40">
        <v>0</v>
      </c>
      <c r="H388" s="41">
        <v>0</v>
      </c>
      <c r="I388" s="42">
        <f t="shared" si="88"/>
        <v>0</v>
      </c>
      <c r="J388" s="103" t="str">
        <f t="shared" si="89"/>
        <v/>
      </c>
      <c r="K388" s="104" t="str">
        <f t="shared" si="89"/>
        <v/>
      </c>
      <c r="L388" s="105" t="str">
        <f t="shared" si="89"/>
        <v/>
      </c>
      <c r="M388" s="106" t="str">
        <f t="shared" si="75"/>
        <v/>
      </c>
    </row>
    <row r="389" spans="1:14" s="3" customFormat="1" ht="30" customHeight="1" x14ac:dyDescent="0.25">
      <c r="A389" s="14" t="s">
        <v>8</v>
      </c>
      <c r="B389" s="16" t="s">
        <v>42</v>
      </c>
      <c r="C389" s="25" t="s">
        <v>61</v>
      </c>
      <c r="D389" s="168" t="s">
        <v>51</v>
      </c>
      <c r="E389" s="38">
        <v>0</v>
      </c>
      <c r="F389" s="39">
        <v>0</v>
      </c>
      <c r="G389" s="40">
        <v>0</v>
      </c>
      <c r="H389" s="41">
        <v>0</v>
      </c>
      <c r="I389" s="42">
        <f t="shared" si="88"/>
        <v>0</v>
      </c>
      <c r="J389" s="103" t="str">
        <f t="shared" si="89"/>
        <v/>
      </c>
      <c r="K389" s="104" t="str">
        <f t="shared" si="89"/>
        <v/>
      </c>
      <c r="L389" s="105" t="str">
        <f t="shared" si="89"/>
        <v/>
      </c>
      <c r="M389" s="106" t="str">
        <f t="shared" si="75"/>
        <v/>
      </c>
    </row>
    <row r="390" spans="1:14" s="3" customFormat="1" ht="30" customHeight="1" x14ac:dyDescent="0.25">
      <c r="A390" s="14" t="s">
        <v>8</v>
      </c>
      <c r="B390" s="16" t="s">
        <v>42</v>
      </c>
      <c r="C390" s="25" t="s">
        <v>61</v>
      </c>
      <c r="D390" s="168" t="s">
        <v>52</v>
      </c>
      <c r="E390" s="38">
        <v>0</v>
      </c>
      <c r="F390" s="39">
        <v>0</v>
      </c>
      <c r="G390" s="40">
        <v>0</v>
      </c>
      <c r="H390" s="41">
        <v>0</v>
      </c>
      <c r="I390" s="42">
        <f t="shared" si="88"/>
        <v>0</v>
      </c>
      <c r="J390" s="103" t="str">
        <f t="shared" si="89"/>
        <v/>
      </c>
      <c r="K390" s="104" t="str">
        <f t="shared" si="89"/>
        <v/>
      </c>
      <c r="L390" s="105" t="str">
        <f t="shared" si="89"/>
        <v/>
      </c>
      <c r="M390" s="106" t="str">
        <f t="shared" si="75"/>
        <v/>
      </c>
    </row>
    <row r="391" spans="1:14" s="3" customFormat="1" ht="30" customHeight="1" x14ac:dyDescent="0.25">
      <c r="A391" s="14" t="s">
        <v>8</v>
      </c>
      <c r="B391" s="16" t="s">
        <v>42</v>
      </c>
      <c r="C391" s="25" t="s">
        <v>61</v>
      </c>
      <c r="D391" s="168" t="s">
        <v>47</v>
      </c>
      <c r="E391" s="38">
        <v>0</v>
      </c>
      <c r="F391" s="39">
        <v>0</v>
      </c>
      <c r="G391" s="40">
        <v>0</v>
      </c>
      <c r="H391" s="41">
        <v>0</v>
      </c>
      <c r="I391" s="42">
        <f t="shared" si="88"/>
        <v>0</v>
      </c>
      <c r="J391" s="103" t="str">
        <f t="shared" si="89"/>
        <v/>
      </c>
      <c r="K391" s="104" t="str">
        <f t="shared" si="89"/>
        <v/>
      </c>
      <c r="L391" s="105" t="str">
        <f t="shared" si="89"/>
        <v/>
      </c>
      <c r="M391" s="106" t="str">
        <f t="shared" si="75"/>
        <v/>
      </c>
    </row>
    <row r="392" spans="1:14" s="3" customFormat="1" ht="30" customHeight="1" x14ac:dyDescent="0.25">
      <c r="A392" s="14" t="s">
        <v>8</v>
      </c>
      <c r="B392" s="16" t="s">
        <v>42</v>
      </c>
      <c r="C392" s="25" t="s">
        <v>61</v>
      </c>
      <c r="D392" s="168" t="s">
        <v>48</v>
      </c>
      <c r="E392" s="38">
        <v>0</v>
      </c>
      <c r="F392" s="39">
        <v>0</v>
      </c>
      <c r="G392" s="40">
        <v>0</v>
      </c>
      <c r="H392" s="41">
        <v>0</v>
      </c>
      <c r="I392" s="42">
        <f t="shared" si="88"/>
        <v>0</v>
      </c>
      <c r="J392" s="103" t="str">
        <f t="shared" si="89"/>
        <v/>
      </c>
      <c r="K392" s="104" t="str">
        <f t="shared" si="89"/>
        <v/>
      </c>
      <c r="L392" s="105" t="str">
        <f t="shared" si="89"/>
        <v/>
      </c>
      <c r="M392" s="106" t="str">
        <f t="shared" si="75"/>
        <v/>
      </c>
    </row>
    <row r="393" spans="1:14" s="3" customFormat="1" ht="30" customHeight="1" x14ac:dyDescent="0.25">
      <c r="A393" s="14" t="s">
        <v>8</v>
      </c>
      <c r="B393" s="16" t="s">
        <v>42</v>
      </c>
      <c r="C393" s="25" t="s">
        <v>61</v>
      </c>
      <c r="D393" s="168" t="s">
        <v>49</v>
      </c>
      <c r="E393" s="38">
        <v>0</v>
      </c>
      <c r="F393" s="39">
        <v>0</v>
      </c>
      <c r="G393" s="40">
        <v>0</v>
      </c>
      <c r="H393" s="41">
        <v>0</v>
      </c>
      <c r="I393" s="42">
        <f t="shared" si="88"/>
        <v>0</v>
      </c>
      <c r="J393" s="103" t="str">
        <f t="shared" si="89"/>
        <v/>
      </c>
      <c r="K393" s="104" t="str">
        <f t="shared" si="89"/>
        <v/>
      </c>
      <c r="L393" s="105" t="str">
        <f t="shared" si="89"/>
        <v/>
      </c>
      <c r="M393" s="106" t="str">
        <f t="shared" si="75"/>
        <v/>
      </c>
    </row>
    <row r="394" spans="1:14" s="3" customFormat="1" ht="30" customHeight="1" x14ac:dyDescent="0.25">
      <c r="A394" s="14" t="s">
        <v>8</v>
      </c>
      <c r="B394" s="16" t="s">
        <v>42</v>
      </c>
      <c r="C394" s="25" t="s">
        <v>61</v>
      </c>
      <c r="D394" s="168" t="s">
        <v>50</v>
      </c>
      <c r="E394" s="38">
        <v>0</v>
      </c>
      <c r="F394" s="39">
        <v>0</v>
      </c>
      <c r="G394" s="40">
        <v>0</v>
      </c>
      <c r="H394" s="41">
        <v>0</v>
      </c>
      <c r="I394" s="42">
        <f t="shared" si="88"/>
        <v>0</v>
      </c>
      <c r="J394" s="103" t="str">
        <f t="shared" si="89"/>
        <v/>
      </c>
      <c r="K394" s="104" t="str">
        <f t="shared" si="89"/>
        <v/>
      </c>
      <c r="L394" s="105" t="str">
        <f t="shared" si="89"/>
        <v/>
      </c>
      <c r="M394" s="106" t="str">
        <f t="shared" si="75"/>
        <v/>
      </c>
    </row>
    <row r="395" spans="1:14" s="8" customFormat="1" ht="30" customHeight="1" x14ac:dyDescent="0.25">
      <c r="A395" s="14" t="s">
        <v>8</v>
      </c>
      <c r="B395" s="16" t="s">
        <v>42</v>
      </c>
      <c r="C395" s="25"/>
      <c r="D395" s="9" t="s">
        <v>29</v>
      </c>
      <c r="E395" s="38">
        <f>SUM(E385:E394)</f>
        <v>0</v>
      </c>
      <c r="F395" s="39">
        <f t="shared" ref="F395:I395" si="90">SUM(F385:F394)</f>
        <v>0</v>
      </c>
      <c r="G395" s="40">
        <f t="shared" si="90"/>
        <v>0</v>
      </c>
      <c r="H395" s="41">
        <f t="shared" si="90"/>
        <v>0</v>
      </c>
      <c r="I395" s="43">
        <f t="shared" si="90"/>
        <v>0</v>
      </c>
      <c r="J395" s="103" t="str">
        <f>IFERROR(E395/SUM($E395:$H395)*100,"")</f>
        <v/>
      </c>
      <c r="K395" s="104" t="str">
        <f>IFERROR(F395/SUM($E395:$H395)*100,"")</f>
        <v/>
      </c>
      <c r="L395" s="105" t="str">
        <f>IFERROR(G395/SUM($E395:$H395)*100,"")</f>
        <v/>
      </c>
      <c r="M395" s="106" t="str">
        <f t="shared" si="75"/>
        <v/>
      </c>
      <c r="N395" s="5" t="s">
        <v>1671</v>
      </c>
    </row>
    <row r="396" spans="1:14" ht="5.0999999999999996" customHeight="1" x14ac:dyDescent="0.25">
      <c r="A396" s="14" t="s">
        <v>8</v>
      </c>
      <c r="B396" s="16" t="s">
        <v>42</v>
      </c>
      <c r="C396"/>
      <c r="E396" s="59"/>
      <c r="F396" s="59"/>
      <c r="G396" s="59"/>
      <c r="H396" s="59"/>
      <c r="I396" s="59"/>
      <c r="J396" s="103"/>
      <c r="K396" s="104"/>
      <c r="L396" s="105"/>
      <c r="M396" s="106" t="str">
        <f t="shared" si="75"/>
        <v/>
      </c>
    </row>
    <row r="397" spans="1:14" s="7" customFormat="1" ht="20.100000000000001" customHeight="1" x14ac:dyDescent="0.25">
      <c r="A397" s="14" t="s">
        <v>8</v>
      </c>
      <c r="B397" s="16" t="s">
        <v>62</v>
      </c>
      <c r="C397" s="25" t="s">
        <v>60</v>
      </c>
      <c r="D397" s="62" t="s">
        <v>63</v>
      </c>
      <c r="E397" s="63"/>
      <c r="F397" s="63"/>
      <c r="G397" s="63"/>
      <c r="H397" s="63"/>
      <c r="I397" s="64"/>
      <c r="J397" s="103"/>
      <c r="K397" s="104"/>
      <c r="L397" s="105"/>
      <c r="M397" s="106" t="str">
        <f t="shared" ref="M397:M460" si="91">IFERROR(H397/$I397*100,"")</f>
        <v/>
      </c>
      <c r="N397" s="5" t="s">
        <v>1673</v>
      </c>
    </row>
    <row r="398" spans="1:14" s="8" customFormat="1" ht="30" customHeight="1" x14ac:dyDescent="0.25">
      <c r="A398" s="14" t="s">
        <v>8</v>
      </c>
      <c r="B398" s="16" t="s">
        <v>62</v>
      </c>
      <c r="C398" s="25"/>
      <c r="D398" s="168" t="s">
        <v>29</v>
      </c>
      <c r="E398" s="38">
        <f>SUM(E348,E337,E356,E395,E351,E359,E368,E374,E382,E371)</f>
        <v>0</v>
      </c>
      <c r="F398" s="39">
        <f>SUM(F348,F337,F356,F395,F351,F359,F368,F374,F382,F371)</f>
        <v>0</v>
      </c>
      <c r="G398" s="40">
        <f>SUM(G348,G337,G356,G395,G351,G359,G368,G374,G382,G371)</f>
        <v>0</v>
      </c>
      <c r="H398" s="41">
        <f>SUM(H348,H337,H356,H395,H351,H359,H368,H374,H382,H371)</f>
        <v>0</v>
      </c>
      <c r="I398" s="42">
        <f>SUM(I348,I337,I356,I395,I351,I359,I368,I374,I382,I371)</f>
        <v>0</v>
      </c>
      <c r="J398" s="103" t="str">
        <f>IFERROR(E398/SUM($E398:$H398)*100,"")</f>
        <v/>
      </c>
      <c r="K398" s="104" t="str">
        <f>IFERROR(F398/SUM($E398:$H398)*100,"")</f>
        <v/>
      </c>
      <c r="L398" s="105" t="str">
        <f>IFERROR(G398/SUM($E398:$H398)*100,"")</f>
        <v/>
      </c>
      <c r="M398" s="106" t="str">
        <f t="shared" si="91"/>
        <v/>
      </c>
      <c r="N398" s="5" t="s">
        <v>1671</v>
      </c>
    </row>
    <row r="399" spans="1:14" s="5" customFormat="1" ht="20.100000000000001" customHeight="1" x14ac:dyDescent="0.25">
      <c r="A399" s="14" t="s">
        <v>8</v>
      </c>
      <c r="B399" s="14"/>
      <c r="C399" s="25" t="s">
        <v>60</v>
      </c>
      <c r="D399" s="58"/>
      <c r="E399" s="60"/>
      <c r="F399" s="60"/>
      <c r="G399" s="60"/>
      <c r="H399" s="60"/>
      <c r="I399" s="60"/>
      <c r="J399" s="103"/>
      <c r="K399" s="104"/>
      <c r="L399" s="105"/>
      <c r="M399" s="106" t="str">
        <f t="shared" si="91"/>
        <v/>
      </c>
    </row>
    <row r="400" spans="1:14" s="5" customFormat="1" ht="20.100000000000001" customHeight="1" x14ac:dyDescent="0.25">
      <c r="A400" s="14" t="s">
        <v>12</v>
      </c>
      <c r="B400" s="14"/>
      <c r="C400" s="25" t="s">
        <v>60</v>
      </c>
      <c r="D400" s="20" t="str">
        <f>IFERROR(A400&amp;"   ("&amp;COUNTIFS(#REF!,"="&amp;A400)&amp;")",A400)</f>
        <v>DOB</v>
      </c>
      <c r="E400" s="45"/>
      <c r="F400" s="45"/>
      <c r="G400" s="45"/>
      <c r="H400" s="45"/>
      <c r="I400" s="46"/>
      <c r="J400" s="103"/>
      <c r="K400" s="104"/>
      <c r="L400" s="105"/>
      <c r="M400" s="106" t="str">
        <f t="shared" si="91"/>
        <v/>
      </c>
      <c r="N400" s="5" t="s">
        <v>1672</v>
      </c>
    </row>
    <row r="401" spans="1:14" s="5" customFormat="1" ht="20.100000000000001" customHeight="1" x14ac:dyDescent="0.25">
      <c r="A401" s="14" t="s">
        <v>12</v>
      </c>
      <c r="B401" s="16" t="s">
        <v>20</v>
      </c>
      <c r="C401" s="25" t="s">
        <v>60</v>
      </c>
      <c r="D401" s="6" t="s">
        <v>20</v>
      </c>
      <c r="E401" s="37"/>
      <c r="F401" s="37"/>
      <c r="G401" s="37"/>
      <c r="H401" s="37"/>
      <c r="I401" s="48"/>
      <c r="J401" s="103"/>
      <c r="K401" s="104"/>
      <c r="L401" s="105"/>
      <c r="M401" s="106" t="str">
        <f t="shared" si="91"/>
        <v/>
      </c>
      <c r="N401" s="5" t="s">
        <v>1673</v>
      </c>
    </row>
    <row r="402" spans="1:14" s="5" customFormat="1" ht="30" customHeight="1" x14ac:dyDescent="0.25">
      <c r="A402" s="14" t="s">
        <v>12</v>
      </c>
      <c r="B402" s="16" t="s">
        <v>20</v>
      </c>
      <c r="C402" s="25" t="s">
        <v>61</v>
      </c>
      <c r="D402" s="168" t="s">
        <v>25</v>
      </c>
      <c r="E402" s="38">
        <v>0</v>
      </c>
      <c r="F402" s="39">
        <v>0</v>
      </c>
      <c r="G402" s="40">
        <v>0</v>
      </c>
      <c r="H402" s="41">
        <v>0</v>
      </c>
      <c r="I402" s="42">
        <f>SUM(E402:H402)</f>
        <v>0</v>
      </c>
      <c r="J402" s="103" t="str">
        <f>IFERROR(E402/$I402*100,"")</f>
        <v/>
      </c>
      <c r="K402" s="104" t="str">
        <f>IFERROR(F402/$I402*100,"")</f>
        <v/>
      </c>
      <c r="L402" s="105" t="str">
        <f>IFERROR(G402/$I402*100,"")</f>
        <v/>
      </c>
      <c r="M402" s="106" t="str">
        <f t="shared" si="91"/>
        <v/>
      </c>
      <c r="N402" s="5" t="s">
        <v>1671</v>
      </c>
    </row>
    <row r="403" spans="1:14" ht="5.0999999999999996" customHeight="1" x14ac:dyDescent="0.25">
      <c r="A403" s="14" t="s">
        <v>12</v>
      </c>
      <c r="B403" s="16" t="s">
        <v>20</v>
      </c>
      <c r="C403"/>
      <c r="D403" s="57"/>
      <c r="E403" s="59"/>
      <c r="F403" s="59"/>
      <c r="G403" s="59"/>
      <c r="H403" s="59"/>
      <c r="I403" s="59"/>
      <c r="J403" s="103"/>
      <c r="K403" s="104"/>
      <c r="L403" s="105"/>
      <c r="M403" s="106" t="str">
        <f t="shared" si="91"/>
        <v/>
      </c>
    </row>
    <row r="404" spans="1:14" s="5" customFormat="1" ht="20.100000000000001" customHeight="1" x14ac:dyDescent="0.25">
      <c r="A404" s="14" t="s">
        <v>12</v>
      </c>
      <c r="B404" s="16" t="s">
        <v>26</v>
      </c>
      <c r="C404" s="25" t="s">
        <v>60</v>
      </c>
      <c r="D404" s="6" t="s">
        <v>98</v>
      </c>
      <c r="E404" s="37"/>
      <c r="F404" s="37"/>
      <c r="G404" s="37"/>
      <c r="H404" s="37"/>
      <c r="I404" s="47"/>
      <c r="J404" s="103"/>
      <c r="K404" s="104"/>
      <c r="L404" s="105"/>
      <c r="M404" s="106" t="str">
        <f t="shared" si="91"/>
        <v/>
      </c>
      <c r="N404" s="5" t="s">
        <v>1673</v>
      </c>
    </row>
    <row r="405" spans="1:14" s="5" customFormat="1" ht="30" customHeight="1" x14ac:dyDescent="0.25">
      <c r="A405" s="14" t="s">
        <v>12</v>
      </c>
      <c r="B405" s="16" t="s">
        <v>26</v>
      </c>
      <c r="C405" s="25" t="s">
        <v>61</v>
      </c>
      <c r="D405" s="169" t="s">
        <v>21</v>
      </c>
      <c r="E405" s="38">
        <v>0</v>
      </c>
      <c r="F405" s="39">
        <v>0</v>
      </c>
      <c r="G405" s="40">
        <v>0</v>
      </c>
      <c r="H405" s="41">
        <v>0</v>
      </c>
      <c r="I405" s="42">
        <f t="shared" ref="I405:I412" si="92">SUM(E405:H405)</f>
        <v>0</v>
      </c>
      <c r="J405" s="103" t="str">
        <f t="shared" ref="J405:L412" si="93">IFERROR(E405/$I405*100,"")</f>
        <v/>
      </c>
      <c r="K405" s="104" t="str">
        <f t="shared" si="93"/>
        <v/>
      </c>
      <c r="L405" s="105" t="str">
        <f t="shared" si="93"/>
        <v/>
      </c>
      <c r="M405" s="106" t="str">
        <f t="shared" si="91"/>
        <v/>
      </c>
    </row>
    <row r="406" spans="1:14" s="5" customFormat="1" ht="30" customHeight="1" x14ac:dyDescent="0.25">
      <c r="A406" s="14" t="s">
        <v>12</v>
      </c>
      <c r="B406" s="16" t="s">
        <v>26</v>
      </c>
      <c r="C406" s="25" t="s">
        <v>61</v>
      </c>
      <c r="D406" s="169" t="s">
        <v>22</v>
      </c>
      <c r="E406" s="38">
        <v>0</v>
      </c>
      <c r="F406" s="39">
        <v>0</v>
      </c>
      <c r="G406" s="40">
        <v>0</v>
      </c>
      <c r="H406" s="41">
        <v>0</v>
      </c>
      <c r="I406" s="42">
        <f t="shared" si="92"/>
        <v>0</v>
      </c>
      <c r="J406" s="103" t="str">
        <f t="shared" si="93"/>
        <v/>
      </c>
      <c r="K406" s="104" t="str">
        <f t="shared" si="93"/>
        <v/>
      </c>
      <c r="L406" s="105" t="str">
        <f t="shared" si="93"/>
        <v/>
      </c>
      <c r="M406" s="106" t="str">
        <f t="shared" si="91"/>
        <v/>
      </c>
    </row>
    <row r="407" spans="1:14" s="5" customFormat="1" ht="30" customHeight="1" x14ac:dyDescent="0.25">
      <c r="A407" s="14" t="s">
        <v>12</v>
      </c>
      <c r="B407" s="16" t="s">
        <v>26</v>
      </c>
      <c r="C407" s="25" t="s">
        <v>61</v>
      </c>
      <c r="D407" s="169" t="s">
        <v>27</v>
      </c>
      <c r="E407" s="38">
        <v>0</v>
      </c>
      <c r="F407" s="39">
        <v>0</v>
      </c>
      <c r="G407" s="40">
        <v>0</v>
      </c>
      <c r="H407" s="41">
        <v>0</v>
      </c>
      <c r="I407" s="42">
        <f t="shared" si="92"/>
        <v>0</v>
      </c>
      <c r="J407" s="103" t="str">
        <f t="shared" si="93"/>
        <v/>
      </c>
      <c r="K407" s="104" t="str">
        <f t="shared" si="93"/>
        <v/>
      </c>
      <c r="L407" s="105" t="str">
        <f t="shared" si="93"/>
        <v/>
      </c>
      <c r="M407" s="106" t="str">
        <f t="shared" si="91"/>
        <v/>
      </c>
    </row>
    <row r="408" spans="1:14" s="5" customFormat="1" ht="30" customHeight="1" x14ac:dyDescent="0.25">
      <c r="A408" s="14" t="s">
        <v>12</v>
      </c>
      <c r="B408" s="16" t="s">
        <v>26</v>
      </c>
      <c r="C408" s="25" t="s">
        <v>61</v>
      </c>
      <c r="D408" s="169" t="s">
        <v>23</v>
      </c>
      <c r="E408" s="38">
        <v>0</v>
      </c>
      <c r="F408" s="39">
        <v>0</v>
      </c>
      <c r="G408" s="40">
        <v>0</v>
      </c>
      <c r="H408" s="41">
        <v>0</v>
      </c>
      <c r="I408" s="42">
        <f t="shared" si="92"/>
        <v>0</v>
      </c>
      <c r="J408" s="103" t="str">
        <f t="shared" si="93"/>
        <v/>
      </c>
      <c r="K408" s="104" t="str">
        <f t="shared" si="93"/>
        <v/>
      </c>
      <c r="L408" s="105" t="str">
        <f t="shared" si="93"/>
        <v/>
      </c>
      <c r="M408" s="106" t="str">
        <f t="shared" si="91"/>
        <v/>
      </c>
    </row>
    <row r="409" spans="1:14" s="5" customFormat="1" ht="30" customHeight="1" x14ac:dyDescent="0.25">
      <c r="A409" s="14" t="s">
        <v>12</v>
      </c>
      <c r="B409" s="16" t="s">
        <v>26</v>
      </c>
      <c r="C409" s="25" t="s">
        <v>61</v>
      </c>
      <c r="D409" s="169" t="s">
        <v>24</v>
      </c>
      <c r="E409" s="38">
        <v>0</v>
      </c>
      <c r="F409" s="39">
        <v>0</v>
      </c>
      <c r="G409" s="40">
        <v>0</v>
      </c>
      <c r="H409" s="41">
        <v>0</v>
      </c>
      <c r="I409" s="42">
        <f t="shared" si="92"/>
        <v>0</v>
      </c>
      <c r="J409" s="103" t="str">
        <f t="shared" si="93"/>
        <v/>
      </c>
      <c r="K409" s="104" t="str">
        <f t="shared" si="93"/>
        <v/>
      </c>
      <c r="L409" s="105" t="str">
        <f t="shared" si="93"/>
        <v/>
      </c>
      <c r="M409" s="106" t="str">
        <f t="shared" si="91"/>
        <v/>
      </c>
    </row>
    <row r="410" spans="1:14" s="3" customFormat="1" ht="30" customHeight="1" x14ac:dyDescent="0.25">
      <c r="A410" s="14" t="s">
        <v>12</v>
      </c>
      <c r="B410" s="16" t="s">
        <v>26</v>
      </c>
      <c r="C410" s="25" t="s">
        <v>61</v>
      </c>
      <c r="D410" s="169" t="s">
        <v>41</v>
      </c>
      <c r="E410" s="38">
        <v>0</v>
      </c>
      <c r="F410" s="39">
        <v>0</v>
      </c>
      <c r="G410" s="40">
        <v>0</v>
      </c>
      <c r="H410" s="41">
        <v>0</v>
      </c>
      <c r="I410" s="42">
        <f t="shared" si="92"/>
        <v>0</v>
      </c>
      <c r="J410" s="103" t="str">
        <f t="shared" si="93"/>
        <v/>
      </c>
      <c r="K410" s="104" t="str">
        <f t="shared" si="93"/>
        <v/>
      </c>
      <c r="L410" s="105" t="str">
        <f t="shared" si="93"/>
        <v/>
      </c>
      <c r="M410" s="106" t="str">
        <f t="shared" si="91"/>
        <v/>
      </c>
    </row>
    <row r="411" spans="1:14" s="5" customFormat="1" ht="30" customHeight="1" x14ac:dyDescent="0.25">
      <c r="A411" s="14" t="s">
        <v>12</v>
      </c>
      <c r="B411" s="16" t="s">
        <v>26</v>
      </c>
      <c r="C411" s="25" t="s">
        <v>61</v>
      </c>
      <c r="D411" s="169" t="s">
        <v>28</v>
      </c>
      <c r="E411" s="38">
        <v>0</v>
      </c>
      <c r="F411" s="39">
        <v>0</v>
      </c>
      <c r="G411" s="40">
        <v>0</v>
      </c>
      <c r="H411" s="41">
        <v>0</v>
      </c>
      <c r="I411" s="42">
        <f t="shared" si="92"/>
        <v>0</v>
      </c>
      <c r="J411" s="103" t="str">
        <f t="shared" si="93"/>
        <v/>
      </c>
      <c r="K411" s="104" t="str">
        <f t="shared" si="93"/>
        <v/>
      </c>
      <c r="L411" s="105" t="str">
        <f t="shared" si="93"/>
        <v/>
      </c>
      <c r="M411" s="106" t="str">
        <f t="shared" si="91"/>
        <v/>
      </c>
    </row>
    <row r="412" spans="1:14" s="5" customFormat="1" ht="30" customHeight="1" x14ac:dyDescent="0.25">
      <c r="A412" s="14" t="s">
        <v>12</v>
      </c>
      <c r="B412" s="16" t="s">
        <v>26</v>
      </c>
      <c r="C412" s="25" t="s">
        <v>61</v>
      </c>
      <c r="D412" s="169" t="s">
        <v>40</v>
      </c>
      <c r="E412" s="38">
        <v>0</v>
      </c>
      <c r="F412" s="39">
        <v>0</v>
      </c>
      <c r="G412" s="40">
        <v>0</v>
      </c>
      <c r="H412" s="41">
        <v>0</v>
      </c>
      <c r="I412" s="42">
        <f t="shared" si="92"/>
        <v>0</v>
      </c>
      <c r="J412" s="103" t="str">
        <f t="shared" si="93"/>
        <v/>
      </c>
      <c r="K412" s="104" t="str">
        <f t="shared" si="93"/>
        <v/>
      </c>
      <c r="L412" s="105" t="str">
        <f t="shared" si="93"/>
        <v/>
      </c>
      <c r="M412" s="106" t="str">
        <f t="shared" si="91"/>
        <v/>
      </c>
    </row>
    <row r="413" spans="1:14" s="8" customFormat="1" ht="30" customHeight="1" x14ac:dyDescent="0.25">
      <c r="A413" s="14" t="s">
        <v>12</v>
      </c>
      <c r="B413" s="16" t="s">
        <v>26</v>
      </c>
      <c r="C413" s="25"/>
      <c r="D413" s="9" t="s">
        <v>29</v>
      </c>
      <c r="E413" s="38">
        <f>SUM(E405:E412)</f>
        <v>0</v>
      </c>
      <c r="F413" s="39">
        <f t="shared" ref="F413:I413" si="94">SUM(F405:F412)</f>
        <v>0</v>
      </c>
      <c r="G413" s="40">
        <f t="shared" si="94"/>
        <v>0</v>
      </c>
      <c r="H413" s="41">
        <f t="shared" si="94"/>
        <v>0</v>
      </c>
      <c r="I413" s="43">
        <f t="shared" si="94"/>
        <v>0</v>
      </c>
      <c r="J413" s="103" t="str">
        <f>IFERROR(E413/SUM($E413:$H413)*100,"")</f>
        <v/>
      </c>
      <c r="K413" s="104" t="str">
        <f>IFERROR(F413/SUM($E413:$H413)*100,"")</f>
        <v/>
      </c>
      <c r="L413" s="105" t="str">
        <f>IFERROR(G413/SUM($E413:$H413)*100,"")</f>
        <v/>
      </c>
      <c r="M413" s="106" t="str">
        <f t="shared" si="91"/>
        <v/>
      </c>
      <c r="N413" s="5" t="s">
        <v>1671</v>
      </c>
    </row>
    <row r="414" spans="1:14" ht="5.0999999999999996" customHeight="1" x14ac:dyDescent="0.25">
      <c r="A414" s="14" t="s">
        <v>12</v>
      </c>
      <c r="B414" s="16" t="s">
        <v>26</v>
      </c>
      <c r="C414"/>
      <c r="D414" s="57"/>
      <c r="E414" s="59"/>
      <c r="F414" s="59"/>
      <c r="G414" s="59"/>
      <c r="H414" s="59"/>
      <c r="I414" s="59"/>
      <c r="J414" s="103"/>
      <c r="K414" s="104"/>
      <c r="L414" s="105"/>
      <c r="M414" s="106" t="str">
        <f t="shared" si="91"/>
        <v/>
      </c>
    </row>
    <row r="415" spans="1:14" s="5" customFormat="1" ht="20.100000000000001" customHeight="1" x14ac:dyDescent="0.25">
      <c r="A415" s="14" t="s">
        <v>12</v>
      </c>
      <c r="B415" s="16" t="s">
        <v>64</v>
      </c>
      <c r="C415" s="25" t="s">
        <v>60</v>
      </c>
      <c r="D415" s="6" t="s">
        <v>65</v>
      </c>
      <c r="E415" s="37"/>
      <c r="F415" s="37"/>
      <c r="G415" s="37"/>
      <c r="H415" s="37"/>
      <c r="I415" s="48"/>
      <c r="J415" s="103"/>
      <c r="K415" s="104"/>
      <c r="L415" s="105"/>
      <c r="M415" s="106" t="str">
        <f t="shared" si="91"/>
        <v/>
      </c>
      <c r="N415" s="5" t="s">
        <v>1673</v>
      </c>
    </row>
    <row r="416" spans="1:14" s="5" customFormat="1" ht="30" customHeight="1" x14ac:dyDescent="0.25">
      <c r="A416" s="14" t="s">
        <v>12</v>
      </c>
      <c r="B416" s="16" t="s">
        <v>64</v>
      </c>
      <c r="C416" s="25" t="s">
        <v>61</v>
      </c>
      <c r="D416" s="168" t="s">
        <v>66</v>
      </c>
      <c r="E416" s="38">
        <v>0</v>
      </c>
      <c r="F416" s="39">
        <v>0</v>
      </c>
      <c r="G416" s="40">
        <v>0</v>
      </c>
      <c r="H416" s="41">
        <v>0</v>
      </c>
      <c r="I416" s="42">
        <f>SUM(E416:H416)</f>
        <v>0</v>
      </c>
      <c r="J416" s="103" t="str">
        <f>IFERROR(E416/$I416*100,"")</f>
        <v/>
      </c>
      <c r="K416" s="104" t="str">
        <f>IFERROR(F416/$I416*100,"")</f>
        <v/>
      </c>
      <c r="L416" s="105" t="str">
        <f>IFERROR(G416/$I416*100,"")</f>
        <v/>
      </c>
      <c r="M416" s="106" t="str">
        <f t="shared" si="91"/>
        <v/>
      </c>
      <c r="N416" s="5" t="s">
        <v>1671</v>
      </c>
    </row>
    <row r="417" spans="1:14" ht="5.0999999999999996" customHeight="1" x14ac:dyDescent="0.25">
      <c r="A417" s="14" t="s">
        <v>12</v>
      </c>
      <c r="B417" s="16" t="s">
        <v>64</v>
      </c>
      <c r="C417"/>
      <c r="D417" s="57"/>
      <c r="E417" s="59"/>
      <c r="F417" s="59"/>
      <c r="G417" s="59"/>
      <c r="H417" s="59"/>
      <c r="I417" s="59"/>
      <c r="J417" s="103"/>
      <c r="K417" s="104"/>
      <c r="L417" s="105"/>
      <c r="M417" s="106" t="str">
        <f t="shared" si="91"/>
        <v/>
      </c>
    </row>
    <row r="418" spans="1:14" s="5" customFormat="1" ht="20.100000000000001" customHeight="1" x14ac:dyDescent="0.25">
      <c r="A418" s="14" t="s">
        <v>12</v>
      </c>
      <c r="B418" s="16" t="s">
        <v>55</v>
      </c>
      <c r="C418" s="25" t="s">
        <v>60</v>
      </c>
      <c r="D418" s="6" t="s">
        <v>55</v>
      </c>
      <c r="E418" s="37"/>
      <c r="F418" s="37"/>
      <c r="G418" s="37"/>
      <c r="H418" s="37"/>
      <c r="I418" s="48"/>
      <c r="J418" s="103"/>
      <c r="K418" s="104"/>
      <c r="L418" s="105"/>
      <c r="M418" s="106" t="str">
        <f t="shared" si="91"/>
        <v/>
      </c>
      <c r="N418" s="5" t="s">
        <v>1673</v>
      </c>
    </row>
    <row r="419" spans="1:14" s="3" customFormat="1" ht="30" customHeight="1" x14ac:dyDescent="0.25">
      <c r="A419" s="14" t="s">
        <v>12</v>
      </c>
      <c r="B419" s="16" t="s">
        <v>55</v>
      </c>
      <c r="C419" s="25" t="s">
        <v>61</v>
      </c>
      <c r="D419" s="168" t="s">
        <v>56</v>
      </c>
      <c r="E419" s="38">
        <v>0</v>
      </c>
      <c r="F419" s="39">
        <v>0</v>
      </c>
      <c r="G419" s="40">
        <v>0</v>
      </c>
      <c r="H419" s="41">
        <v>0</v>
      </c>
      <c r="I419" s="42">
        <f>SUM(E419:H419)</f>
        <v>0</v>
      </c>
      <c r="J419" s="103" t="str">
        <f t="shared" ref="J419:L421" si="95">IFERROR(E419/$I419*100,"")</f>
        <v/>
      </c>
      <c r="K419" s="104" t="str">
        <f t="shared" si="95"/>
        <v/>
      </c>
      <c r="L419" s="105" t="str">
        <f t="shared" si="95"/>
        <v/>
      </c>
      <c r="M419" s="106" t="str">
        <f t="shared" si="91"/>
        <v/>
      </c>
      <c r="N419" s="5"/>
    </row>
    <row r="420" spans="1:14" s="3" customFormat="1" ht="30" customHeight="1" x14ac:dyDescent="0.25">
      <c r="A420" s="14" t="s">
        <v>12</v>
      </c>
      <c r="B420" s="16" t="s">
        <v>55</v>
      </c>
      <c r="C420" s="25" t="s">
        <v>61</v>
      </c>
      <c r="D420" s="168" t="s">
        <v>57</v>
      </c>
      <c r="E420" s="38">
        <v>0</v>
      </c>
      <c r="F420" s="39">
        <v>0</v>
      </c>
      <c r="G420" s="40">
        <v>0</v>
      </c>
      <c r="H420" s="41">
        <v>0</v>
      </c>
      <c r="I420" s="42">
        <f>SUM(E420:H420)</f>
        <v>0</v>
      </c>
      <c r="J420" s="103" t="str">
        <f t="shared" si="95"/>
        <v/>
      </c>
      <c r="K420" s="104" t="str">
        <f t="shared" si="95"/>
        <v/>
      </c>
      <c r="L420" s="105" t="str">
        <f t="shared" si="95"/>
        <v/>
      </c>
      <c r="M420" s="106" t="str">
        <f t="shared" si="91"/>
        <v/>
      </c>
    </row>
    <row r="421" spans="1:14" s="3" customFormat="1" ht="30" customHeight="1" x14ac:dyDescent="0.25">
      <c r="A421" s="14" t="s">
        <v>12</v>
      </c>
      <c r="B421" s="16" t="s">
        <v>55</v>
      </c>
      <c r="C421" s="25"/>
      <c r="D421" s="168" t="s">
        <v>29</v>
      </c>
      <c r="E421" s="38">
        <f>SUM(E419:E420)</f>
        <v>0</v>
      </c>
      <c r="F421" s="39">
        <f t="shared" ref="F421:I421" si="96">SUM(F419:F420)</f>
        <v>0</v>
      </c>
      <c r="G421" s="40">
        <f t="shared" si="96"/>
        <v>0</v>
      </c>
      <c r="H421" s="41">
        <f t="shared" si="96"/>
        <v>0</v>
      </c>
      <c r="I421" s="42">
        <f t="shared" si="96"/>
        <v>0</v>
      </c>
      <c r="J421" s="103" t="str">
        <f t="shared" si="95"/>
        <v/>
      </c>
      <c r="K421" s="104" t="str">
        <f t="shared" si="95"/>
        <v/>
      </c>
      <c r="L421" s="105" t="str">
        <f t="shared" si="95"/>
        <v/>
      </c>
      <c r="M421" s="106" t="str">
        <f t="shared" si="91"/>
        <v/>
      </c>
      <c r="N421" s="5" t="s">
        <v>1671</v>
      </c>
    </row>
    <row r="422" spans="1:14" ht="5.0999999999999996" customHeight="1" x14ac:dyDescent="0.25">
      <c r="A422" s="14" t="s">
        <v>12</v>
      </c>
      <c r="B422" s="16" t="s">
        <v>55</v>
      </c>
      <c r="C422"/>
      <c r="D422" s="57"/>
      <c r="E422" s="59"/>
      <c r="F422" s="59"/>
      <c r="G422" s="59"/>
      <c r="H422" s="59"/>
      <c r="I422" s="59"/>
      <c r="J422" s="103"/>
      <c r="K422" s="104"/>
      <c r="L422" s="105"/>
      <c r="M422" s="106" t="str">
        <f t="shared" si="91"/>
        <v/>
      </c>
    </row>
    <row r="423" spans="1:14" s="5" customFormat="1" ht="20.100000000000001" customHeight="1" x14ac:dyDescent="0.25">
      <c r="A423" s="14" t="s">
        <v>12</v>
      </c>
      <c r="B423" s="16" t="s">
        <v>74</v>
      </c>
      <c r="C423" s="25" t="s">
        <v>60</v>
      </c>
      <c r="D423" s="6" t="s">
        <v>75</v>
      </c>
      <c r="E423" s="37"/>
      <c r="F423" s="37"/>
      <c r="G423" s="37"/>
      <c r="H423" s="37"/>
      <c r="I423" s="48"/>
      <c r="J423" s="103"/>
      <c r="K423" s="104"/>
      <c r="L423" s="105"/>
      <c r="M423" s="106" t="str">
        <f t="shared" si="91"/>
        <v/>
      </c>
      <c r="N423" s="5" t="s">
        <v>1673</v>
      </c>
    </row>
    <row r="424" spans="1:14" s="3" customFormat="1" ht="30" customHeight="1" x14ac:dyDescent="0.25">
      <c r="A424" s="14" t="s">
        <v>12</v>
      </c>
      <c r="B424" s="16" t="s">
        <v>74</v>
      </c>
      <c r="C424" s="25" t="s">
        <v>61</v>
      </c>
      <c r="D424" s="168" t="s">
        <v>77</v>
      </c>
      <c r="E424" s="38">
        <v>0</v>
      </c>
      <c r="F424" s="39">
        <v>0</v>
      </c>
      <c r="G424" s="40">
        <v>0</v>
      </c>
      <c r="H424" s="41">
        <v>0</v>
      </c>
      <c r="I424" s="42">
        <f>SUM(E424:H424)</f>
        <v>0</v>
      </c>
      <c r="J424" s="103" t="str">
        <f>IFERROR(E424/$I424*100,"")</f>
        <v/>
      </c>
      <c r="K424" s="104" t="str">
        <f>IFERROR(F424/$I424*100,"")</f>
        <v/>
      </c>
      <c r="L424" s="105" t="str">
        <f>IFERROR(G424/$I424*100,"")</f>
        <v/>
      </c>
      <c r="M424" s="106" t="str">
        <f t="shared" si="91"/>
        <v/>
      </c>
      <c r="N424" s="3" t="s">
        <v>1671</v>
      </c>
    </row>
    <row r="425" spans="1:14" ht="5.0999999999999996" customHeight="1" x14ac:dyDescent="0.25">
      <c r="A425" s="14" t="s">
        <v>12</v>
      </c>
      <c r="B425" s="16" t="s">
        <v>74</v>
      </c>
      <c r="C425"/>
      <c r="D425" s="57"/>
      <c r="E425" s="59"/>
      <c r="F425" s="59"/>
      <c r="G425" s="59"/>
      <c r="H425" s="59"/>
      <c r="I425" s="59"/>
      <c r="J425" s="103"/>
      <c r="K425" s="104"/>
      <c r="L425" s="105"/>
      <c r="M425" s="106" t="str">
        <f t="shared" si="91"/>
        <v/>
      </c>
    </row>
    <row r="426" spans="1:14" s="5" customFormat="1" ht="20.100000000000001" customHeight="1" x14ac:dyDescent="0.25">
      <c r="A426" s="14" t="s">
        <v>12</v>
      </c>
      <c r="B426" s="16" t="s">
        <v>78</v>
      </c>
      <c r="C426" s="25" t="s">
        <v>60</v>
      </c>
      <c r="D426" s="6" t="s">
        <v>80</v>
      </c>
      <c r="E426" s="37"/>
      <c r="F426" s="37"/>
      <c r="G426" s="37"/>
      <c r="H426" s="37"/>
      <c r="I426" s="48"/>
      <c r="J426" s="103"/>
      <c r="K426" s="104"/>
      <c r="L426" s="105"/>
      <c r="M426" s="106" t="str">
        <f t="shared" si="91"/>
        <v/>
      </c>
      <c r="N426" s="5" t="s">
        <v>1673</v>
      </c>
    </row>
    <row r="427" spans="1:14" s="5" customFormat="1" ht="30" customHeight="1" x14ac:dyDescent="0.25">
      <c r="A427" s="14" t="s">
        <v>12</v>
      </c>
      <c r="B427" s="16" t="s">
        <v>78</v>
      </c>
      <c r="C427" s="25" t="s">
        <v>61</v>
      </c>
      <c r="D427" s="168" t="s">
        <v>81</v>
      </c>
      <c r="E427" s="38">
        <v>0</v>
      </c>
      <c r="F427" s="39">
        <v>0</v>
      </c>
      <c r="G427" s="40">
        <v>0</v>
      </c>
      <c r="H427" s="41">
        <v>0</v>
      </c>
      <c r="I427" s="42">
        <f t="shared" ref="I427:I433" si="97">SUM(E427:H427)</f>
        <v>0</v>
      </c>
      <c r="J427" s="103" t="str">
        <f t="shared" ref="J427:L433" si="98">IFERROR(E427/$I427*100,"")</f>
        <v/>
      </c>
      <c r="K427" s="104" t="str">
        <f t="shared" si="98"/>
        <v/>
      </c>
      <c r="L427" s="105" t="str">
        <f t="shared" si="98"/>
        <v/>
      </c>
      <c r="M427" s="106" t="str">
        <f t="shared" si="91"/>
        <v/>
      </c>
    </row>
    <row r="428" spans="1:14" s="5" customFormat="1" ht="30" customHeight="1" x14ac:dyDescent="0.25">
      <c r="A428" s="14" t="s">
        <v>12</v>
      </c>
      <c r="B428" s="16" t="s">
        <v>78</v>
      </c>
      <c r="C428" s="25" t="s">
        <v>61</v>
      </c>
      <c r="D428" s="168" t="s">
        <v>82</v>
      </c>
      <c r="E428" s="38">
        <v>0</v>
      </c>
      <c r="F428" s="39">
        <v>0</v>
      </c>
      <c r="G428" s="40">
        <v>0</v>
      </c>
      <c r="H428" s="41">
        <v>0</v>
      </c>
      <c r="I428" s="42">
        <f t="shared" si="97"/>
        <v>0</v>
      </c>
      <c r="J428" s="103" t="str">
        <f t="shared" si="98"/>
        <v/>
      </c>
      <c r="K428" s="104" t="str">
        <f t="shared" si="98"/>
        <v/>
      </c>
      <c r="L428" s="105" t="str">
        <f t="shared" si="98"/>
        <v/>
      </c>
      <c r="M428" s="106" t="str">
        <f t="shared" si="91"/>
        <v/>
      </c>
    </row>
    <row r="429" spans="1:14" s="5" customFormat="1" ht="30" customHeight="1" x14ac:dyDescent="0.25">
      <c r="A429" s="14" t="s">
        <v>12</v>
      </c>
      <c r="B429" s="16" t="s">
        <v>78</v>
      </c>
      <c r="C429" s="25" t="s">
        <v>61</v>
      </c>
      <c r="D429" s="168" t="s">
        <v>83</v>
      </c>
      <c r="E429" s="38">
        <v>0</v>
      </c>
      <c r="F429" s="39">
        <v>0</v>
      </c>
      <c r="G429" s="40">
        <v>0</v>
      </c>
      <c r="H429" s="41">
        <v>0</v>
      </c>
      <c r="I429" s="42">
        <f t="shared" si="97"/>
        <v>0</v>
      </c>
      <c r="J429" s="103" t="str">
        <f t="shared" si="98"/>
        <v/>
      </c>
      <c r="K429" s="104" t="str">
        <f t="shared" si="98"/>
        <v/>
      </c>
      <c r="L429" s="105" t="str">
        <f t="shared" si="98"/>
        <v/>
      </c>
      <c r="M429" s="106" t="str">
        <f t="shared" si="91"/>
        <v/>
      </c>
    </row>
    <row r="430" spans="1:14" s="5" customFormat="1" ht="30" customHeight="1" x14ac:dyDescent="0.25">
      <c r="A430" s="14" t="s">
        <v>12</v>
      </c>
      <c r="B430" s="16" t="s">
        <v>78</v>
      </c>
      <c r="C430" s="25" t="s">
        <v>61</v>
      </c>
      <c r="D430" s="168" t="s">
        <v>88</v>
      </c>
      <c r="E430" s="38">
        <v>0</v>
      </c>
      <c r="F430" s="39">
        <v>0</v>
      </c>
      <c r="G430" s="40">
        <v>0</v>
      </c>
      <c r="H430" s="41">
        <v>0</v>
      </c>
      <c r="I430" s="42">
        <f t="shared" si="97"/>
        <v>0</v>
      </c>
      <c r="J430" s="103" t="str">
        <f t="shared" si="98"/>
        <v/>
      </c>
      <c r="K430" s="104" t="str">
        <f t="shared" si="98"/>
        <v/>
      </c>
      <c r="L430" s="105" t="str">
        <f t="shared" si="98"/>
        <v/>
      </c>
      <c r="M430" s="106" t="str">
        <f t="shared" si="91"/>
        <v/>
      </c>
    </row>
    <row r="431" spans="1:14" s="5" customFormat="1" ht="30" customHeight="1" x14ac:dyDescent="0.25">
      <c r="A431" s="14" t="s">
        <v>12</v>
      </c>
      <c r="B431" s="16" t="s">
        <v>78</v>
      </c>
      <c r="C431" s="25" t="s">
        <v>61</v>
      </c>
      <c r="D431" s="168" t="s">
        <v>87</v>
      </c>
      <c r="E431" s="38">
        <v>0</v>
      </c>
      <c r="F431" s="39">
        <v>0</v>
      </c>
      <c r="G431" s="40">
        <v>0</v>
      </c>
      <c r="H431" s="41">
        <v>0</v>
      </c>
      <c r="I431" s="42">
        <f t="shared" si="97"/>
        <v>0</v>
      </c>
      <c r="J431" s="103" t="str">
        <f t="shared" si="98"/>
        <v/>
      </c>
      <c r="K431" s="104" t="str">
        <f t="shared" si="98"/>
        <v/>
      </c>
      <c r="L431" s="105" t="str">
        <f t="shared" si="98"/>
        <v/>
      </c>
      <c r="M431" s="106" t="str">
        <f t="shared" si="91"/>
        <v/>
      </c>
    </row>
    <row r="432" spans="1:14" s="5" customFormat="1" ht="30" customHeight="1" x14ac:dyDescent="0.25">
      <c r="A432" s="14" t="s">
        <v>12</v>
      </c>
      <c r="B432" s="16" t="s">
        <v>78</v>
      </c>
      <c r="C432" s="25" t="s">
        <v>61</v>
      </c>
      <c r="D432" s="168" t="s">
        <v>84</v>
      </c>
      <c r="E432" s="38">
        <v>0</v>
      </c>
      <c r="F432" s="39">
        <v>0</v>
      </c>
      <c r="G432" s="40">
        <v>0</v>
      </c>
      <c r="H432" s="41">
        <v>0</v>
      </c>
      <c r="I432" s="42">
        <f t="shared" si="97"/>
        <v>0</v>
      </c>
      <c r="J432" s="103" t="str">
        <f t="shared" si="98"/>
        <v/>
      </c>
      <c r="K432" s="104" t="str">
        <f t="shared" si="98"/>
        <v/>
      </c>
      <c r="L432" s="105" t="str">
        <f t="shared" si="98"/>
        <v/>
      </c>
      <c r="M432" s="106" t="str">
        <f t="shared" si="91"/>
        <v/>
      </c>
    </row>
    <row r="433" spans="1:14" s="5" customFormat="1" ht="30" customHeight="1" x14ac:dyDescent="0.25">
      <c r="A433" s="14" t="s">
        <v>12</v>
      </c>
      <c r="B433" s="16" t="s">
        <v>78</v>
      </c>
      <c r="C433" s="25" t="s">
        <v>86</v>
      </c>
      <c r="D433" s="168" t="s">
        <v>79</v>
      </c>
      <c r="E433" s="38">
        <v>0</v>
      </c>
      <c r="F433" s="39">
        <v>0</v>
      </c>
      <c r="G433" s="40">
        <v>0</v>
      </c>
      <c r="H433" s="41">
        <v>0</v>
      </c>
      <c r="I433" s="42">
        <f t="shared" si="97"/>
        <v>0</v>
      </c>
      <c r="J433" s="103" t="str">
        <f t="shared" si="98"/>
        <v/>
      </c>
      <c r="K433" s="104" t="str">
        <f t="shared" si="98"/>
        <v/>
      </c>
      <c r="L433" s="105" t="str">
        <f t="shared" si="98"/>
        <v/>
      </c>
      <c r="M433" s="106" t="str">
        <f t="shared" si="91"/>
        <v/>
      </c>
      <c r="N433" s="5" t="s">
        <v>1671</v>
      </c>
    </row>
    <row r="434" spans="1:14" ht="5.0999999999999996" customHeight="1" x14ac:dyDescent="0.25">
      <c r="A434" s="14" t="s">
        <v>12</v>
      </c>
      <c r="B434" s="16" t="s">
        <v>78</v>
      </c>
      <c r="C434"/>
      <c r="D434" s="57"/>
      <c r="E434" s="59"/>
      <c r="F434" s="59"/>
      <c r="G434" s="59"/>
      <c r="H434" s="59"/>
      <c r="I434" s="59"/>
      <c r="J434" s="103"/>
      <c r="K434" s="104"/>
      <c r="L434" s="105"/>
      <c r="M434" s="106" t="str">
        <f t="shared" si="91"/>
        <v/>
      </c>
    </row>
    <row r="435" spans="1:14" s="5" customFormat="1" ht="20.100000000000001" customHeight="1" x14ac:dyDescent="0.25">
      <c r="A435" s="14" t="s">
        <v>12</v>
      </c>
      <c r="B435" s="16" t="s">
        <v>1642</v>
      </c>
      <c r="C435" s="25" t="s">
        <v>60</v>
      </c>
      <c r="D435" s="6" t="s">
        <v>1644</v>
      </c>
      <c r="E435" s="37"/>
      <c r="F435" s="37"/>
      <c r="G435" s="37"/>
      <c r="H435" s="37"/>
      <c r="I435" s="48"/>
      <c r="J435" s="103"/>
      <c r="K435" s="104"/>
      <c r="L435" s="105"/>
      <c r="M435" s="106" t="str">
        <f t="shared" si="91"/>
        <v/>
      </c>
      <c r="N435" s="5" t="s">
        <v>1673</v>
      </c>
    </row>
    <row r="436" spans="1:14" s="5" customFormat="1" ht="30" customHeight="1" x14ac:dyDescent="0.25">
      <c r="A436" s="14" t="s">
        <v>12</v>
      </c>
      <c r="B436" s="16" t="s">
        <v>1642</v>
      </c>
      <c r="C436" s="25" t="s">
        <v>61</v>
      </c>
      <c r="D436" s="168" t="s">
        <v>1643</v>
      </c>
      <c r="E436" s="38">
        <v>0</v>
      </c>
      <c r="F436" s="39">
        <v>0</v>
      </c>
      <c r="G436" s="40">
        <v>0</v>
      </c>
      <c r="H436" s="41">
        <v>0</v>
      </c>
      <c r="I436" s="42">
        <f t="shared" ref="I436" si="99">SUM(E436:H436)</f>
        <v>0</v>
      </c>
      <c r="J436" s="103" t="str">
        <f>IFERROR(E436/$I436*100,"")</f>
        <v/>
      </c>
      <c r="K436" s="104" t="str">
        <f>IFERROR(F436/$I436*100,"")</f>
        <v/>
      </c>
      <c r="L436" s="105" t="str">
        <f>IFERROR(G436/$I436*100,"")</f>
        <v/>
      </c>
      <c r="M436" s="106" t="str">
        <f t="shared" si="91"/>
        <v/>
      </c>
      <c r="N436" s="5" t="s">
        <v>1671</v>
      </c>
    </row>
    <row r="437" spans="1:14" ht="5.0999999999999996" customHeight="1" x14ac:dyDescent="0.25">
      <c r="A437" s="14" t="s">
        <v>12</v>
      </c>
      <c r="B437" s="16" t="s">
        <v>1642</v>
      </c>
      <c r="C437"/>
      <c r="D437" s="57"/>
      <c r="E437" s="59"/>
      <c r="F437" s="59"/>
      <c r="G437" s="59"/>
      <c r="H437" s="59"/>
      <c r="I437" s="59"/>
      <c r="J437" s="103"/>
      <c r="K437" s="104"/>
      <c r="L437" s="105"/>
      <c r="M437" s="106" t="str">
        <f t="shared" si="91"/>
        <v/>
      </c>
    </row>
    <row r="438" spans="1:14" s="5" customFormat="1" ht="20.100000000000001" customHeight="1" x14ac:dyDescent="0.25">
      <c r="A438" s="14" t="s">
        <v>12</v>
      </c>
      <c r="B438" s="16" t="s">
        <v>91</v>
      </c>
      <c r="C438" s="25" t="s">
        <v>60</v>
      </c>
      <c r="D438" s="6" t="s">
        <v>89</v>
      </c>
      <c r="E438" s="37"/>
      <c r="F438" s="37"/>
      <c r="G438" s="37"/>
      <c r="H438" s="37"/>
      <c r="I438" s="48"/>
      <c r="J438" s="103"/>
      <c r="K438" s="104"/>
      <c r="L438" s="105"/>
      <c r="M438" s="106" t="str">
        <f t="shared" si="91"/>
        <v/>
      </c>
      <c r="N438" s="5" t="s">
        <v>1673</v>
      </c>
    </row>
    <row r="439" spans="1:14" s="5" customFormat="1" ht="30" customHeight="1" x14ac:dyDescent="0.25">
      <c r="A439" s="14" t="s">
        <v>12</v>
      </c>
      <c r="B439" s="16" t="s">
        <v>91</v>
      </c>
      <c r="C439" s="25" t="s">
        <v>61</v>
      </c>
      <c r="D439" s="168" t="s">
        <v>90</v>
      </c>
      <c r="E439" s="38">
        <v>0</v>
      </c>
      <c r="F439" s="39">
        <v>0</v>
      </c>
      <c r="G439" s="40">
        <v>0</v>
      </c>
      <c r="H439" s="41">
        <v>0</v>
      </c>
      <c r="I439" s="42">
        <f t="shared" ref="I439" si="100">SUM(E439:H439)</f>
        <v>0</v>
      </c>
      <c r="J439" s="103" t="str">
        <f>IFERROR(E439/$I439*100,"")</f>
        <v/>
      </c>
      <c r="K439" s="104" t="str">
        <f>IFERROR(F439/$I439*100,"")</f>
        <v/>
      </c>
      <c r="L439" s="105" t="str">
        <f>IFERROR(G439/$I439*100,"")</f>
        <v/>
      </c>
      <c r="M439" s="106" t="str">
        <f t="shared" si="91"/>
        <v/>
      </c>
      <c r="N439" s="5" t="s">
        <v>1671</v>
      </c>
    </row>
    <row r="440" spans="1:14" ht="5.0999999999999996" customHeight="1" x14ac:dyDescent="0.25">
      <c r="A440" s="14" t="s">
        <v>12</v>
      </c>
      <c r="B440" s="16" t="s">
        <v>91</v>
      </c>
      <c r="C440"/>
      <c r="D440" s="57"/>
      <c r="E440" s="59"/>
      <c r="F440" s="59"/>
      <c r="G440" s="59"/>
      <c r="H440" s="59"/>
      <c r="I440" s="59"/>
      <c r="J440" s="103"/>
      <c r="K440" s="104"/>
      <c r="L440" s="105"/>
      <c r="M440" s="106" t="str">
        <f t="shared" si="91"/>
        <v/>
      </c>
    </row>
    <row r="441" spans="1:14" s="5" customFormat="1" ht="20.100000000000001" customHeight="1" x14ac:dyDescent="0.25">
      <c r="A441" s="14" t="s">
        <v>12</v>
      </c>
      <c r="B441" s="16" t="s">
        <v>1637</v>
      </c>
      <c r="C441" s="25" t="s">
        <v>60</v>
      </c>
      <c r="D441" s="6" t="s">
        <v>1636</v>
      </c>
      <c r="E441" s="37"/>
      <c r="F441" s="37"/>
      <c r="G441" s="37"/>
      <c r="H441" s="37"/>
      <c r="I441" s="48"/>
      <c r="J441" s="103"/>
      <c r="K441" s="104"/>
      <c r="L441" s="105"/>
      <c r="M441" s="106" t="str">
        <f t="shared" si="91"/>
        <v/>
      </c>
      <c r="N441" s="5" t="s">
        <v>1673</v>
      </c>
    </row>
    <row r="442" spans="1:14" s="3" customFormat="1" ht="30" customHeight="1" x14ac:dyDescent="0.25">
      <c r="A442" s="14" t="s">
        <v>12</v>
      </c>
      <c r="B442" s="16" t="s">
        <v>1637</v>
      </c>
      <c r="C442" s="25" t="s">
        <v>61</v>
      </c>
      <c r="D442" s="168" t="s">
        <v>1638</v>
      </c>
      <c r="E442" s="38">
        <v>0</v>
      </c>
      <c r="F442" s="39">
        <v>0</v>
      </c>
      <c r="G442" s="40">
        <v>0</v>
      </c>
      <c r="H442" s="41">
        <v>0</v>
      </c>
      <c r="I442" s="42">
        <f t="shared" ref="I442:I447" si="101">SUM(E442:H442)</f>
        <v>0</v>
      </c>
      <c r="J442" s="103" t="str">
        <f t="shared" ref="J442:L446" si="102">IFERROR(E442/$I442*100,"")</f>
        <v/>
      </c>
      <c r="K442" s="104" t="str">
        <f t="shared" si="102"/>
        <v/>
      </c>
      <c r="L442" s="105" t="str">
        <f t="shared" si="102"/>
        <v/>
      </c>
      <c r="M442" s="106" t="str">
        <f t="shared" si="91"/>
        <v/>
      </c>
    </row>
    <row r="443" spans="1:14" s="3" customFormat="1" ht="30" customHeight="1" x14ac:dyDescent="0.25">
      <c r="A443" s="14" t="s">
        <v>12</v>
      </c>
      <c r="B443" s="16" t="s">
        <v>1637</v>
      </c>
      <c r="C443" s="25" t="s">
        <v>61</v>
      </c>
      <c r="D443" s="168" t="s">
        <v>1669</v>
      </c>
      <c r="E443" s="38">
        <v>0</v>
      </c>
      <c r="F443" s="39">
        <v>0</v>
      </c>
      <c r="G443" s="40">
        <v>0</v>
      </c>
      <c r="H443" s="41">
        <v>0</v>
      </c>
      <c r="I443" s="42">
        <f t="shared" si="101"/>
        <v>0</v>
      </c>
      <c r="J443" s="103" t="str">
        <f t="shared" si="102"/>
        <v/>
      </c>
      <c r="K443" s="104" t="str">
        <f t="shared" si="102"/>
        <v/>
      </c>
      <c r="L443" s="105" t="str">
        <f t="shared" si="102"/>
        <v/>
      </c>
      <c r="M443" s="106" t="str">
        <f t="shared" si="91"/>
        <v/>
      </c>
    </row>
    <row r="444" spans="1:14" s="3" customFormat="1" ht="30" customHeight="1" x14ac:dyDescent="0.25">
      <c r="A444" s="14" t="s">
        <v>12</v>
      </c>
      <c r="B444" s="16" t="s">
        <v>1637</v>
      </c>
      <c r="C444" s="25" t="s">
        <v>61</v>
      </c>
      <c r="D444" s="168" t="s">
        <v>1640</v>
      </c>
      <c r="E444" s="38">
        <v>0</v>
      </c>
      <c r="F444" s="39">
        <v>0</v>
      </c>
      <c r="G444" s="40">
        <v>0</v>
      </c>
      <c r="H444" s="41">
        <v>0</v>
      </c>
      <c r="I444" s="42">
        <f t="shared" si="101"/>
        <v>0</v>
      </c>
      <c r="J444" s="103" t="str">
        <f t="shared" si="102"/>
        <v/>
      </c>
      <c r="K444" s="104" t="str">
        <f t="shared" si="102"/>
        <v/>
      </c>
      <c r="L444" s="105" t="str">
        <f t="shared" si="102"/>
        <v/>
      </c>
      <c r="M444" s="106" t="str">
        <f t="shared" si="91"/>
        <v/>
      </c>
    </row>
    <row r="445" spans="1:14" s="3" customFormat="1" ht="30" customHeight="1" x14ac:dyDescent="0.25">
      <c r="A445" s="14" t="s">
        <v>12</v>
      </c>
      <c r="B445" s="16" t="s">
        <v>1637</v>
      </c>
      <c r="C445" s="25" t="s">
        <v>61</v>
      </c>
      <c r="D445" s="168" t="s">
        <v>1639</v>
      </c>
      <c r="E445" s="38">
        <v>0</v>
      </c>
      <c r="F445" s="39">
        <v>0</v>
      </c>
      <c r="G445" s="40">
        <v>0</v>
      </c>
      <c r="H445" s="41">
        <v>0</v>
      </c>
      <c r="I445" s="42">
        <f t="shared" si="101"/>
        <v>0</v>
      </c>
      <c r="J445" s="103" t="str">
        <f t="shared" si="102"/>
        <v/>
      </c>
      <c r="K445" s="104" t="str">
        <f t="shared" si="102"/>
        <v/>
      </c>
      <c r="L445" s="105" t="str">
        <f t="shared" si="102"/>
        <v/>
      </c>
      <c r="M445" s="106" t="str">
        <f t="shared" si="91"/>
        <v/>
      </c>
    </row>
    <row r="446" spans="1:14" s="3" customFormat="1" ht="30" customHeight="1" x14ac:dyDescent="0.25">
      <c r="A446" s="14" t="s">
        <v>12</v>
      </c>
      <c r="B446" s="16" t="s">
        <v>1637</v>
      </c>
      <c r="C446" s="25" t="s">
        <v>61</v>
      </c>
      <c r="D446" s="168" t="s">
        <v>1641</v>
      </c>
      <c r="E446" s="38">
        <v>0</v>
      </c>
      <c r="F446" s="39">
        <v>0</v>
      </c>
      <c r="G446" s="40">
        <v>0</v>
      </c>
      <c r="H446" s="41">
        <v>0</v>
      </c>
      <c r="I446" s="42">
        <f t="shared" si="101"/>
        <v>0</v>
      </c>
      <c r="J446" s="103" t="str">
        <f t="shared" si="102"/>
        <v/>
      </c>
      <c r="K446" s="104" t="str">
        <f t="shared" si="102"/>
        <v/>
      </c>
      <c r="L446" s="105" t="str">
        <f t="shared" si="102"/>
        <v/>
      </c>
      <c r="M446" s="106" t="str">
        <f t="shared" si="91"/>
        <v/>
      </c>
    </row>
    <row r="447" spans="1:14" s="3" customFormat="1" ht="30" customHeight="1" x14ac:dyDescent="0.25">
      <c r="A447" s="14" t="s">
        <v>12</v>
      </c>
      <c r="B447" s="16" t="s">
        <v>1637</v>
      </c>
      <c r="C447" s="25"/>
      <c r="D447" s="168" t="s">
        <v>29</v>
      </c>
      <c r="E447" s="38">
        <f>SUM(E442:E446)</f>
        <v>0</v>
      </c>
      <c r="F447" s="39">
        <f>SUM(F442:F446)</f>
        <v>0</v>
      </c>
      <c r="G447" s="40">
        <f>SUM(G442:G446)</f>
        <v>0</v>
      </c>
      <c r="H447" s="41">
        <f>SUM(H442:H446)</f>
        <v>0</v>
      </c>
      <c r="I447" s="42">
        <f t="shared" si="101"/>
        <v>0</v>
      </c>
      <c r="J447" s="103" t="str">
        <f>IFERROR(E447/SUM($E447:$H447)*100,"")</f>
        <v/>
      </c>
      <c r="K447" s="104" t="str">
        <f>IFERROR(F447/SUM($E447:$H447)*100,"")</f>
        <v/>
      </c>
      <c r="L447" s="105" t="str">
        <f>IFERROR(G447/SUM($E447:$H447)*100,"")</f>
        <v/>
      </c>
      <c r="M447" s="106" t="str">
        <f t="shared" si="91"/>
        <v/>
      </c>
      <c r="N447" s="5" t="s">
        <v>1671</v>
      </c>
    </row>
    <row r="448" spans="1:14" ht="5.0999999999999996" customHeight="1" x14ac:dyDescent="0.25">
      <c r="A448" s="14" t="s">
        <v>12</v>
      </c>
      <c r="B448" s="16" t="s">
        <v>1637</v>
      </c>
      <c r="C448"/>
      <c r="J448" s="103"/>
      <c r="K448" s="104"/>
      <c r="L448" s="105"/>
      <c r="M448" s="106" t="str">
        <f t="shared" si="91"/>
        <v/>
      </c>
    </row>
    <row r="449" spans="1:14" s="5" customFormat="1" ht="20.100000000000001" customHeight="1" x14ac:dyDescent="0.25">
      <c r="A449" s="14" t="s">
        <v>12</v>
      </c>
      <c r="B449" s="16" t="s">
        <v>42</v>
      </c>
      <c r="C449" s="25" t="s">
        <v>60</v>
      </c>
      <c r="D449" s="6" t="s">
        <v>1744</v>
      </c>
      <c r="E449" s="37"/>
      <c r="F449" s="37"/>
      <c r="G449" s="37"/>
      <c r="H449" s="37"/>
      <c r="I449" s="48"/>
      <c r="J449" s="103"/>
      <c r="K449" s="104"/>
      <c r="L449" s="105"/>
      <c r="M449" s="106" t="str">
        <f t="shared" si="91"/>
        <v/>
      </c>
      <c r="N449" s="5" t="s">
        <v>1673</v>
      </c>
    </row>
    <row r="450" spans="1:14" s="3" customFormat="1" ht="30" customHeight="1" x14ac:dyDescent="0.25">
      <c r="A450" s="14" t="s">
        <v>12</v>
      </c>
      <c r="B450" s="16" t="s">
        <v>42</v>
      </c>
      <c r="C450" s="25" t="s">
        <v>61</v>
      </c>
      <c r="D450" s="168" t="s">
        <v>43</v>
      </c>
      <c r="E450" s="38">
        <v>0</v>
      </c>
      <c r="F450" s="39">
        <v>0</v>
      </c>
      <c r="G450" s="40">
        <v>0</v>
      </c>
      <c r="H450" s="41">
        <v>0</v>
      </c>
      <c r="I450" s="42">
        <f t="shared" ref="I450:I459" si="103">SUM(E450:H450)</f>
        <v>0</v>
      </c>
      <c r="J450" s="103" t="str">
        <f t="shared" ref="J450:L459" si="104">IFERROR(E450/$I450*100,"")</f>
        <v/>
      </c>
      <c r="K450" s="104" t="str">
        <f t="shared" si="104"/>
        <v/>
      </c>
      <c r="L450" s="105" t="str">
        <f t="shared" si="104"/>
        <v/>
      </c>
      <c r="M450" s="106" t="str">
        <f t="shared" si="91"/>
        <v/>
      </c>
    </row>
    <row r="451" spans="1:14" s="3" customFormat="1" ht="30" customHeight="1" x14ac:dyDescent="0.25">
      <c r="A451" s="14" t="s">
        <v>12</v>
      </c>
      <c r="B451" s="16" t="s">
        <v>42</v>
      </c>
      <c r="C451" s="25" t="s">
        <v>61</v>
      </c>
      <c r="D451" s="168" t="s">
        <v>44</v>
      </c>
      <c r="E451" s="38">
        <v>0</v>
      </c>
      <c r="F451" s="39">
        <v>0</v>
      </c>
      <c r="G451" s="40">
        <v>0</v>
      </c>
      <c r="H451" s="41">
        <v>0</v>
      </c>
      <c r="I451" s="42">
        <f t="shared" si="103"/>
        <v>0</v>
      </c>
      <c r="J451" s="103" t="str">
        <f t="shared" si="104"/>
        <v/>
      </c>
      <c r="K451" s="104" t="str">
        <f t="shared" si="104"/>
        <v/>
      </c>
      <c r="L451" s="105" t="str">
        <f t="shared" si="104"/>
        <v/>
      </c>
      <c r="M451" s="106" t="str">
        <f t="shared" si="91"/>
        <v/>
      </c>
    </row>
    <row r="452" spans="1:14" s="3" customFormat="1" ht="30" customHeight="1" x14ac:dyDescent="0.25">
      <c r="A452" s="14" t="s">
        <v>12</v>
      </c>
      <c r="B452" s="16" t="s">
        <v>42</v>
      </c>
      <c r="C452" s="25" t="s">
        <v>61</v>
      </c>
      <c r="D452" s="168" t="s">
        <v>45</v>
      </c>
      <c r="E452" s="38">
        <v>0</v>
      </c>
      <c r="F452" s="39">
        <v>0</v>
      </c>
      <c r="G452" s="40">
        <v>0</v>
      </c>
      <c r="H452" s="41">
        <v>0</v>
      </c>
      <c r="I452" s="42">
        <f t="shared" si="103"/>
        <v>0</v>
      </c>
      <c r="J452" s="103" t="str">
        <f t="shared" si="104"/>
        <v/>
      </c>
      <c r="K452" s="104" t="str">
        <f t="shared" si="104"/>
        <v/>
      </c>
      <c r="L452" s="105" t="str">
        <f t="shared" si="104"/>
        <v/>
      </c>
      <c r="M452" s="106" t="str">
        <f t="shared" si="91"/>
        <v/>
      </c>
    </row>
    <row r="453" spans="1:14" s="3" customFormat="1" ht="30" customHeight="1" x14ac:dyDescent="0.25">
      <c r="A453" s="14" t="s">
        <v>12</v>
      </c>
      <c r="B453" s="16" t="s">
        <v>42</v>
      </c>
      <c r="C453" s="25" t="s">
        <v>61</v>
      </c>
      <c r="D453" s="168" t="s">
        <v>46</v>
      </c>
      <c r="E453" s="38">
        <v>0</v>
      </c>
      <c r="F453" s="39">
        <v>0</v>
      </c>
      <c r="G453" s="40">
        <v>0</v>
      </c>
      <c r="H453" s="41">
        <v>0</v>
      </c>
      <c r="I453" s="42">
        <f t="shared" si="103"/>
        <v>0</v>
      </c>
      <c r="J453" s="103" t="str">
        <f t="shared" si="104"/>
        <v/>
      </c>
      <c r="K453" s="104" t="str">
        <f t="shared" si="104"/>
        <v/>
      </c>
      <c r="L453" s="105" t="str">
        <f t="shared" si="104"/>
        <v/>
      </c>
      <c r="M453" s="106" t="str">
        <f t="shared" si="91"/>
        <v/>
      </c>
    </row>
    <row r="454" spans="1:14" s="3" customFormat="1" ht="30" customHeight="1" x14ac:dyDescent="0.25">
      <c r="A454" s="14" t="s">
        <v>12</v>
      </c>
      <c r="B454" s="16" t="s">
        <v>42</v>
      </c>
      <c r="C454" s="25" t="s">
        <v>61</v>
      </c>
      <c r="D454" s="168" t="s">
        <v>51</v>
      </c>
      <c r="E454" s="38">
        <v>0</v>
      </c>
      <c r="F454" s="39">
        <v>0</v>
      </c>
      <c r="G454" s="40">
        <v>0</v>
      </c>
      <c r="H454" s="41">
        <v>0</v>
      </c>
      <c r="I454" s="42">
        <f t="shared" si="103"/>
        <v>0</v>
      </c>
      <c r="J454" s="103" t="str">
        <f t="shared" si="104"/>
        <v/>
      </c>
      <c r="K454" s="104" t="str">
        <f t="shared" si="104"/>
        <v/>
      </c>
      <c r="L454" s="105" t="str">
        <f t="shared" si="104"/>
        <v/>
      </c>
      <c r="M454" s="106" t="str">
        <f t="shared" si="91"/>
        <v/>
      </c>
    </row>
    <row r="455" spans="1:14" s="3" customFormat="1" ht="30" customHeight="1" x14ac:dyDescent="0.25">
      <c r="A455" s="14" t="s">
        <v>12</v>
      </c>
      <c r="B455" s="16" t="s">
        <v>42</v>
      </c>
      <c r="C455" s="25" t="s">
        <v>61</v>
      </c>
      <c r="D455" s="168" t="s">
        <v>52</v>
      </c>
      <c r="E455" s="38">
        <v>0</v>
      </c>
      <c r="F455" s="39">
        <v>0</v>
      </c>
      <c r="G455" s="40">
        <v>0</v>
      </c>
      <c r="H455" s="41">
        <v>0</v>
      </c>
      <c r="I455" s="42">
        <f t="shared" si="103"/>
        <v>0</v>
      </c>
      <c r="J455" s="103" t="str">
        <f t="shared" si="104"/>
        <v/>
      </c>
      <c r="K455" s="104" t="str">
        <f t="shared" si="104"/>
        <v/>
      </c>
      <c r="L455" s="105" t="str">
        <f t="shared" si="104"/>
        <v/>
      </c>
      <c r="M455" s="106" t="str">
        <f t="shared" si="91"/>
        <v/>
      </c>
    </row>
    <row r="456" spans="1:14" s="3" customFormat="1" ht="30" customHeight="1" x14ac:dyDescent="0.25">
      <c r="A456" s="14" t="s">
        <v>12</v>
      </c>
      <c r="B456" s="16" t="s">
        <v>42</v>
      </c>
      <c r="C456" s="25" t="s">
        <v>61</v>
      </c>
      <c r="D456" s="168" t="s">
        <v>47</v>
      </c>
      <c r="E456" s="38">
        <v>0</v>
      </c>
      <c r="F456" s="39">
        <v>0</v>
      </c>
      <c r="G456" s="40">
        <v>0</v>
      </c>
      <c r="H456" s="41">
        <v>0</v>
      </c>
      <c r="I456" s="42">
        <f t="shared" si="103"/>
        <v>0</v>
      </c>
      <c r="J456" s="103" t="str">
        <f t="shared" si="104"/>
        <v/>
      </c>
      <c r="K456" s="104" t="str">
        <f t="shared" si="104"/>
        <v/>
      </c>
      <c r="L456" s="105" t="str">
        <f t="shared" si="104"/>
        <v/>
      </c>
      <c r="M456" s="106" t="str">
        <f t="shared" si="91"/>
        <v/>
      </c>
    </row>
    <row r="457" spans="1:14" s="3" customFormat="1" ht="30" customHeight="1" x14ac:dyDescent="0.25">
      <c r="A457" s="14" t="s">
        <v>12</v>
      </c>
      <c r="B457" s="16" t="s">
        <v>42</v>
      </c>
      <c r="C457" s="25" t="s">
        <v>61</v>
      </c>
      <c r="D457" s="168" t="s">
        <v>48</v>
      </c>
      <c r="E457" s="38">
        <v>0</v>
      </c>
      <c r="F457" s="39">
        <v>0</v>
      </c>
      <c r="G457" s="40">
        <v>0</v>
      </c>
      <c r="H457" s="41">
        <v>0</v>
      </c>
      <c r="I457" s="42">
        <f t="shared" si="103"/>
        <v>0</v>
      </c>
      <c r="J457" s="103" t="str">
        <f t="shared" si="104"/>
        <v/>
      </c>
      <c r="K457" s="104" t="str">
        <f t="shared" si="104"/>
        <v/>
      </c>
      <c r="L457" s="105" t="str">
        <f t="shared" si="104"/>
        <v/>
      </c>
      <c r="M457" s="106" t="str">
        <f t="shared" si="91"/>
        <v/>
      </c>
    </row>
    <row r="458" spans="1:14" s="3" customFormat="1" ht="30" customHeight="1" x14ac:dyDescent="0.25">
      <c r="A458" s="14" t="s">
        <v>12</v>
      </c>
      <c r="B458" s="16" t="s">
        <v>42</v>
      </c>
      <c r="C458" s="25" t="s">
        <v>61</v>
      </c>
      <c r="D458" s="168" t="s">
        <v>49</v>
      </c>
      <c r="E458" s="38">
        <v>0</v>
      </c>
      <c r="F458" s="39">
        <v>0</v>
      </c>
      <c r="G458" s="40">
        <v>0</v>
      </c>
      <c r="H458" s="41">
        <v>0</v>
      </c>
      <c r="I458" s="42">
        <f t="shared" si="103"/>
        <v>0</v>
      </c>
      <c r="J458" s="103" t="str">
        <f t="shared" si="104"/>
        <v/>
      </c>
      <c r="K458" s="104" t="str">
        <f t="shared" si="104"/>
        <v/>
      </c>
      <c r="L458" s="105" t="str">
        <f t="shared" si="104"/>
        <v/>
      </c>
      <c r="M458" s="106" t="str">
        <f t="shared" si="91"/>
        <v/>
      </c>
    </row>
    <row r="459" spans="1:14" s="3" customFormat="1" ht="30" customHeight="1" x14ac:dyDescent="0.25">
      <c r="A459" s="14" t="s">
        <v>12</v>
      </c>
      <c r="B459" s="16" t="s">
        <v>42</v>
      </c>
      <c r="C459" s="25" t="s">
        <v>61</v>
      </c>
      <c r="D459" s="168" t="s">
        <v>50</v>
      </c>
      <c r="E459" s="38">
        <v>0</v>
      </c>
      <c r="F459" s="39">
        <v>0</v>
      </c>
      <c r="G459" s="40">
        <v>0</v>
      </c>
      <c r="H459" s="41">
        <v>0</v>
      </c>
      <c r="I459" s="42">
        <f t="shared" si="103"/>
        <v>0</v>
      </c>
      <c r="J459" s="103" t="str">
        <f t="shared" si="104"/>
        <v/>
      </c>
      <c r="K459" s="104" t="str">
        <f t="shared" si="104"/>
        <v/>
      </c>
      <c r="L459" s="105" t="str">
        <f t="shared" si="104"/>
        <v/>
      </c>
      <c r="M459" s="106" t="str">
        <f t="shared" si="91"/>
        <v/>
      </c>
    </row>
    <row r="460" spans="1:14" s="8" customFormat="1" ht="30" customHeight="1" x14ac:dyDescent="0.25">
      <c r="A460" s="14" t="s">
        <v>12</v>
      </c>
      <c r="B460" s="16" t="s">
        <v>42</v>
      </c>
      <c r="C460" s="25"/>
      <c r="D460" s="9" t="s">
        <v>29</v>
      </c>
      <c r="E460" s="38">
        <f>SUM(E450:E459)</f>
        <v>0</v>
      </c>
      <c r="F460" s="39">
        <f t="shared" ref="F460:I460" si="105">SUM(F450:F459)</f>
        <v>0</v>
      </c>
      <c r="G460" s="40">
        <f t="shared" si="105"/>
        <v>0</v>
      </c>
      <c r="H460" s="41">
        <f t="shared" si="105"/>
        <v>0</v>
      </c>
      <c r="I460" s="43">
        <f t="shared" si="105"/>
        <v>0</v>
      </c>
      <c r="J460" s="103" t="str">
        <f>IFERROR(E460/SUM($E460:$H460)*100,"")</f>
        <v/>
      </c>
      <c r="K460" s="104" t="str">
        <f>IFERROR(F460/SUM($E460:$H460)*100,"")</f>
        <v/>
      </c>
      <c r="L460" s="105" t="str">
        <f>IFERROR(G460/SUM($E460:$H460)*100,"")</f>
        <v/>
      </c>
      <c r="M460" s="106" t="str">
        <f t="shared" si="91"/>
        <v/>
      </c>
      <c r="N460" s="5" t="s">
        <v>1671</v>
      </c>
    </row>
    <row r="461" spans="1:14" ht="5.0999999999999996" customHeight="1" x14ac:dyDescent="0.25">
      <c r="A461" s="14" t="s">
        <v>12</v>
      </c>
      <c r="B461" s="16" t="s">
        <v>42</v>
      </c>
      <c r="C461"/>
      <c r="D461" s="57"/>
      <c r="E461" s="59"/>
      <c r="F461" s="59"/>
      <c r="G461" s="59"/>
      <c r="H461" s="59"/>
      <c r="I461" s="59"/>
      <c r="J461" s="103"/>
      <c r="K461" s="104"/>
      <c r="L461" s="105"/>
      <c r="M461" s="106" t="str">
        <f t="shared" ref="M461:M524" si="106">IFERROR(H461/$I461*100,"")</f>
        <v/>
      </c>
    </row>
    <row r="462" spans="1:14" s="7" customFormat="1" ht="20.100000000000001" customHeight="1" x14ac:dyDescent="0.25">
      <c r="A462" s="14" t="s">
        <v>12</v>
      </c>
      <c r="B462" s="16" t="s">
        <v>62</v>
      </c>
      <c r="C462" s="25" t="s">
        <v>60</v>
      </c>
      <c r="D462" s="62" t="s">
        <v>63</v>
      </c>
      <c r="E462" s="63"/>
      <c r="F462" s="63"/>
      <c r="G462" s="63"/>
      <c r="H462" s="63"/>
      <c r="I462" s="64"/>
      <c r="J462" s="103"/>
      <c r="K462" s="104"/>
      <c r="L462" s="105"/>
      <c r="M462" s="106" t="str">
        <f t="shared" si="106"/>
        <v/>
      </c>
      <c r="N462" s="5" t="s">
        <v>1673</v>
      </c>
    </row>
    <row r="463" spans="1:14" s="8" customFormat="1" ht="30" customHeight="1" x14ac:dyDescent="0.25">
      <c r="A463" s="14" t="s">
        <v>12</v>
      </c>
      <c r="B463" s="16" t="s">
        <v>62</v>
      </c>
      <c r="C463" s="25"/>
      <c r="D463" s="168" t="s">
        <v>29</v>
      </c>
      <c r="E463" s="38">
        <f>SUM(E413,E402,E421,E460,E416,E424,E433,E439,E447,E436)</f>
        <v>0</v>
      </c>
      <c r="F463" s="39">
        <f>SUM(F413,F402,F421,F460,F416,F424,F433,F439,F447,F436)</f>
        <v>0</v>
      </c>
      <c r="G463" s="40">
        <f>SUM(G413,G402,G421,G460,G416,G424,G433,G439,G447,G436)</f>
        <v>0</v>
      </c>
      <c r="H463" s="41">
        <f>SUM(H413,H402,H421,H460,H416,H424,H433,H439,H447,H436)</f>
        <v>0</v>
      </c>
      <c r="I463" s="42">
        <f>SUM(I413,I402,I421,I460,I416,I424,I433,I439,I447,I436)</f>
        <v>0</v>
      </c>
      <c r="J463" s="103" t="str">
        <f>IFERROR(E463/SUM($E463:$H463)*100,"")</f>
        <v/>
      </c>
      <c r="K463" s="104" t="str">
        <f>IFERROR(F463/SUM($E463:$H463)*100,"")</f>
        <v/>
      </c>
      <c r="L463" s="105" t="str">
        <f>IFERROR(G463/SUM($E463:$H463)*100,"")</f>
        <v/>
      </c>
      <c r="M463" s="106" t="str">
        <f t="shared" si="106"/>
        <v/>
      </c>
      <c r="N463" s="5" t="s">
        <v>1671</v>
      </c>
    </row>
    <row r="464" spans="1:14" s="5" customFormat="1" ht="20.100000000000001" customHeight="1" x14ac:dyDescent="0.25">
      <c r="A464" s="14" t="s">
        <v>12</v>
      </c>
      <c r="B464" s="14"/>
      <c r="C464" s="25" t="s">
        <v>60</v>
      </c>
      <c r="D464" s="58"/>
      <c r="E464" s="60"/>
      <c r="F464" s="60"/>
      <c r="G464" s="61"/>
      <c r="H464" s="60"/>
      <c r="I464" s="60"/>
      <c r="J464" s="103"/>
      <c r="K464" s="104"/>
      <c r="L464" s="105"/>
      <c r="M464" s="106" t="str">
        <f t="shared" si="106"/>
        <v/>
      </c>
    </row>
    <row r="465" spans="1:14" s="5" customFormat="1" ht="20.100000000000001" customHeight="1" x14ac:dyDescent="0.25">
      <c r="A465" s="14" t="s">
        <v>5</v>
      </c>
      <c r="B465" s="14"/>
      <c r="C465" s="25" t="s">
        <v>60</v>
      </c>
      <c r="D465" s="20" t="str">
        <f>IFERROR(A465&amp;"   ("&amp;COUNTIFS(#REF!,"="&amp;A465)&amp;")",A465)</f>
        <v>DOC</v>
      </c>
      <c r="E465" s="45"/>
      <c r="F465" s="45"/>
      <c r="G465" s="45"/>
      <c r="H465" s="45"/>
      <c r="I465" s="46"/>
      <c r="J465" s="103"/>
      <c r="K465" s="104"/>
      <c r="L465" s="105"/>
      <c r="M465" s="106" t="str">
        <f t="shared" si="106"/>
        <v/>
      </c>
      <c r="N465" s="5" t="s">
        <v>1672</v>
      </c>
    </row>
    <row r="466" spans="1:14" s="5" customFormat="1" ht="20.100000000000001" customHeight="1" x14ac:dyDescent="0.25">
      <c r="A466" s="14" t="s">
        <v>5</v>
      </c>
      <c r="B466" s="16" t="s">
        <v>20</v>
      </c>
      <c r="C466" s="25" t="s">
        <v>60</v>
      </c>
      <c r="D466" s="6" t="s">
        <v>20</v>
      </c>
      <c r="E466" s="37"/>
      <c r="F466" s="37"/>
      <c r="G466" s="37"/>
      <c r="H466" s="37"/>
      <c r="I466" s="48"/>
      <c r="J466" s="103"/>
      <c r="K466" s="104"/>
      <c r="L466" s="105"/>
      <c r="M466" s="106" t="str">
        <f t="shared" si="106"/>
        <v/>
      </c>
      <c r="N466" s="5" t="s">
        <v>1673</v>
      </c>
    </row>
    <row r="467" spans="1:14" s="5" customFormat="1" ht="30" customHeight="1" x14ac:dyDescent="0.25">
      <c r="A467" s="14" t="s">
        <v>5</v>
      </c>
      <c r="B467" s="16" t="s">
        <v>20</v>
      </c>
      <c r="C467" s="25" t="s">
        <v>61</v>
      </c>
      <c r="D467" s="168" t="s">
        <v>25</v>
      </c>
      <c r="E467" s="38">
        <v>0</v>
      </c>
      <c r="F467" s="39">
        <v>0</v>
      </c>
      <c r="G467" s="40">
        <v>0</v>
      </c>
      <c r="H467" s="41">
        <v>0</v>
      </c>
      <c r="I467" s="42">
        <f>SUM(E467:H467)</f>
        <v>0</v>
      </c>
      <c r="J467" s="103" t="str">
        <f>IFERROR(E467/$I467*100,"")</f>
        <v/>
      </c>
      <c r="K467" s="104" t="str">
        <f>IFERROR(F467/$I467*100,"")</f>
        <v/>
      </c>
      <c r="L467" s="105" t="str">
        <f>IFERROR(G467/$I467*100,"")</f>
        <v/>
      </c>
      <c r="M467" s="106" t="str">
        <f t="shared" si="106"/>
        <v/>
      </c>
      <c r="N467" s="5" t="s">
        <v>1671</v>
      </c>
    </row>
    <row r="468" spans="1:14" ht="5.0999999999999996" customHeight="1" x14ac:dyDescent="0.25">
      <c r="A468" s="14" t="s">
        <v>5</v>
      </c>
      <c r="B468" s="16" t="s">
        <v>20</v>
      </c>
      <c r="C468"/>
      <c r="D468" s="57"/>
      <c r="E468" s="59"/>
      <c r="F468" s="59"/>
      <c r="G468" s="59"/>
      <c r="H468" s="59"/>
      <c r="I468" s="59"/>
      <c r="J468" s="103"/>
      <c r="K468" s="104"/>
      <c r="L468" s="105"/>
      <c r="M468" s="106" t="str">
        <f t="shared" si="106"/>
        <v/>
      </c>
    </row>
    <row r="469" spans="1:14" s="5" customFormat="1" ht="20.100000000000001" customHeight="1" x14ac:dyDescent="0.25">
      <c r="A469" s="14" t="s">
        <v>5</v>
      </c>
      <c r="B469" s="16" t="s">
        <v>26</v>
      </c>
      <c r="C469" s="25" t="s">
        <v>60</v>
      </c>
      <c r="D469" s="6" t="s">
        <v>98</v>
      </c>
      <c r="E469" s="37"/>
      <c r="F469" s="37"/>
      <c r="G469" s="37"/>
      <c r="H469" s="37"/>
      <c r="I469" s="47"/>
      <c r="J469" s="103"/>
      <c r="K469" s="104"/>
      <c r="L469" s="105"/>
      <c r="M469" s="106" t="str">
        <f t="shared" si="106"/>
        <v/>
      </c>
      <c r="N469" s="5" t="s">
        <v>1673</v>
      </c>
    </row>
    <row r="470" spans="1:14" s="5" customFormat="1" ht="30" customHeight="1" x14ac:dyDescent="0.25">
      <c r="A470" s="14" t="s">
        <v>5</v>
      </c>
      <c r="B470" s="16" t="s">
        <v>26</v>
      </c>
      <c r="C470" s="25" t="s">
        <v>61</v>
      </c>
      <c r="D470" s="169" t="s">
        <v>21</v>
      </c>
      <c r="E470" s="38">
        <v>0</v>
      </c>
      <c r="F470" s="39">
        <v>0</v>
      </c>
      <c r="G470" s="40">
        <v>0</v>
      </c>
      <c r="H470" s="41">
        <v>0</v>
      </c>
      <c r="I470" s="42">
        <f t="shared" ref="I470:I477" si="107">SUM(E470:H470)</f>
        <v>0</v>
      </c>
      <c r="J470" s="103" t="str">
        <f t="shared" ref="J470:L477" si="108">IFERROR(E470/$I470*100,"")</f>
        <v/>
      </c>
      <c r="K470" s="104" t="str">
        <f t="shared" si="108"/>
        <v/>
      </c>
      <c r="L470" s="105" t="str">
        <f t="shared" si="108"/>
        <v/>
      </c>
      <c r="M470" s="106" t="str">
        <f t="shared" si="106"/>
        <v/>
      </c>
    </row>
    <row r="471" spans="1:14" s="5" customFormat="1" ht="30" customHeight="1" x14ac:dyDescent="0.25">
      <c r="A471" s="14" t="s">
        <v>5</v>
      </c>
      <c r="B471" s="16" t="s">
        <v>26</v>
      </c>
      <c r="C471" s="25" t="s">
        <v>61</v>
      </c>
      <c r="D471" s="169" t="s">
        <v>22</v>
      </c>
      <c r="E471" s="38">
        <v>0</v>
      </c>
      <c r="F471" s="39">
        <v>0</v>
      </c>
      <c r="G471" s="40">
        <v>0</v>
      </c>
      <c r="H471" s="41">
        <v>0</v>
      </c>
      <c r="I471" s="42">
        <f t="shared" si="107"/>
        <v>0</v>
      </c>
      <c r="J471" s="103" t="str">
        <f t="shared" si="108"/>
        <v/>
      </c>
      <c r="K471" s="104" t="str">
        <f t="shared" si="108"/>
        <v/>
      </c>
      <c r="L471" s="105" t="str">
        <f t="shared" si="108"/>
        <v/>
      </c>
      <c r="M471" s="106" t="str">
        <f t="shared" si="106"/>
        <v/>
      </c>
    </row>
    <row r="472" spans="1:14" s="5" customFormat="1" ht="30" customHeight="1" x14ac:dyDescent="0.25">
      <c r="A472" s="14" t="s">
        <v>5</v>
      </c>
      <c r="B472" s="16" t="s">
        <v>26</v>
      </c>
      <c r="C472" s="25" t="s">
        <v>61</v>
      </c>
      <c r="D472" s="169" t="s">
        <v>27</v>
      </c>
      <c r="E472" s="38">
        <v>0</v>
      </c>
      <c r="F472" s="39">
        <v>0</v>
      </c>
      <c r="G472" s="40">
        <v>0</v>
      </c>
      <c r="H472" s="41">
        <v>0</v>
      </c>
      <c r="I472" s="42">
        <f t="shared" si="107"/>
        <v>0</v>
      </c>
      <c r="J472" s="103" t="str">
        <f t="shared" si="108"/>
        <v/>
      </c>
      <c r="K472" s="104" t="str">
        <f t="shared" si="108"/>
        <v/>
      </c>
      <c r="L472" s="105" t="str">
        <f t="shared" si="108"/>
        <v/>
      </c>
      <c r="M472" s="106" t="str">
        <f t="shared" si="106"/>
        <v/>
      </c>
    </row>
    <row r="473" spans="1:14" s="5" customFormat="1" ht="30" customHeight="1" x14ac:dyDescent="0.25">
      <c r="A473" s="14" t="s">
        <v>5</v>
      </c>
      <c r="B473" s="16" t="s">
        <v>26</v>
      </c>
      <c r="C473" s="25" t="s">
        <v>61</v>
      </c>
      <c r="D473" s="169" t="s">
        <v>23</v>
      </c>
      <c r="E473" s="38">
        <v>0</v>
      </c>
      <c r="F473" s="39">
        <v>0</v>
      </c>
      <c r="G473" s="40">
        <v>0</v>
      </c>
      <c r="H473" s="41">
        <v>0</v>
      </c>
      <c r="I473" s="42">
        <f t="shared" si="107"/>
        <v>0</v>
      </c>
      <c r="J473" s="103" t="str">
        <f t="shared" si="108"/>
        <v/>
      </c>
      <c r="K473" s="104" t="str">
        <f t="shared" si="108"/>
        <v/>
      </c>
      <c r="L473" s="105" t="str">
        <f t="shared" si="108"/>
        <v/>
      </c>
      <c r="M473" s="106" t="str">
        <f t="shared" si="106"/>
        <v/>
      </c>
    </row>
    <row r="474" spans="1:14" s="5" customFormat="1" ht="30" customHeight="1" x14ac:dyDescent="0.25">
      <c r="A474" s="14" t="s">
        <v>5</v>
      </c>
      <c r="B474" s="16" t="s">
        <v>26</v>
      </c>
      <c r="C474" s="25" t="s">
        <v>61</v>
      </c>
      <c r="D474" s="169" t="s">
        <v>24</v>
      </c>
      <c r="E474" s="38">
        <v>0</v>
      </c>
      <c r="F474" s="39">
        <v>0</v>
      </c>
      <c r="G474" s="40">
        <v>0</v>
      </c>
      <c r="H474" s="41">
        <v>0</v>
      </c>
      <c r="I474" s="42">
        <f t="shared" si="107"/>
        <v>0</v>
      </c>
      <c r="J474" s="103" t="str">
        <f t="shared" si="108"/>
        <v/>
      </c>
      <c r="K474" s="104" t="str">
        <f t="shared" si="108"/>
        <v/>
      </c>
      <c r="L474" s="105" t="str">
        <f t="shared" si="108"/>
        <v/>
      </c>
      <c r="M474" s="106" t="str">
        <f t="shared" si="106"/>
        <v/>
      </c>
    </row>
    <row r="475" spans="1:14" s="3" customFormat="1" ht="30" customHeight="1" x14ac:dyDescent="0.25">
      <c r="A475" s="14" t="s">
        <v>5</v>
      </c>
      <c r="B475" s="16" t="s">
        <v>26</v>
      </c>
      <c r="C475" s="25" t="s">
        <v>61</v>
      </c>
      <c r="D475" s="169" t="s">
        <v>41</v>
      </c>
      <c r="E475" s="38">
        <v>0</v>
      </c>
      <c r="F475" s="39">
        <v>0</v>
      </c>
      <c r="G475" s="40">
        <v>0</v>
      </c>
      <c r="H475" s="41">
        <v>0</v>
      </c>
      <c r="I475" s="42">
        <f t="shared" si="107"/>
        <v>0</v>
      </c>
      <c r="J475" s="103" t="str">
        <f t="shared" si="108"/>
        <v/>
      </c>
      <c r="K475" s="104" t="str">
        <f t="shared" si="108"/>
        <v/>
      </c>
      <c r="L475" s="105" t="str">
        <f t="shared" si="108"/>
        <v/>
      </c>
      <c r="M475" s="106" t="str">
        <f t="shared" si="106"/>
        <v/>
      </c>
    </row>
    <row r="476" spans="1:14" s="5" customFormat="1" ht="30" customHeight="1" x14ac:dyDescent="0.25">
      <c r="A476" s="14" t="s">
        <v>5</v>
      </c>
      <c r="B476" s="16" t="s">
        <v>26</v>
      </c>
      <c r="C476" s="25" t="s">
        <v>61</v>
      </c>
      <c r="D476" s="169" t="s">
        <v>28</v>
      </c>
      <c r="E476" s="38">
        <v>0</v>
      </c>
      <c r="F476" s="39">
        <v>0</v>
      </c>
      <c r="G476" s="40">
        <v>0</v>
      </c>
      <c r="H476" s="41">
        <v>0</v>
      </c>
      <c r="I476" s="42">
        <f t="shared" si="107"/>
        <v>0</v>
      </c>
      <c r="J476" s="103" t="str">
        <f t="shared" si="108"/>
        <v/>
      </c>
      <c r="K476" s="104" t="str">
        <f t="shared" si="108"/>
        <v/>
      </c>
      <c r="L476" s="105" t="str">
        <f t="shared" si="108"/>
        <v/>
      </c>
      <c r="M476" s="106" t="str">
        <f t="shared" si="106"/>
        <v/>
      </c>
    </row>
    <row r="477" spans="1:14" s="5" customFormat="1" ht="30" customHeight="1" x14ac:dyDescent="0.25">
      <c r="A477" s="14" t="s">
        <v>5</v>
      </c>
      <c r="B477" s="16" t="s">
        <v>26</v>
      </c>
      <c r="C477" s="25" t="s">
        <v>61</v>
      </c>
      <c r="D477" s="169" t="s">
        <v>40</v>
      </c>
      <c r="E477" s="38">
        <v>0</v>
      </c>
      <c r="F477" s="39">
        <v>0</v>
      </c>
      <c r="G477" s="40">
        <v>0</v>
      </c>
      <c r="H477" s="41">
        <v>0</v>
      </c>
      <c r="I477" s="42">
        <f t="shared" si="107"/>
        <v>0</v>
      </c>
      <c r="J477" s="103" t="str">
        <f t="shared" si="108"/>
        <v/>
      </c>
      <c r="K477" s="104" t="str">
        <f t="shared" si="108"/>
        <v/>
      </c>
      <c r="L477" s="105" t="str">
        <f t="shared" si="108"/>
        <v/>
      </c>
      <c r="M477" s="106" t="str">
        <f t="shared" si="106"/>
        <v/>
      </c>
    </row>
    <row r="478" spans="1:14" s="8" customFormat="1" ht="30" customHeight="1" x14ac:dyDescent="0.25">
      <c r="A478" s="14" t="s">
        <v>5</v>
      </c>
      <c r="B478" s="16" t="s">
        <v>26</v>
      </c>
      <c r="C478" s="25"/>
      <c r="D478" s="9" t="s">
        <v>29</v>
      </c>
      <c r="E478" s="38">
        <f>SUM(E470:E477)</f>
        <v>0</v>
      </c>
      <c r="F478" s="39">
        <f t="shared" ref="F478:I478" si="109">SUM(F470:F477)</f>
        <v>0</v>
      </c>
      <c r="G478" s="40">
        <f t="shared" si="109"/>
        <v>0</v>
      </c>
      <c r="H478" s="41">
        <f t="shared" si="109"/>
        <v>0</v>
      </c>
      <c r="I478" s="43">
        <f t="shared" si="109"/>
        <v>0</v>
      </c>
      <c r="J478" s="103" t="str">
        <f>IFERROR(E478/SUM($E478:$H478)*100,"")</f>
        <v/>
      </c>
      <c r="K478" s="104" t="str">
        <f>IFERROR(F478/SUM($E478:$H478)*100,"")</f>
        <v/>
      </c>
      <c r="L478" s="105" t="str">
        <f>IFERROR(G478/SUM($E478:$H478)*100,"")</f>
        <v/>
      </c>
      <c r="M478" s="106" t="str">
        <f t="shared" si="106"/>
        <v/>
      </c>
      <c r="N478" s="5" t="s">
        <v>1671</v>
      </c>
    </row>
    <row r="479" spans="1:14" ht="5.0999999999999996" customHeight="1" x14ac:dyDescent="0.25">
      <c r="A479" s="14" t="s">
        <v>5</v>
      </c>
      <c r="B479" s="16" t="s">
        <v>26</v>
      </c>
      <c r="C479"/>
      <c r="D479" s="57"/>
      <c r="E479" s="59"/>
      <c r="F479" s="59"/>
      <c r="G479" s="59"/>
      <c r="H479" s="59"/>
      <c r="I479" s="59"/>
      <c r="J479" s="103"/>
      <c r="K479" s="104"/>
      <c r="L479" s="105"/>
      <c r="M479" s="106" t="str">
        <f t="shared" si="106"/>
        <v/>
      </c>
    </row>
    <row r="480" spans="1:14" s="5" customFormat="1" ht="20.100000000000001" customHeight="1" x14ac:dyDescent="0.25">
      <c r="A480" s="14" t="s">
        <v>5</v>
      </c>
      <c r="B480" s="16" t="s">
        <v>64</v>
      </c>
      <c r="C480" s="25" t="s">
        <v>60</v>
      </c>
      <c r="D480" s="6" t="s">
        <v>65</v>
      </c>
      <c r="E480" s="37"/>
      <c r="F480" s="37"/>
      <c r="G480" s="37"/>
      <c r="H480" s="37"/>
      <c r="I480" s="48"/>
      <c r="J480" s="103"/>
      <c r="K480" s="104"/>
      <c r="L480" s="105"/>
      <c r="M480" s="106" t="str">
        <f t="shared" si="106"/>
        <v/>
      </c>
      <c r="N480" s="5" t="s">
        <v>1673</v>
      </c>
    </row>
    <row r="481" spans="1:14" s="5" customFormat="1" ht="30" customHeight="1" x14ac:dyDescent="0.25">
      <c r="A481" s="14" t="s">
        <v>5</v>
      </c>
      <c r="B481" s="16" t="s">
        <v>64</v>
      </c>
      <c r="C481" s="25" t="s">
        <v>61</v>
      </c>
      <c r="D481" s="168" t="s">
        <v>66</v>
      </c>
      <c r="E481" s="38">
        <v>0</v>
      </c>
      <c r="F481" s="39">
        <v>0</v>
      </c>
      <c r="G481" s="40">
        <v>0</v>
      </c>
      <c r="H481" s="41">
        <v>0</v>
      </c>
      <c r="I481" s="42">
        <f>SUM(E481:H481)</f>
        <v>0</v>
      </c>
      <c r="J481" s="103" t="str">
        <f>IFERROR(E481/$I481*100,"")</f>
        <v/>
      </c>
      <c r="K481" s="104" t="str">
        <f>IFERROR(F481/$I481*100,"")</f>
        <v/>
      </c>
      <c r="L481" s="105" t="str">
        <f>IFERROR(G481/$I481*100,"")</f>
        <v/>
      </c>
      <c r="M481" s="106" t="str">
        <f t="shared" si="106"/>
        <v/>
      </c>
      <c r="N481" s="5" t="s">
        <v>1671</v>
      </c>
    </row>
    <row r="482" spans="1:14" ht="5.0999999999999996" customHeight="1" x14ac:dyDescent="0.25">
      <c r="A482" s="14" t="s">
        <v>5</v>
      </c>
      <c r="B482" s="16" t="s">
        <v>64</v>
      </c>
      <c r="C482"/>
      <c r="D482" s="57"/>
      <c r="E482" s="59"/>
      <c r="F482" s="59"/>
      <c r="G482" s="59"/>
      <c r="H482" s="59"/>
      <c r="I482" s="59"/>
      <c r="J482" s="103"/>
      <c r="K482" s="104"/>
      <c r="L482" s="105"/>
      <c r="M482" s="106" t="str">
        <f t="shared" si="106"/>
        <v/>
      </c>
    </row>
    <row r="483" spans="1:14" s="5" customFormat="1" ht="20.100000000000001" customHeight="1" x14ac:dyDescent="0.25">
      <c r="A483" s="14" t="s">
        <v>5</v>
      </c>
      <c r="B483" s="16" t="s">
        <v>55</v>
      </c>
      <c r="C483" s="25" t="s">
        <v>60</v>
      </c>
      <c r="D483" s="6" t="s">
        <v>55</v>
      </c>
      <c r="E483" s="37"/>
      <c r="F483" s="37"/>
      <c r="G483" s="37"/>
      <c r="H483" s="37"/>
      <c r="I483" s="48"/>
      <c r="J483" s="103"/>
      <c r="K483" s="104"/>
      <c r="L483" s="105"/>
      <c r="M483" s="106" t="str">
        <f t="shared" si="106"/>
        <v/>
      </c>
      <c r="N483" s="5" t="s">
        <v>1673</v>
      </c>
    </row>
    <row r="484" spans="1:14" s="3" customFormat="1" ht="30" customHeight="1" x14ac:dyDescent="0.25">
      <c r="A484" s="14" t="s">
        <v>5</v>
      </c>
      <c r="B484" s="16" t="s">
        <v>55</v>
      </c>
      <c r="C484" s="25" t="s">
        <v>61</v>
      </c>
      <c r="D484" s="168" t="s">
        <v>56</v>
      </c>
      <c r="E484" s="38">
        <v>0</v>
      </c>
      <c r="F484" s="39">
        <v>0</v>
      </c>
      <c r="G484" s="40">
        <v>0</v>
      </c>
      <c r="H484" s="41">
        <v>0</v>
      </c>
      <c r="I484" s="42">
        <f>SUM(E484:H484)</f>
        <v>0</v>
      </c>
      <c r="J484" s="103" t="str">
        <f t="shared" ref="J484:L486" si="110">IFERROR(E484/$I484*100,"")</f>
        <v/>
      </c>
      <c r="K484" s="104" t="str">
        <f t="shared" si="110"/>
        <v/>
      </c>
      <c r="L484" s="105" t="str">
        <f t="shared" si="110"/>
        <v/>
      </c>
      <c r="M484" s="106" t="str">
        <f t="shared" si="106"/>
        <v/>
      </c>
      <c r="N484" s="5"/>
    </row>
    <row r="485" spans="1:14" s="3" customFormat="1" ht="30" customHeight="1" x14ac:dyDescent="0.25">
      <c r="A485" s="14" t="s">
        <v>5</v>
      </c>
      <c r="B485" s="16" t="s">
        <v>55</v>
      </c>
      <c r="C485" s="25" t="s">
        <v>61</v>
      </c>
      <c r="D485" s="168" t="s">
        <v>57</v>
      </c>
      <c r="E485" s="38">
        <v>0</v>
      </c>
      <c r="F485" s="39">
        <v>0</v>
      </c>
      <c r="G485" s="40">
        <v>0</v>
      </c>
      <c r="H485" s="41">
        <v>0</v>
      </c>
      <c r="I485" s="42">
        <f>SUM(E485:H485)</f>
        <v>0</v>
      </c>
      <c r="J485" s="103" t="str">
        <f t="shared" si="110"/>
        <v/>
      </c>
      <c r="K485" s="104" t="str">
        <f t="shared" si="110"/>
        <v/>
      </c>
      <c r="L485" s="105" t="str">
        <f t="shared" si="110"/>
        <v/>
      </c>
      <c r="M485" s="106" t="str">
        <f t="shared" si="106"/>
        <v/>
      </c>
    </row>
    <row r="486" spans="1:14" s="3" customFormat="1" ht="30" customHeight="1" x14ac:dyDescent="0.25">
      <c r="A486" s="14" t="s">
        <v>5</v>
      </c>
      <c r="B486" s="16" t="s">
        <v>55</v>
      </c>
      <c r="C486" s="25"/>
      <c r="D486" s="168" t="s">
        <v>29</v>
      </c>
      <c r="E486" s="38">
        <f>SUM(E484:E485)</f>
        <v>0</v>
      </c>
      <c r="F486" s="39">
        <f t="shared" ref="F486:I486" si="111">SUM(F484:F485)</f>
        <v>0</v>
      </c>
      <c r="G486" s="40">
        <f t="shared" si="111"/>
        <v>0</v>
      </c>
      <c r="H486" s="41">
        <f t="shared" si="111"/>
        <v>0</v>
      </c>
      <c r="I486" s="42">
        <f t="shared" si="111"/>
        <v>0</v>
      </c>
      <c r="J486" s="103" t="str">
        <f t="shared" si="110"/>
        <v/>
      </c>
      <c r="K486" s="104" t="str">
        <f t="shared" si="110"/>
        <v/>
      </c>
      <c r="L486" s="105" t="str">
        <f t="shared" si="110"/>
        <v/>
      </c>
      <c r="M486" s="106" t="str">
        <f t="shared" si="106"/>
        <v/>
      </c>
      <c r="N486" s="5" t="s">
        <v>1671</v>
      </c>
    </row>
    <row r="487" spans="1:14" ht="5.0999999999999996" customHeight="1" x14ac:dyDescent="0.25">
      <c r="A487" s="14" t="s">
        <v>5</v>
      </c>
      <c r="B487" s="16" t="s">
        <v>55</v>
      </c>
      <c r="C487"/>
      <c r="J487" s="103"/>
      <c r="K487" s="104"/>
      <c r="L487" s="105"/>
      <c r="M487" s="106" t="str">
        <f t="shared" si="106"/>
        <v/>
      </c>
    </row>
    <row r="488" spans="1:14" s="5" customFormat="1" ht="20.100000000000001" customHeight="1" x14ac:dyDescent="0.25">
      <c r="A488" s="14" t="s">
        <v>5</v>
      </c>
      <c r="B488" s="16" t="s">
        <v>74</v>
      </c>
      <c r="C488" s="25" t="s">
        <v>60</v>
      </c>
      <c r="D488" s="6" t="s">
        <v>75</v>
      </c>
      <c r="E488" s="37"/>
      <c r="F488" s="37"/>
      <c r="G488" s="37"/>
      <c r="H488" s="37"/>
      <c r="I488" s="48"/>
      <c r="J488" s="103"/>
      <c r="K488" s="104"/>
      <c r="L488" s="105"/>
      <c r="M488" s="106" t="str">
        <f t="shared" si="106"/>
        <v/>
      </c>
      <c r="N488" s="5" t="s">
        <v>1673</v>
      </c>
    </row>
    <row r="489" spans="1:14" s="3" customFormat="1" ht="30" customHeight="1" x14ac:dyDescent="0.25">
      <c r="A489" s="14" t="s">
        <v>5</v>
      </c>
      <c r="B489" s="16" t="s">
        <v>74</v>
      </c>
      <c r="C489" s="25" t="s">
        <v>61</v>
      </c>
      <c r="D489" s="168" t="s">
        <v>77</v>
      </c>
      <c r="E489" s="38">
        <v>0</v>
      </c>
      <c r="F489" s="39">
        <v>0</v>
      </c>
      <c r="G489" s="40">
        <v>0</v>
      </c>
      <c r="H489" s="41">
        <v>0</v>
      </c>
      <c r="I489" s="42">
        <f>SUM(E489:H489)</f>
        <v>0</v>
      </c>
      <c r="J489" s="103" t="str">
        <f>IFERROR(E489/$I489*100,"")</f>
        <v/>
      </c>
      <c r="K489" s="104" t="str">
        <f>IFERROR(F489/$I489*100,"")</f>
        <v/>
      </c>
      <c r="L489" s="105" t="str">
        <f>IFERROR(G489/$I489*100,"")</f>
        <v/>
      </c>
      <c r="M489" s="106" t="str">
        <f t="shared" si="106"/>
        <v/>
      </c>
      <c r="N489" s="3" t="s">
        <v>1671</v>
      </c>
    </row>
    <row r="490" spans="1:14" ht="5.0999999999999996" customHeight="1" x14ac:dyDescent="0.25">
      <c r="A490" s="14" t="s">
        <v>5</v>
      </c>
      <c r="B490" s="16" t="s">
        <v>74</v>
      </c>
      <c r="C490"/>
      <c r="J490" s="103"/>
      <c r="K490" s="104"/>
      <c r="L490" s="105"/>
      <c r="M490" s="106" t="str">
        <f t="shared" si="106"/>
        <v/>
      </c>
    </row>
    <row r="491" spans="1:14" s="5" customFormat="1" ht="20.100000000000001" customHeight="1" x14ac:dyDescent="0.25">
      <c r="A491" s="14" t="s">
        <v>5</v>
      </c>
      <c r="B491" s="16" t="s">
        <v>78</v>
      </c>
      <c r="C491" s="25" t="s">
        <v>60</v>
      </c>
      <c r="D491" s="6" t="s">
        <v>80</v>
      </c>
      <c r="E491" s="37"/>
      <c r="F491" s="37"/>
      <c r="G491" s="37"/>
      <c r="H491" s="37"/>
      <c r="I491" s="48"/>
      <c r="J491" s="103"/>
      <c r="K491" s="104"/>
      <c r="L491" s="105"/>
      <c r="M491" s="106" t="str">
        <f t="shared" si="106"/>
        <v/>
      </c>
      <c r="N491" s="5" t="s">
        <v>1673</v>
      </c>
    </row>
    <row r="492" spans="1:14" s="5" customFormat="1" ht="30" customHeight="1" x14ac:dyDescent="0.25">
      <c r="A492" s="14" t="s">
        <v>5</v>
      </c>
      <c r="B492" s="16" t="s">
        <v>78</v>
      </c>
      <c r="C492" s="25" t="s">
        <v>61</v>
      </c>
      <c r="D492" s="168" t="s">
        <v>81</v>
      </c>
      <c r="E492" s="38">
        <v>0</v>
      </c>
      <c r="F492" s="39">
        <v>0</v>
      </c>
      <c r="G492" s="40">
        <v>0</v>
      </c>
      <c r="H492" s="41">
        <v>0</v>
      </c>
      <c r="I492" s="42">
        <f t="shared" ref="I492:I498" si="112">SUM(E492:H492)</f>
        <v>0</v>
      </c>
      <c r="J492" s="103" t="str">
        <f t="shared" ref="J492:L498" si="113">IFERROR(E492/$I492*100,"")</f>
        <v/>
      </c>
      <c r="K492" s="104" t="str">
        <f t="shared" si="113"/>
        <v/>
      </c>
      <c r="L492" s="105" t="str">
        <f t="shared" si="113"/>
        <v/>
      </c>
      <c r="M492" s="106" t="str">
        <f t="shared" si="106"/>
        <v/>
      </c>
    </row>
    <row r="493" spans="1:14" s="5" customFormat="1" ht="30" customHeight="1" x14ac:dyDescent="0.25">
      <c r="A493" s="14" t="s">
        <v>5</v>
      </c>
      <c r="B493" s="16" t="s">
        <v>78</v>
      </c>
      <c r="C493" s="25" t="s">
        <v>61</v>
      </c>
      <c r="D493" s="168" t="s">
        <v>82</v>
      </c>
      <c r="E493" s="38">
        <v>0</v>
      </c>
      <c r="F493" s="39">
        <v>0</v>
      </c>
      <c r="G493" s="40">
        <v>0</v>
      </c>
      <c r="H493" s="41">
        <v>0</v>
      </c>
      <c r="I493" s="42">
        <f t="shared" si="112"/>
        <v>0</v>
      </c>
      <c r="J493" s="103" t="str">
        <f t="shared" si="113"/>
        <v/>
      </c>
      <c r="K493" s="104" t="str">
        <f t="shared" si="113"/>
        <v/>
      </c>
      <c r="L493" s="105" t="str">
        <f t="shared" si="113"/>
        <v/>
      </c>
      <c r="M493" s="106" t="str">
        <f t="shared" si="106"/>
        <v/>
      </c>
    </row>
    <row r="494" spans="1:14" s="5" customFormat="1" ht="30" customHeight="1" x14ac:dyDescent="0.25">
      <c r="A494" s="14" t="s">
        <v>5</v>
      </c>
      <c r="B494" s="16" t="s">
        <v>78</v>
      </c>
      <c r="C494" s="25" t="s">
        <v>61</v>
      </c>
      <c r="D494" s="168" t="s">
        <v>83</v>
      </c>
      <c r="E494" s="38">
        <v>0</v>
      </c>
      <c r="F494" s="39">
        <v>0</v>
      </c>
      <c r="G494" s="40">
        <v>0</v>
      </c>
      <c r="H494" s="41">
        <v>0</v>
      </c>
      <c r="I494" s="42">
        <f t="shared" si="112"/>
        <v>0</v>
      </c>
      <c r="J494" s="103" t="str">
        <f t="shared" si="113"/>
        <v/>
      </c>
      <c r="K494" s="104" t="str">
        <f t="shared" si="113"/>
        <v/>
      </c>
      <c r="L494" s="105" t="str">
        <f t="shared" si="113"/>
        <v/>
      </c>
      <c r="M494" s="106" t="str">
        <f t="shared" si="106"/>
        <v/>
      </c>
    </row>
    <row r="495" spans="1:14" s="5" customFormat="1" ht="30" customHeight="1" x14ac:dyDescent="0.25">
      <c r="A495" s="14" t="s">
        <v>5</v>
      </c>
      <c r="B495" s="16" t="s">
        <v>78</v>
      </c>
      <c r="C495" s="25" t="s">
        <v>61</v>
      </c>
      <c r="D495" s="168" t="s">
        <v>88</v>
      </c>
      <c r="E495" s="38">
        <v>0</v>
      </c>
      <c r="F495" s="39">
        <v>0</v>
      </c>
      <c r="G495" s="40">
        <v>0</v>
      </c>
      <c r="H495" s="41">
        <v>0</v>
      </c>
      <c r="I495" s="42">
        <f t="shared" si="112"/>
        <v>0</v>
      </c>
      <c r="J495" s="103" t="str">
        <f t="shared" si="113"/>
        <v/>
      </c>
      <c r="K495" s="104" t="str">
        <f t="shared" si="113"/>
        <v/>
      </c>
      <c r="L495" s="105" t="str">
        <f t="shared" si="113"/>
        <v/>
      </c>
      <c r="M495" s="106" t="str">
        <f t="shared" si="106"/>
        <v/>
      </c>
    </row>
    <row r="496" spans="1:14" s="5" customFormat="1" ht="30" customHeight="1" x14ac:dyDescent="0.25">
      <c r="A496" s="14" t="s">
        <v>5</v>
      </c>
      <c r="B496" s="16" t="s">
        <v>78</v>
      </c>
      <c r="C496" s="25" t="s">
        <v>61</v>
      </c>
      <c r="D496" s="168" t="s">
        <v>87</v>
      </c>
      <c r="E496" s="38">
        <v>0</v>
      </c>
      <c r="F496" s="39">
        <v>0</v>
      </c>
      <c r="G496" s="40">
        <v>0</v>
      </c>
      <c r="H496" s="41">
        <v>0</v>
      </c>
      <c r="I496" s="42">
        <f t="shared" si="112"/>
        <v>0</v>
      </c>
      <c r="J496" s="103" t="str">
        <f t="shared" si="113"/>
        <v/>
      </c>
      <c r="K496" s="104" t="str">
        <f t="shared" si="113"/>
        <v/>
      </c>
      <c r="L496" s="105" t="str">
        <f t="shared" si="113"/>
        <v/>
      </c>
      <c r="M496" s="106" t="str">
        <f t="shared" si="106"/>
        <v/>
      </c>
    </row>
    <row r="497" spans="1:14" s="5" customFormat="1" ht="30" customHeight="1" x14ac:dyDescent="0.25">
      <c r="A497" s="14" t="s">
        <v>5</v>
      </c>
      <c r="B497" s="16" t="s">
        <v>78</v>
      </c>
      <c r="C497" s="25" t="s">
        <v>61</v>
      </c>
      <c r="D497" s="168" t="s">
        <v>84</v>
      </c>
      <c r="E497" s="38">
        <v>0</v>
      </c>
      <c r="F497" s="39">
        <v>0</v>
      </c>
      <c r="G497" s="40">
        <v>0</v>
      </c>
      <c r="H497" s="41">
        <v>0</v>
      </c>
      <c r="I497" s="42">
        <f t="shared" si="112"/>
        <v>0</v>
      </c>
      <c r="J497" s="103" t="str">
        <f t="shared" si="113"/>
        <v/>
      </c>
      <c r="K497" s="104" t="str">
        <f t="shared" si="113"/>
        <v/>
      </c>
      <c r="L497" s="105" t="str">
        <f t="shared" si="113"/>
        <v/>
      </c>
      <c r="M497" s="106" t="str">
        <f t="shared" si="106"/>
        <v/>
      </c>
    </row>
    <row r="498" spans="1:14" s="5" customFormat="1" ht="30" customHeight="1" x14ac:dyDescent="0.25">
      <c r="A498" s="14" t="s">
        <v>5</v>
      </c>
      <c r="B498" s="16" t="s">
        <v>78</v>
      </c>
      <c r="C498" s="25" t="s">
        <v>86</v>
      </c>
      <c r="D498" s="168" t="s">
        <v>79</v>
      </c>
      <c r="E498" s="38">
        <v>0</v>
      </c>
      <c r="F498" s="39">
        <v>0</v>
      </c>
      <c r="G498" s="40">
        <v>0</v>
      </c>
      <c r="H498" s="41">
        <v>0</v>
      </c>
      <c r="I498" s="42">
        <f t="shared" si="112"/>
        <v>0</v>
      </c>
      <c r="J498" s="103" t="str">
        <f t="shared" si="113"/>
        <v/>
      </c>
      <c r="K498" s="104" t="str">
        <f t="shared" si="113"/>
        <v/>
      </c>
      <c r="L498" s="105" t="str">
        <f t="shared" si="113"/>
        <v/>
      </c>
      <c r="M498" s="106" t="str">
        <f t="shared" si="106"/>
        <v/>
      </c>
      <c r="N498" s="5" t="s">
        <v>1671</v>
      </c>
    </row>
    <row r="499" spans="1:14" ht="5.0999999999999996" customHeight="1" x14ac:dyDescent="0.25">
      <c r="A499" s="14" t="s">
        <v>5</v>
      </c>
      <c r="B499" s="16" t="s">
        <v>78</v>
      </c>
      <c r="C499"/>
      <c r="D499" s="57"/>
      <c r="E499" s="59"/>
      <c r="F499" s="59"/>
      <c r="G499" s="59"/>
      <c r="H499" s="59"/>
      <c r="I499" s="59"/>
      <c r="J499" s="103"/>
      <c r="K499" s="104"/>
      <c r="L499" s="105"/>
      <c r="M499" s="106" t="str">
        <f t="shared" si="106"/>
        <v/>
      </c>
    </row>
    <row r="500" spans="1:14" s="5" customFormat="1" ht="20.100000000000001" customHeight="1" x14ac:dyDescent="0.25">
      <c r="A500" s="14" t="s">
        <v>5</v>
      </c>
      <c r="B500" s="16" t="s">
        <v>1642</v>
      </c>
      <c r="C500" s="25" t="s">
        <v>60</v>
      </c>
      <c r="D500" s="6" t="s">
        <v>1644</v>
      </c>
      <c r="E500" s="37"/>
      <c r="F500" s="37"/>
      <c r="G500" s="37"/>
      <c r="H500" s="37"/>
      <c r="I500" s="48"/>
      <c r="J500" s="103"/>
      <c r="K500" s="104"/>
      <c r="L500" s="105"/>
      <c r="M500" s="106" t="str">
        <f t="shared" si="106"/>
        <v/>
      </c>
      <c r="N500" s="5" t="s">
        <v>1673</v>
      </c>
    </row>
    <row r="501" spans="1:14" s="5" customFormat="1" ht="30" customHeight="1" x14ac:dyDescent="0.25">
      <c r="A501" s="14" t="s">
        <v>5</v>
      </c>
      <c r="B501" s="16" t="s">
        <v>1642</v>
      </c>
      <c r="C501" s="25" t="s">
        <v>61</v>
      </c>
      <c r="D501" s="168" t="s">
        <v>1643</v>
      </c>
      <c r="E501" s="38">
        <v>0</v>
      </c>
      <c r="F501" s="39">
        <v>0</v>
      </c>
      <c r="G501" s="40">
        <v>0</v>
      </c>
      <c r="H501" s="41">
        <v>0</v>
      </c>
      <c r="I501" s="42">
        <f t="shared" ref="I501" si="114">SUM(E501:H501)</f>
        <v>0</v>
      </c>
      <c r="J501" s="103" t="str">
        <f>IFERROR(E501/$I501*100,"")</f>
        <v/>
      </c>
      <c r="K501" s="104" t="str">
        <f>IFERROR(F501/$I501*100,"")</f>
        <v/>
      </c>
      <c r="L501" s="105" t="str">
        <f>IFERROR(G501/$I501*100,"")</f>
        <v/>
      </c>
      <c r="M501" s="106" t="str">
        <f t="shared" si="106"/>
        <v/>
      </c>
      <c r="N501" s="5" t="s">
        <v>1671</v>
      </c>
    </row>
    <row r="502" spans="1:14" ht="5.0999999999999996" customHeight="1" x14ac:dyDescent="0.25">
      <c r="A502" s="14" t="s">
        <v>5</v>
      </c>
      <c r="B502" s="16" t="s">
        <v>1642</v>
      </c>
      <c r="C502"/>
      <c r="D502" s="57"/>
      <c r="E502" s="59"/>
      <c r="F502" s="59"/>
      <c r="G502" s="59"/>
      <c r="H502" s="59"/>
      <c r="I502" s="59"/>
      <c r="J502" s="103"/>
      <c r="K502" s="104"/>
      <c r="L502" s="105"/>
      <c r="M502" s="106" t="str">
        <f t="shared" si="106"/>
        <v/>
      </c>
    </row>
    <row r="503" spans="1:14" s="5" customFormat="1" ht="20.100000000000001" customHeight="1" x14ac:dyDescent="0.25">
      <c r="A503" s="14" t="s">
        <v>5</v>
      </c>
      <c r="B503" s="16" t="s">
        <v>91</v>
      </c>
      <c r="C503" s="25" t="s">
        <v>60</v>
      </c>
      <c r="D503" s="6" t="s">
        <v>89</v>
      </c>
      <c r="E503" s="37"/>
      <c r="F503" s="37"/>
      <c r="G503" s="37"/>
      <c r="H503" s="37"/>
      <c r="I503" s="48"/>
      <c r="J503" s="103"/>
      <c r="K503" s="104"/>
      <c r="L503" s="105"/>
      <c r="M503" s="106" t="str">
        <f t="shared" si="106"/>
        <v/>
      </c>
      <c r="N503" s="5" t="s">
        <v>1673</v>
      </c>
    </row>
    <row r="504" spans="1:14" s="5" customFormat="1" ht="30" customHeight="1" x14ac:dyDescent="0.25">
      <c r="A504" s="14" t="s">
        <v>5</v>
      </c>
      <c r="B504" s="16" t="s">
        <v>91</v>
      </c>
      <c r="C504" s="25" t="s">
        <v>61</v>
      </c>
      <c r="D504" s="168" t="s">
        <v>90</v>
      </c>
      <c r="E504" s="38">
        <v>0</v>
      </c>
      <c r="F504" s="39">
        <v>0</v>
      </c>
      <c r="G504" s="40">
        <v>0</v>
      </c>
      <c r="H504" s="41">
        <v>0</v>
      </c>
      <c r="I504" s="42">
        <f t="shared" ref="I504" si="115">SUM(E504:H504)</f>
        <v>0</v>
      </c>
      <c r="J504" s="103" t="str">
        <f>IFERROR(E504/$I504*100,"")</f>
        <v/>
      </c>
      <c r="K504" s="104" t="str">
        <f>IFERROR(F504/$I504*100,"")</f>
        <v/>
      </c>
      <c r="L504" s="105" t="str">
        <f>IFERROR(G504/$I504*100,"")</f>
        <v/>
      </c>
      <c r="M504" s="106" t="str">
        <f t="shared" si="106"/>
        <v/>
      </c>
      <c r="N504" s="5" t="s">
        <v>1671</v>
      </c>
    </row>
    <row r="505" spans="1:14" ht="5.0999999999999996" customHeight="1" x14ac:dyDescent="0.25">
      <c r="A505" s="14" t="s">
        <v>5</v>
      </c>
      <c r="B505" s="16" t="s">
        <v>91</v>
      </c>
      <c r="C505"/>
      <c r="D505" s="57"/>
      <c r="E505" s="59"/>
      <c r="F505" s="59"/>
      <c r="G505" s="59"/>
      <c r="H505" s="59"/>
      <c r="I505" s="59"/>
      <c r="J505" s="103"/>
      <c r="K505" s="104"/>
      <c r="L505" s="105"/>
      <c r="M505" s="106" t="str">
        <f t="shared" si="106"/>
        <v/>
      </c>
    </row>
    <row r="506" spans="1:14" s="5" customFormat="1" ht="20.100000000000001" customHeight="1" x14ac:dyDescent="0.25">
      <c r="A506" s="14" t="s">
        <v>5</v>
      </c>
      <c r="B506" s="16" t="s">
        <v>1637</v>
      </c>
      <c r="C506" s="25" t="s">
        <v>60</v>
      </c>
      <c r="D506" s="6" t="s">
        <v>1636</v>
      </c>
      <c r="E506" s="37"/>
      <c r="F506" s="37"/>
      <c r="G506" s="37"/>
      <c r="H506" s="37"/>
      <c r="I506" s="48"/>
      <c r="J506" s="103"/>
      <c r="K506" s="104"/>
      <c r="L506" s="105"/>
      <c r="M506" s="106" t="str">
        <f t="shared" si="106"/>
        <v/>
      </c>
      <c r="N506" s="5" t="s">
        <v>1673</v>
      </c>
    </row>
    <row r="507" spans="1:14" s="3" customFormat="1" ht="30" customHeight="1" x14ac:dyDescent="0.25">
      <c r="A507" s="14" t="s">
        <v>5</v>
      </c>
      <c r="B507" s="16" t="s">
        <v>1637</v>
      </c>
      <c r="C507" s="25" t="s">
        <v>61</v>
      </c>
      <c r="D507" s="168" t="s">
        <v>1638</v>
      </c>
      <c r="E507" s="38">
        <v>0</v>
      </c>
      <c r="F507" s="39">
        <v>0</v>
      </c>
      <c r="G507" s="40">
        <v>0</v>
      </c>
      <c r="H507" s="41">
        <v>0</v>
      </c>
      <c r="I507" s="42">
        <f t="shared" ref="I507:I512" si="116">SUM(E507:H507)</f>
        <v>0</v>
      </c>
      <c r="J507" s="103" t="str">
        <f t="shared" ref="J507:L511" si="117">IFERROR(E507/$I507*100,"")</f>
        <v/>
      </c>
      <c r="K507" s="104" t="str">
        <f t="shared" si="117"/>
        <v/>
      </c>
      <c r="L507" s="105" t="str">
        <f t="shared" si="117"/>
        <v/>
      </c>
      <c r="M507" s="106" t="str">
        <f t="shared" si="106"/>
        <v/>
      </c>
    </row>
    <row r="508" spans="1:14" s="3" customFormat="1" ht="30" customHeight="1" x14ac:dyDescent="0.25">
      <c r="A508" s="14" t="s">
        <v>5</v>
      </c>
      <c r="B508" s="16" t="s">
        <v>1637</v>
      </c>
      <c r="C508" s="25" t="s">
        <v>61</v>
      </c>
      <c r="D508" s="168" t="s">
        <v>1669</v>
      </c>
      <c r="E508" s="38">
        <v>0</v>
      </c>
      <c r="F508" s="39">
        <v>0</v>
      </c>
      <c r="G508" s="40">
        <v>0</v>
      </c>
      <c r="H508" s="41">
        <v>0</v>
      </c>
      <c r="I508" s="42">
        <f t="shared" si="116"/>
        <v>0</v>
      </c>
      <c r="J508" s="103" t="str">
        <f t="shared" si="117"/>
        <v/>
      </c>
      <c r="K508" s="104" t="str">
        <f t="shared" si="117"/>
        <v/>
      </c>
      <c r="L508" s="105" t="str">
        <f t="shared" si="117"/>
        <v/>
      </c>
      <c r="M508" s="106" t="str">
        <f t="shared" si="106"/>
        <v/>
      </c>
    </row>
    <row r="509" spans="1:14" s="3" customFormat="1" ht="30" customHeight="1" x14ac:dyDescent="0.25">
      <c r="A509" s="14" t="s">
        <v>5</v>
      </c>
      <c r="B509" s="16" t="s">
        <v>1637</v>
      </c>
      <c r="C509" s="25" t="s">
        <v>61</v>
      </c>
      <c r="D509" s="168" t="s">
        <v>1640</v>
      </c>
      <c r="E509" s="38">
        <v>0</v>
      </c>
      <c r="F509" s="39">
        <v>0</v>
      </c>
      <c r="G509" s="40">
        <v>0</v>
      </c>
      <c r="H509" s="41">
        <v>0</v>
      </c>
      <c r="I509" s="42">
        <f t="shared" si="116"/>
        <v>0</v>
      </c>
      <c r="J509" s="103" t="str">
        <f t="shared" si="117"/>
        <v/>
      </c>
      <c r="K509" s="104" t="str">
        <f t="shared" si="117"/>
        <v/>
      </c>
      <c r="L509" s="105" t="str">
        <f t="shared" si="117"/>
        <v/>
      </c>
      <c r="M509" s="106" t="str">
        <f t="shared" si="106"/>
        <v/>
      </c>
    </row>
    <row r="510" spans="1:14" s="3" customFormat="1" ht="30" customHeight="1" x14ac:dyDescent="0.25">
      <c r="A510" s="14" t="s">
        <v>5</v>
      </c>
      <c r="B510" s="16" t="s">
        <v>1637</v>
      </c>
      <c r="C510" s="25" t="s">
        <v>61</v>
      </c>
      <c r="D510" s="168" t="s">
        <v>1639</v>
      </c>
      <c r="E510" s="38">
        <v>0</v>
      </c>
      <c r="F510" s="39">
        <v>0</v>
      </c>
      <c r="G510" s="40">
        <v>0</v>
      </c>
      <c r="H510" s="41">
        <v>0</v>
      </c>
      <c r="I510" s="42">
        <f t="shared" si="116"/>
        <v>0</v>
      </c>
      <c r="J510" s="103" t="str">
        <f t="shared" si="117"/>
        <v/>
      </c>
      <c r="K510" s="104" t="str">
        <f t="shared" si="117"/>
        <v/>
      </c>
      <c r="L510" s="105" t="str">
        <f t="shared" si="117"/>
        <v/>
      </c>
      <c r="M510" s="106" t="str">
        <f t="shared" si="106"/>
        <v/>
      </c>
    </row>
    <row r="511" spans="1:14" s="3" customFormat="1" ht="30" customHeight="1" x14ac:dyDescent="0.25">
      <c r="A511" s="14" t="s">
        <v>5</v>
      </c>
      <c r="B511" s="16" t="s">
        <v>1637</v>
      </c>
      <c r="C511" s="25" t="s">
        <v>61</v>
      </c>
      <c r="D511" s="168" t="s">
        <v>1641</v>
      </c>
      <c r="E511" s="38">
        <v>0</v>
      </c>
      <c r="F511" s="39">
        <v>0</v>
      </c>
      <c r="G511" s="40">
        <v>0</v>
      </c>
      <c r="H511" s="41">
        <v>0</v>
      </c>
      <c r="I511" s="42">
        <f t="shared" si="116"/>
        <v>0</v>
      </c>
      <c r="J511" s="103" t="str">
        <f t="shared" si="117"/>
        <v/>
      </c>
      <c r="K511" s="104" t="str">
        <f t="shared" si="117"/>
        <v/>
      </c>
      <c r="L511" s="105" t="str">
        <f t="shared" si="117"/>
        <v/>
      </c>
      <c r="M511" s="106" t="str">
        <f t="shared" si="106"/>
        <v/>
      </c>
    </row>
    <row r="512" spans="1:14" s="3" customFormat="1" ht="30" customHeight="1" x14ac:dyDescent="0.25">
      <c r="A512" s="14" t="s">
        <v>5</v>
      </c>
      <c r="B512" s="16" t="s">
        <v>1637</v>
      </c>
      <c r="C512" s="25"/>
      <c r="D512" s="168" t="s">
        <v>29</v>
      </c>
      <c r="E512" s="38">
        <f>SUM(E507:E511)</f>
        <v>0</v>
      </c>
      <c r="F512" s="39">
        <f>SUM(F507:F511)</f>
        <v>0</v>
      </c>
      <c r="G512" s="40">
        <f>SUM(G507:G511)</f>
        <v>0</v>
      </c>
      <c r="H512" s="41">
        <f>SUM(H507:H511)</f>
        <v>0</v>
      </c>
      <c r="I512" s="42">
        <f t="shared" si="116"/>
        <v>0</v>
      </c>
      <c r="J512" s="103" t="str">
        <f>IFERROR(E512/SUM($E512:$H512)*100,"")</f>
        <v/>
      </c>
      <c r="K512" s="104" t="str">
        <f>IFERROR(F512/SUM($E512:$H512)*100,"")</f>
        <v/>
      </c>
      <c r="L512" s="105" t="str">
        <f>IFERROR(G512/SUM($E512:$H512)*100,"")</f>
        <v/>
      </c>
      <c r="M512" s="106" t="str">
        <f t="shared" si="106"/>
        <v/>
      </c>
      <c r="N512" s="5" t="s">
        <v>1671</v>
      </c>
    </row>
    <row r="513" spans="1:14" ht="5.0999999999999996" customHeight="1" x14ac:dyDescent="0.25">
      <c r="A513" s="14" t="s">
        <v>5</v>
      </c>
      <c r="B513" s="16" t="s">
        <v>1637</v>
      </c>
      <c r="C513"/>
      <c r="J513" s="103"/>
      <c r="K513" s="104"/>
      <c r="L513" s="105"/>
      <c r="M513" s="106" t="str">
        <f t="shared" si="106"/>
        <v/>
      </c>
    </row>
    <row r="514" spans="1:14" s="5" customFormat="1" ht="20.100000000000001" customHeight="1" x14ac:dyDescent="0.25">
      <c r="A514" s="14" t="s">
        <v>5</v>
      </c>
      <c r="B514" s="16" t="s">
        <v>42</v>
      </c>
      <c r="C514" s="25" t="s">
        <v>60</v>
      </c>
      <c r="D514" s="6" t="s">
        <v>1744</v>
      </c>
      <c r="E514" s="37"/>
      <c r="F514" s="37"/>
      <c r="G514" s="37"/>
      <c r="H514" s="37"/>
      <c r="I514" s="48"/>
      <c r="J514" s="103"/>
      <c r="K514" s="104"/>
      <c r="L514" s="105"/>
      <c r="M514" s="106" t="str">
        <f t="shared" si="106"/>
        <v/>
      </c>
      <c r="N514" s="5" t="s">
        <v>1673</v>
      </c>
    </row>
    <row r="515" spans="1:14" s="3" customFormat="1" ht="30" customHeight="1" x14ac:dyDescent="0.25">
      <c r="A515" s="14" t="s">
        <v>5</v>
      </c>
      <c r="B515" s="16" t="s">
        <v>42</v>
      </c>
      <c r="C515" s="25" t="s">
        <v>61</v>
      </c>
      <c r="D515" s="168" t="s">
        <v>43</v>
      </c>
      <c r="E515" s="38">
        <v>0</v>
      </c>
      <c r="F515" s="39">
        <v>0</v>
      </c>
      <c r="G515" s="40">
        <v>0</v>
      </c>
      <c r="H515" s="41">
        <v>0</v>
      </c>
      <c r="I515" s="42">
        <f t="shared" ref="I515:I524" si="118">SUM(E515:H515)</f>
        <v>0</v>
      </c>
      <c r="J515" s="103" t="str">
        <f t="shared" ref="J515:L524" si="119">IFERROR(E515/$I515*100,"")</f>
        <v/>
      </c>
      <c r="K515" s="104" t="str">
        <f t="shared" si="119"/>
        <v/>
      </c>
      <c r="L515" s="105" t="str">
        <f t="shared" si="119"/>
        <v/>
      </c>
      <c r="M515" s="106" t="str">
        <f t="shared" si="106"/>
        <v/>
      </c>
    </row>
    <row r="516" spans="1:14" s="3" customFormat="1" ht="30" customHeight="1" x14ac:dyDescent="0.25">
      <c r="A516" s="14" t="s">
        <v>5</v>
      </c>
      <c r="B516" s="16" t="s">
        <v>42</v>
      </c>
      <c r="C516" s="25" t="s">
        <v>61</v>
      </c>
      <c r="D516" s="168" t="s">
        <v>44</v>
      </c>
      <c r="E516" s="38">
        <v>0</v>
      </c>
      <c r="F516" s="39">
        <v>0</v>
      </c>
      <c r="G516" s="40">
        <v>0</v>
      </c>
      <c r="H516" s="41">
        <v>0</v>
      </c>
      <c r="I516" s="42">
        <f t="shared" si="118"/>
        <v>0</v>
      </c>
      <c r="J516" s="103" t="str">
        <f t="shared" si="119"/>
        <v/>
      </c>
      <c r="K516" s="104" t="str">
        <f t="shared" si="119"/>
        <v/>
      </c>
      <c r="L516" s="105" t="str">
        <f t="shared" si="119"/>
        <v/>
      </c>
      <c r="M516" s="106" t="str">
        <f t="shared" si="106"/>
        <v/>
      </c>
    </row>
    <row r="517" spans="1:14" s="3" customFormat="1" ht="30" customHeight="1" x14ac:dyDescent="0.25">
      <c r="A517" s="14" t="s">
        <v>5</v>
      </c>
      <c r="B517" s="16" t="s">
        <v>42</v>
      </c>
      <c r="C517" s="25" t="s">
        <v>61</v>
      </c>
      <c r="D517" s="168" t="s">
        <v>45</v>
      </c>
      <c r="E517" s="38">
        <v>0</v>
      </c>
      <c r="F517" s="39">
        <v>0</v>
      </c>
      <c r="G517" s="40">
        <v>0</v>
      </c>
      <c r="H517" s="41">
        <v>0</v>
      </c>
      <c r="I517" s="42">
        <f t="shared" si="118"/>
        <v>0</v>
      </c>
      <c r="J517" s="103" t="str">
        <f t="shared" si="119"/>
        <v/>
      </c>
      <c r="K517" s="104" t="str">
        <f t="shared" si="119"/>
        <v/>
      </c>
      <c r="L517" s="105" t="str">
        <f t="shared" si="119"/>
        <v/>
      </c>
      <c r="M517" s="106" t="str">
        <f t="shared" si="106"/>
        <v/>
      </c>
    </row>
    <row r="518" spans="1:14" s="3" customFormat="1" ht="30" customHeight="1" x14ac:dyDescent="0.25">
      <c r="A518" s="14" t="s">
        <v>5</v>
      </c>
      <c r="B518" s="16" t="s">
        <v>42</v>
      </c>
      <c r="C518" s="25" t="s">
        <v>61</v>
      </c>
      <c r="D518" s="168" t="s">
        <v>46</v>
      </c>
      <c r="E518" s="38">
        <v>0</v>
      </c>
      <c r="F518" s="39">
        <v>0</v>
      </c>
      <c r="G518" s="40">
        <v>0</v>
      </c>
      <c r="H518" s="41">
        <v>0</v>
      </c>
      <c r="I518" s="42">
        <f t="shared" si="118"/>
        <v>0</v>
      </c>
      <c r="J518" s="103" t="str">
        <f t="shared" si="119"/>
        <v/>
      </c>
      <c r="K518" s="104" t="str">
        <f t="shared" si="119"/>
        <v/>
      </c>
      <c r="L518" s="105" t="str">
        <f t="shared" si="119"/>
        <v/>
      </c>
      <c r="M518" s="106" t="str">
        <f t="shared" si="106"/>
        <v/>
      </c>
    </row>
    <row r="519" spans="1:14" s="3" customFormat="1" ht="30" customHeight="1" x14ac:dyDescent="0.25">
      <c r="A519" s="14" t="s">
        <v>5</v>
      </c>
      <c r="B519" s="16" t="s">
        <v>42</v>
      </c>
      <c r="C519" s="25" t="s">
        <v>61</v>
      </c>
      <c r="D519" s="168" t="s">
        <v>51</v>
      </c>
      <c r="E519" s="38">
        <v>0</v>
      </c>
      <c r="F519" s="39">
        <v>0</v>
      </c>
      <c r="G519" s="40">
        <v>0</v>
      </c>
      <c r="H519" s="41">
        <v>0</v>
      </c>
      <c r="I519" s="42">
        <f t="shared" si="118"/>
        <v>0</v>
      </c>
      <c r="J519" s="103" t="str">
        <f t="shared" si="119"/>
        <v/>
      </c>
      <c r="K519" s="104" t="str">
        <f t="shared" si="119"/>
        <v/>
      </c>
      <c r="L519" s="105" t="str">
        <f t="shared" si="119"/>
        <v/>
      </c>
      <c r="M519" s="106" t="str">
        <f t="shared" si="106"/>
        <v/>
      </c>
    </row>
    <row r="520" spans="1:14" s="3" customFormat="1" ht="30" customHeight="1" x14ac:dyDescent="0.25">
      <c r="A520" s="14" t="s">
        <v>5</v>
      </c>
      <c r="B520" s="16" t="s">
        <v>42</v>
      </c>
      <c r="C520" s="25" t="s">
        <v>61</v>
      </c>
      <c r="D520" s="168" t="s">
        <v>52</v>
      </c>
      <c r="E520" s="38">
        <v>0</v>
      </c>
      <c r="F520" s="39">
        <v>0</v>
      </c>
      <c r="G520" s="40">
        <v>0</v>
      </c>
      <c r="H520" s="41">
        <v>0</v>
      </c>
      <c r="I520" s="42">
        <f t="shared" si="118"/>
        <v>0</v>
      </c>
      <c r="J520" s="103" t="str">
        <f t="shared" si="119"/>
        <v/>
      </c>
      <c r="K520" s="104" t="str">
        <f t="shared" si="119"/>
        <v/>
      </c>
      <c r="L520" s="105" t="str">
        <f t="shared" si="119"/>
        <v/>
      </c>
      <c r="M520" s="106" t="str">
        <f t="shared" si="106"/>
        <v/>
      </c>
    </row>
    <row r="521" spans="1:14" s="3" customFormat="1" ht="30" customHeight="1" x14ac:dyDescent="0.25">
      <c r="A521" s="14" t="s">
        <v>5</v>
      </c>
      <c r="B521" s="16" t="s">
        <v>42</v>
      </c>
      <c r="C521" s="25" t="s">
        <v>61</v>
      </c>
      <c r="D521" s="168" t="s">
        <v>47</v>
      </c>
      <c r="E521" s="38">
        <v>0</v>
      </c>
      <c r="F521" s="39">
        <v>0</v>
      </c>
      <c r="G521" s="40">
        <v>0</v>
      </c>
      <c r="H521" s="41">
        <v>0</v>
      </c>
      <c r="I521" s="42">
        <f t="shared" si="118"/>
        <v>0</v>
      </c>
      <c r="J521" s="103" t="str">
        <f t="shared" si="119"/>
        <v/>
      </c>
      <c r="K521" s="104" t="str">
        <f t="shared" si="119"/>
        <v/>
      </c>
      <c r="L521" s="105" t="str">
        <f t="shared" si="119"/>
        <v/>
      </c>
      <c r="M521" s="106" t="str">
        <f t="shared" si="106"/>
        <v/>
      </c>
    </row>
    <row r="522" spans="1:14" s="3" customFormat="1" ht="30" customHeight="1" x14ac:dyDescent="0.25">
      <c r="A522" s="14" t="s">
        <v>5</v>
      </c>
      <c r="B522" s="16" t="s">
        <v>42</v>
      </c>
      <c r="C522" s="25" t="s">
        <v>61</v>
      </c>
      <c r="D522" s="168" t="s">
        <v>48</v>
      </c>
      <c r="E522" s="38">
        <v>0</v>
      </c>
      <c r="F522" s="39">
        <v>0</v>
      </c>
      <c r="G522" s="40">
        <v>0</v>
      </c>
      <c r="H522" s="41">
        <v>0</v>
      </c>
      <c r="I522" s="42">
        <f t="shared" si="118"/>
        <v>0</v>
      </c>
      <c r="J522" s="103" t="str">
        <f t="shared" si="119"/>
        <v/>
      </c>
      <c r="K522" s="104" t="str">
        <f t="shared" si="119"/>
        <v/>
      </c>
      <c r="L522" s="105" t="str">
        <f t="shared" si="119"/>
        <v/>
      </c>
      <c r="M522" s="106" t="str">
        <f t="shared" si="106"/>
        <v/>
      </c>
    </row>
    <row r="523" spans="1:14" s="3" customFormat="1" ht="30" customHeight="1" x14ac:dyDescent="0.25">
      <c r="A523" s="14" t="s">
        <v>5</v>
      </c>
      <c r="B523" s="16" t="s">
        <v>42</v>
      </c>
      <c r="C523" s="25" t="s">
        <v>61</v>
      </c>
      <c r="D523" s="168" t="s">
        <v>49</v>
      </c>
      <c r="E523" s="38">
        <v>0</v>
      </c>
      <c r="F523" s="39">
        <v>0</v>
      </c>
      <c r="G523" s="40">
        <v>0</v>
      </c>
      <c r="H523" s="41">
        <v>0</v>
      </c>
      <c r="I523" s="42">
        <f t="shared" si="118"/>
        <v>0</v>
      </c>
      <c r="J523" s="103" t="str">
        <f t="shared" si="119"/>
        <v/>
      </c>
      <c r="K523" s="104" t="str">
        <f t="shared" si="119"/>
        <v/>
      </c>
      <c r="L523" s="105" t="str">
        <f t="shared" si="119"/>
        <v/>
      </c>
      <c r="M523" s="106" t="str">
        <f t="shared" si="106"/>
        <v/>
      </c>
    </row>
    <row r="524" spans="1:14" s="3" customFormat="1" ht="30" customHeight="1" x14ac:dyDescent="0.25">
      <c r="A524" s="14" t="s">
        <v>5</v>
      </c>
      <c r="B524" s="16" t="s">
        <v>42</v>
      </c>
      <c r="C524" s="25" t="s">
        <v>61</v>
      </c>
      <c r="D524" s="168" t="s">
        <v>50</v>
      </c>
      <c r="E524" s="38">
        <v>0</v>
      </c>
      <c r="F524" s="39">
        <v>0</v>
      </c>
      <c r="G524" s="40">
        <v>0</v>
      </c>
      <c r="H524" s="41">
        <v>0</v>
      </c>
      <c r="I524" s="42">
        <f t="shared" si="118"/>
        <v>0</v>
      </c>
      <c r="J524" s="103" t="str">
        <f t="shared" si="119"/>
        <v/>
      </c>
      <c r="K524" s="104" t="str">
        <f t="shared" si="119"/>
        <v/>
      </c>
      <c r="L524" s="105" t="str">
        <f t="shared" si="119"/>
        <v/>
      </c>
      <c r="M524" s="106" t="str">
        <f t="shared" si="106"/>
        <v/>
      </c>
    </row>
    <row r="525" spans="1:14" s="8" customFormat="1" ht="30" customHeight="1" x14ac:dyDescent="0.25">
      <c r="A525" s="14" t="s">
        <v>5</v>
      </c>
      <c r="B525" s="16" t="s">
        <v>42</v>
      </c>
      <c r="C525" s="25"/>
      <c r="D525" s="9" t="s">
        <v>29</v>
      </c>
      <c r="E525" s="38">
        <f>SUM(E515:E524)</f>
        <v>0</v>
      </c>
      <c r="F525" s="39">
        <f t="shared" ref="F525:I525" si="120">SUM(F515:F524)</f>
        <v>0</v>
      </c>
      <c r="G525" s="40">
        <f t="shared" si="120"/>
        <v>0</v>
      </c>
      <c r="H525" s="41">
        <f t="shared" si="120"/>
        <v>0</v>
      </c>
      <c r="I525" s="43">
        <f t="shared" si="120"/>
        <v>0</v>
      </c>
      <c r="J525" s="103" t="str">
        <f>IFERROR(E525/SUM($E525:$H525)*100,"")</f>
        <v/>
      </c>
      <c r="K525" s="104" t="str">
        <f>IFERROR(F525/SUM($E525:$H525)*100,"")</f>
        <v/>
      </c>
      <c r="L525" s="105" t="str">
        <f>IFERROR(G525/SUM($E525:$H525)*100,"")</f>
        <v/>
      </c>
      <c r="M525" s="106" t="str">
        <f t="shared" ref="M525:M588" si="121">IFERROR(H525/$I525*100,"")</f>
        <v/>
      </c>
      <c r="N525" s="5" t="s">
        <v>1671</v>
      </c>
    </row>
    <row r="526" spans="1:14" ht="5.0999999999999996" customHeight="1" x14ac:dyDescent="0.25">
      <c r="A526" s="14" t="s">
        <v>5</v>
      </c>
      <c r="B526" s="16" t="s">
        <v>42</v>
      </c>
      <c r="C526"/>
      <c r="D526" s="57"/>
      <c r="E526" s="59"/>
      <c r="F526" s="59"/>
      <c r="G526" s="59"/>
      <c r="H526" s="59"/>
      <c r="I526" s="59"/>
      <c r="J526" s="103"/>
      <c r="K526" s="104"/>
      <c r="L526" s="105"/>
      <c r="M526" s="106" t="str">
        <f t="shared" si="121"/>
        <v/>
      </c>
    </row>
    <row r="527" spans="1:14" s="7" customFormat="1" ht="20.100000000000001" customHeight="1" x14ac:dyDescent="0.25">
      <c r="A527" s="14" t="s">
        <v>5</v>
      </c>
      <c r="B527" s="16" t="s">
        <v>62</v>
      </c>
      <c r="C527" s="25" t="s">
        <v>60</v>
      </c>
      <c r="D527" s="62" t="s">
        <v>63</v>
      </c>
      <c r="E527" s="63"/>
      <c r="F527" s="63"/>
      <c r="G527" s="63"/>
      <c r="H527" s="63"/>
      <c r="I527" s="64"/>
      <c r="J527" s="103"/>
      <c r="K527" s="104"/>
      <c r="L527" s="105"/>
      <c r="M527" s="106" t="str">
        <f t="shared" si="121"/>
        <v/>
      </c>
      <c r="N527" s="5" t="s">
        <v>1673</v>
      </c>
    </row>
    <row r="528" spans="1:14" s="8" customFormat="1" ht="30" customHeight="1" x14ac:dyDescent="0.25">
      <c r="A528" s="14" t="s">
        <v>5</v>
      </c>
      <c r="B528" s="16" t="s">
        <v>62</v>
      </c>
      <c r="C528" s="25"/>
      <c r="D528" s="168" t="s">
        <v>29</v>
      </c>
      <c r="E528" s="38">
        <f>SUM(E478,E467,E486,E525,E481,E489,E498,E504,E512,E501)</f>
        <v>0</v>
      </c>
      <c r="F528" s="39">
        <f>SUM(F478,F467,F486,F525,F481,F489,F498,F504,F512,F501)</f>
        <v>0</v>
      </c>
      <c r="G528" s="40">
        <f>SUM(G478,G467,G486,G525,G481,G489,G498,G504,G512,G501)</f>
        <v>0</v>
      </c>
      <c r="H528" s="41">
        <f>SUM(H478,H467,H486,H525,H481,H489,H498,H504,H512,H501)</f>
        <v>0</v>
      </c>
      <c r="I528" s="42">
        <f>SUM(I478,I467,I486,I525,I481,I489,I498,I504,I512,I501)</f>
        <v>0</v>
      </c>
      <c r="J528" s="103" t="str">
        <f>IFERROR(E528/SUM($E528:$H528)*100,"")</f>
        <v/>
      </c>
      <c r="K528" s="104" t="str">
        <f>IFERROR(F528/SUM($E528:$H528)*100,"")</f>
        <v/>
      </c>
      <c r="L528" s="105" t="str">
        <f>IFERROR(G528/SUM($E528:$H528)*100,"")</f>
        <v/>
      </c>
      <c r="M528" s="106" t="str">
        <f t="shared" si="121"/>
        <v/>
      </c>
      <c r="N528" s="5" t="s">
        <v>1671</v>
      </c>
    </row>
    <row r="529" spans="1:14" s="5" customFormat="1" ht="20.100000000000001" customHeight="1" x14ac:dyDescent="0.25">
      <c r="A529" s="14" t="s">
        <v>5</v>
      </c>
      <c r="B529" s="14"/>
      <c r="C529" s="25" t="s">
        <v>60</v>
      </c>
      <c r="D529" s="7"/>
      <c r="E529" s="8"/>
      <c r="F529" s="8"/>
      <c r="G529" s="8"/>
      <c r="H529" s="8"/>
      <c r="I529" s="8"/>
      <c r="J529" s="103"/>
      <c r="K529" s="104"/>
      <c r="L529" s="105"/>
      <c r="M529" s="106" t="str">
        <f t="shared" si="121"/>
        <v/>
      </c>
    </row>
    <row r="530" spans="1:14" s="5" customFormat="1" ht="20.100000000000001" customHeight="1" x14ac:dyDescent="0.25">
      <c r="A530" s="14" t="s">
        <v>7</v>
      </c>
      <c r="B530" s="14"/>
      <c r="C530" s="25" t="s">
        <v>60</v>
      </c>
      <c r="D530" s="20" t="str">
        <f>IFERROR(A530&amp;"   ("&amp;COUNTIFS(#REF!,"="&amp;A530)&amp;")",A530)</f>
        <v>DOD</v>
      </c>
      <c r="E530" s="45"/>
      <c r="F530" s="45"/>
      <c r="G530" s="45"/>
      <c r="H530" s="45"/>
      <c r="I530" s="46"/>
      <c r="J530" s="103"/>
      <c r="K530" s="104"/>
      <c r="L530" s="105"/>
      <c r="M530" s="106" t="str">
        <f t="shared" si="121"/>
        <v/>
      </c>
      <c r="N530" s="5" t="s">
        <v>1672</v>
      </c>
    </row>
    <row r="531" spans="1:14" s="5" customFormat="1" ht="20.100000000000001" customHeight="1" x14ac:dyDescent="0.25">
      <c r="A531" s="14" t="s">
        <v>7</v>
      </c>
      <c r="B531" s="16" t="s">
        <v>20</v>
      </c>
      <c r="C531" s="25" t="s">
        <v>60</v>
      </c>
      <c r="D531" s="6" t="s">
        <v>20</v>
      </c>
      <c r="E531" s="37"/>
      <c r="F531" s="37"/>
      <c r="G531" s="37"/>
      <c r="H531" s="37"/>
      <c r="I531" s="48"/>
      <c r="J531" s="103"/>
      <c r="K531" s="104"/>
      <c r="L531" s="105"/>
      <c r="M531" s="106" t="str">
        <f t="shared" si="121"/>
        <v/>
      </c>
      <c r="N531" s="5" t="s">
        <v>1673</v>
      </c>
    </row>
    <row r="532" spans="1:14" s="5" customFormat="1" ht="30" customHeight="1" x14ac:dyDescent="0.25">
      <c r="A532" s="14" t="s">
        <v>7</v>
      </c>
      <c r="B532" s="16" t="s">
        <v>20</v>
      </c>
      <c r="C532" s="25" t="s">
        <v>61</v>
      </c>
      <c r="D532" s="168" t="s">
        <v>25</v>
      </c>
      <c r="E532" s="38">
        <v>0</v>
      </c>
      <c r="F532" s="39">
        <v>0</v>
      </c>
      <c r="G532" s="40">
        <v>0</v>
      </c>
      <c r="H532" s="41">
        <v>0</v>
      </c>
      <c r="I532" s="42">
        <f>SUM(E532:H532)</f>
        <v>0</v>
      </c>
      <c r="J532" s="103" t="str">
        <f>IFERROR(E532/$I532*100,"")</f>
        <v/>
      </c>
      <c r="K532" s="104" t="str">
        <f>IFERROR(F532/$I532*100,"")</f>
        <v/>
      </c>
      <c r="L532" s="105" t="str">
        <f>IFERROR(G532/$I532*100,"")</f>
        <v/>
      </c>
      <c r="M532" s="106" t="str">
        <f t="shared" si="121"/>
        <v/>
      </c>
      <c r="N532" s="5" t="s">
        <v>1671</v>
      </c>
    </row>
    <row r="533" spans="1:14" ht="5.0999999999999996" customHeight="1" x14ac:dyDescent="0.25">
      <c r="A533" s="14" t="s">
        <v>7</v>
      </c>
      <c r="B533" s="16" t="s">
        <v>20</v>
      </c>
      <c r="C533"/>
      <c r="D533" s="57"/>
      <c r="E533" s="59"/>
      <c r="F533" s="59"/>
      <c r="G533" s="59"/>
      <c r="H533" s="59"/>
      <c r="I533" s="59"/>
      <c r="J533" s="103"/>
      <c r="K533" s="104"/>
      <c r="L533" s="105"/>
      <c r="M533" s="106" t="str">
        <f t="shared" si="121"/>
        <v/>
      </c>
    </row>
    <row r="534" spans="1:14" s="5" customFormat="1" ht="20.100000000000001" customHeight="1" x14ac:dyDescent="0.25">
      <c r="A534" s="14" t="s">
        <v>7</v>
      </c>
      <c r="B534" s="16" t="s">
        <v>26</v>
      </c>
      <c r="C534" s="25" t="s">
        <v>60</v>
      </c>
      <c r="D534" s="6" t="s">
        <v>98</v>
      </c>
      <c r="E534" s="37"/>
      <c r="F534" s="37"/>
      <c r="G534" s="37"/>
      <c r="H534" s="37"/>
      <c r="I534" s="47"/>
      <c r="J534" s="103"/>
      <c r="K534" s="104"/>
      <c r="L534" s="105"/>
      <c r="M534" s="106" t="str">
        <f t="shared" si="121"/>
        <v/>
      </c>
      <c r="N534" s="5" t="s">
        <v>1673</v>
      </c>
    </row>
    <row r="535" spans="1:14" s="5" customFormat="1" ht="30" customHeight="1" x14ac:dyDescent="0.25">
      <c r="A535" s="14" t="s">
        <v>7</v>
      </c>
      <c r="B535" s="16" t="s">
        <v>26</v>
      </c>
      <c r="C535" s="25" t="s">
        <v>61</v>
      </c>
      <c r="D535" s="169" t="s">
        <v>21</v>
      </c>
      <c r="E535" s="38">
        <v>0</v>
      </c>
      <c r="F535" s="39">
        <v>0</v>
      </c>
      <c r="G535" s="40">
        <v>0</v>
      </c>
      <c r="H535" s="41">
        <v>0</v>
      </c>
      <c r="I535" s="42">
        <f t="shared" ref="I535:I542" si="122">SUM(E535:H535)</f>
        <v>0</v>
      </c>
      <c r="J535" s="103" t="str">
        <f t="shared" ref="J535:L542" si="123">IFERROR(E535/$I535*100,"")</f>
        <v/>
      </c>
      <c r="K535" s="104" t="str">
        <f t="shared" si="123"/>
        <v/>
      </c>
      <c r="L535" s="105" t="str">
        <f t="shared" si="123"/>
        <v/>
      </c>
      <c r="M535" s="106" t="str">
        <f t="shared" si="121"/>
        <v/>
      </c>
    </row>
    <row r="536" spans="1:14" s="5" customFormat="1" ht="30" customHeight="1" x14ac:dyDescent="0.25">
      <c r="A536" s="14" t="s">
        <v>7</v>
      </c>
      <c r="B536" s="16" t="s">
        <v>26</v>
      </c>
      <c r="C536" s="25" t="s">
        <v>61</v>
      </c>
      <c r="D536" s="169" t="s">
        <v>22</v>
      </c>
      <c r="E536" s="38">
        <v>0</v>
      </c>
      <c r="F536" s="39">
        <v>0</v>
      </c>
      <c r="G536" s="40">
        <v>0</v>
      </c>
      <c r="H536" s="41">
        <v>0</v>
      </c>
      <c r="I536" s="42">
        <f t="shared" si="122"/>
        <v>0</v>
      </c>
      <c r="J536" s="103" t="str">
        <f t="shared" si="123"/>
        <v/>
      </c>
      <c r="K536" s="104" t="str">
        <f t="shared" si="123"/>
        <v/>
      </c>
      <c r="L536" s="105" t="str">
        <f t="shared" si="123"/>
        <v/>
      </c>
      <c r="M536" s="106" t="str">
        <f t="shared" si="121"/>
        <v/>
      </c>
    </row>
    <row r="537" spans="1:14" s="5" customFormat="1" ht="30" customHeight="1" x14ac:dyDescent="0.25">
      <c r="A537" s="14" t="s">
        <v>7</v>
      </c>
      <c r="B537" s="16" t="s">
        <v>26</v>
      </c>
      <c r="C537" s="25" t="s">
        <v>61</v>
      </c>
      <c r="D537" s="169" t="s">
        <v>27</v>
      </c>
      <c r="E537" s="38">
        <v>0</v>
      </c>
      <c r="F537" s="39">
        <v>0</v>
      </c>
      <c r="G537" s="40">
        <v>0</v>
      </c>
      <c r="H537" s="41">
        <v>0</v>
      </c>
      <c r="I537" s="42">
        <f t="shared" si="122"/>
        <v>0</v>
      </c>
      <c r="J537" s="103" t="str">
        <f t="shared" si="123"/>
        <v/>
      </c>
      <c r="K537" s="104" t="str">
        <f t="shared" si="123"/>
        <v/>
      </c>
      <c r="L537" s="105" t="str">
        <f t="shared" si="123"/>
        <v/>
      </c>
      <c r="M537" s="106" t="str">
        <f t="shared" si="121"/>
        <v/>
      </c>
    </row>
    <row r="538" spans="1:14" s="5" customFormat="1" ht="30" customHeight="1" x14ac:dyDescent="0.25">
      <c r="A538" s="14" t="s">
        <v>7</v>
      </c>
      <c r="B538" s="16" t="s">
        <v>26</v>
      </c>
      <c r="C538" s="25" t="s">
        <v>61</v>
      </c>
      <c r="D538" s="169" t="s">
        <v>23</v>
      </c>
      <c r="E538" s="38">
        <v>0</v>
      </c>
      <c r="F538" s="39">
        <v>0</v>
      </c>
      <c r="G538" s="40">
        <v>0</v>
      </c>
      <c r="H538" s="41">
        <v>0</v>
      </c>
      <c r="I538" s="42">
        <f t="shared" si="122"/>
        <v>0</v>
      </c>
      <c r="J538" s="103" t="str">
        <f t="shared" si="123"/>
        <v/>
      </c>
      <c r="K538" s="104" t="str">
        <f t="shared" si="123"/>
        <v/>
      </c>
      <c r="L538" s="105" t="str">
        <f t="shared" si="123"/>
        <v/>
      </c>
      <c r="M538" s="106" t="str">
        <f t="shared" si="121"/>
        <v/>
      </c>
    </row>
    <row r="539" spans="1:14" s="5" customFormat="1" ht="30" customHeight="1" x14ac:dyDescent="0.25">
      <c r="A539" s="14" t="s">
        <v>7</v>
      </c>
      <c r="B539" s="16" t="s">
        <v>26</v>
      </c>
      <c r="C539" s="25" t="s">
        <v>61</v>
      </c>
      <c r="D539" s="169" t="s">
        <v>24</v>
      </c>
      <c r="E539" s="38">
        <v>0</v>
      </c>
      <c r="F539" s="39">
        <v>0</v>
      </c>
      <c r="G539" s="40">
        <v>0</v>
      </c>
      <c r="H539" s="41">
        <v>0</v>
      </c>
      <c r="I539" s="42">
        <f t="shared" si="122"/>
        <v>0</v>
      </c>
      <c r="J539" s="103" t="str">
        <f t="shared" si="123"/>
        <v/>
      </c>
      <c r="K539" s="104" t="str">
        <f t="shared" si="123"/>
        <v/>
      </c>
      <c r="L539" s="105" t="str">
        <f t="shared" si="123"/>
        <v/>
      </c>
      <c r="M539" s="106" t="str">
        <f t="shared" si="121"/>
        <v/>
      </c>
    </row>
    <row r="540" spans="1:14" s="3" customFormat="1" ht="30" customHeight="1" x14ac:dyDescent="0.25">
      <c r="A540" s="14" t="s">
        <v>7</v>
      </c>
      <c r="B540" s="16" t="s">
        <v>26</v>
      </c>
      <c r="C540" s="25" t="s">
        <v>61</v>
      </c>
      <c r="D540" s="169" t="s">
        <v>41</v>
      </c>
      <c r="E540" s="38">
        <v>0</v>
      </c>
      <c r="F540" s="39">
        <v>0</v>
      </c>
      <c r="G540" s="40">
        <v>0</v>
      </c>
      <c r="H540" s="41">
        <v>0</v>
      </c>
      <c r="I540" s="42">
        <f t="shared" si="122"/>
        <v>0</v>
      </c>
      <c r="J540" s="103" t="str">
        <f t="shared" si="123"/>
        <v/>
      </c>
      <c r="K540" s="104" t="str">
        <f t="shared" si="123"/>
        <v/>
      </c>
      <c r="L540" s="105" t="str">
        <f t="shared" si="123"/>
        <v/>
      </c>
      <c r="M540" s="106" t="str">
        <f t="shared" si="121"/>
        <v/>
      </c>
    </row>
    <row r="541" spans="1:14" s="5" customFormat="1" ht="30" customHeight="1" x14ac:dyDescent="0.25">
      <c r="A541" s="14" t="s">
        <v>7</v>
      </c>
      <c r="B541" s="16" t="s">
        <v>26</v>
      </c>
      <c r="C541" s="25" t="s">
        <v>61</v>
      </c>
      <c r="D541" s="169" t="s">
        <v>28</v>
      </c>
      <c r="E541" s="38">
        <v>0</v>
      </c>
      <c r="F541" s="39">
        <v>0</v>
      </c>
      <c r="G541" s="40">
        <v>0</v>
      </c>
      <c r="H541" s="41">
        <v>0</v>
      </c>
      <c r="I541" s="42">
        <f t="shared" si="122"/>
        <v>0</v>
      </c>
      <c r="J541" s="103" t="str">
        <f t="shared" si="123"/>
        <v/>
      </c>
      <c r="K541" s="104" t="str">
        <f t="shared" si="123"/>
        <v/>
      </c>
      <c r="L541" s="105" t="str">
        <f t="shared" si="123"/>
        <v/>
      </c>
      <c r="M541" s="106" t="str">
        <f t="shared" si="121"/>
        <v/>
      </c>
    </row>
    <row r="542" spans="1:14" s="5" customFormat="1" ht="30" customHeight="1" x14ac:dyDescent="0.25">
      <c r="A542" s="14" t="s">
        <v>7</v>
      </c>
      <c r="B542" s="16" t="s">
        <v>26</v>
      </c>
      <c r="C542" s="25" t="s">
        <v>61</v>
      </c>
      <c r="D542" s="169" t="s">
        <v>40</v>
      </c>
      <c r="E542" s="38">
        <v>0</v>
      </c>
      <c r="F542" s="39">
        <v>0</v>
      </c>
      <c r="G542" s="40">
        <v>0</v>
      </c>
      <c r="H542" s="41">
        <v>0</v>
      </c>
      <c r="I542" s="42">
        <f t="shared" si="122"/>
        <v>0</v>
      </c>
      <c r="J542" s="103" t="str">
        <f t="shared" si="123"/>
        <v/>
      </c>
      <c r="K542" s="104" t="str">
        <f t="shared" si="123"/>
        <v/>
      </c>
      <c r="L542" s="105" t="str">
        <f t="shared" si="123"/>
        <v/>
      </c>
      <c r="M542" s="106" t="str">
        <f t="shared" si="121"/>
        <v/>
      </c>
    </row>
    <row r="543" spans="1:14" s="8" customFormat="1" ht="30" customHeight="1" x14ac:dyDescent="0.25">
      <c r="A543" s="14" t="s">
        <v>7</v>
      </c>
      <c r="B543" s="16" t="s">
        <v>26</v>
      </c>
      <c r="C543" s="25"/>
      <c r="D543" s="9" t="s">
        <v>29</v>
      </c>
      <c r="E543" s="38">
        <f>SUM(E535:E542)</f>
        <v>0</v>
      </c>
      <c r="F543" s="39">
        <f t="shared" ref="F543:I543" si="124">SUM(F535:F542)</f>
        <v>0</v>
      </c>
      <c r="G543" s="40">
        <f t="shared" si="124"/>
        <v>0</v>
      </c>
      <c r="H543" s="41">
        <f t="shared" si="124"/>
        <v>0</v>
      </c>
      <c r="I543" s="43">
        <f t="shared" si="124"/>
        <v>0</v>
      </c>
      <c r="J543" s="103" t="str">
        <f>IFERROR(E543/SUM($E543:$H543)*100,"")</f>
        <v/>
      </c>
      <c r="K543" s="104" t="str">
        <f>IFERROR(F543/SUM($E543:$H543)*100,"")</f>
        <v/>
      </c>
      <c r="L543" s="105" t="str">
        <f>IFERROR(G543/SUM($E543:$H543)*100,"")</f>
        <v/>
      </c>
      <c r="M543" s="106" t="str">
        <f t="shared" si="121"/>
        <v/>
      </c>
      <c r="N543" s="5" t="s">
        <v>1671</v>
      </c>
    </row>
    <row r="544" spans="1:14" ht="5.0999999999999996" customHeight="1" x14ac:dyDescent="0.25">
      <c r="A544" s="14" t="s">
        <v>7</v>
      </c>
      <c r="B544" s="16" t="s">
        <v>26</v>
      </c>
      <c r="C544"/>
      <c r="D544" s="57"/>
      <c r="E544" s="59"/>
      <c r="F544" s="59"/>
      <c r="G544" s="59"/>
      <c r="H544" s="59"/>
      <c r="I544" s="59"/>
      <c r="J544" s="103"/>
      <c r="K544" s="104"/>
      <c r="L544" s="105"/>
      <c r="M544" s="106" t="str">
        <f t="shared" si="121"/>
        <v/>
      </c>
    </row>
    <row r="545" spans="1:14" s="5" customFormat="1" ht="20.100000000000001" customHeight="1" x14ac:dyDescent="0.25">
      <c r="A545" s="14" t="s">
        <v>7</v>
      </c>
      <c r="B545" s="16" t="s">
        <v>64</v>
      </c>
      <c r="C545" s="25" t="s">
        <v>60</v>
      </c>
      <c r="D545" s="6" t="s">
        <v>65</v>
      </c>
      <c r="E545" s="37"/>
      <c r="F545" s="37"/>
      <c r="G545" s="37"/>
      <c r="H545" s="37"/>
      <c r="I545" s="48"/>
      <c r="J545" s="103"/>
      <c r="K545" s="104"/>
      <c r="L545" s="105"/>
      <c r="M545" s="106" t="str">
        <f t="shared" si="121"/>
        <v/>
      </c>
      <c r="N545" s="5" t="s">
        <v>1673</v>
      </c>
    </row>
    <row r="546" spans="1:14" s="5" customFormat="1" ht="30" customHeight="1" x14ac:dyDescent="0.25">
      <c r="A546" s="14" t="s">
        <v>7</v>
      </c>
      <c r="B546" s="16" t="s">
        <v>64</v>
      </c>
      <c r="C546" s="25" t="s">
        <v>61</v>
      </c>
      <c r="D546" s="168" t="s">
        <v>66</v>
      </c>
      <c r="E546" s="38">
        <v>0</v>
      </c>
      <c r="F546" s="39">
        <v>0</v>
      </c>
      <c r="G546" s="40">
        <v>0</v>
      </c>
      <c r="H546" s="41">
        <v>0</v>
      </c>
      <c r="I546" s="42">
        <f>SUM(E546:H546)</f>
        <v>0</v>
      </c>
      <c r="J546" s="103" t="str">
        <f>IFERROR(E546/$I546*100,"")</f>
        <v/>
      </c>
      <c r="K546" s="104" t="str">
        <f>IFERROR(F546/$I546*100,"")</f>
        <v/>
      </c>
      <c r="L546" s="105" t="str">
        <f>IFERROR(G546/$I546*100,"")</f>
        <v/>
      </c>
      <c r="M546" s="106" t="str">
        <f t="shared" si="121"/>
        <v/>
      </c>
      <c r="N546" s="5" t="s">
        <v>1671</v>
      </c>
    </row>
    <row r="547" spans="1:14" ht="5.0999999999999996" customHeight="1" x14ac:dyDescent="0.25">
      <c r="A547" s="14" t="s">
        <v>7</v>
      </c>
      <c r="B547" s="16" t="s">
        <v>64</v>
      </c>
      <c r="C547"/>
      <c r="D547" s="57"/>
      <c r="E547" s="59"/>
      <c r="F547" s="59"/>
      <c r="G547" s="59"/>
      <c r="H547" s="59"/>
      <c r="I547" s="59"/>
      <c r="J547" s="103"/>
      <c r="K547" s="104"/>
      <c r="L547" s="105"/>
      <c r="M547" s="106" t="str">
        <f t="shared" si="121"/>
        <v/>
      </c>
    </row>
    <row r="548" spans="1:14" s="5" customFormat="1" ht="20.100000000000001" customHeight="1" x14ac:dyDescent="0.25">
      <c r="A548" s="14" t="s">
        <v>7</v>
      </c>
      <c r="B548" s="16" t="s">
        <v>55</v>
      </c>
      <c r="C548" s="25" t="s">
        <v>60</v>
      </c>
      <c r="D548" s="6" t="s">
        <v>55</v>
      </c>
      <c r="E548" s="37"/>
      <c r="F548" s="37"/>
      <c r="G548" s="37"/>
      <c r="H548" s="37"/>
      <c r="I548" s="48"/>
      <c r="J548" s="103"/>
      <c r="K548" s="104"/>
      <c r="L548" s="105"/>
      <c r="M548" s="106" t="str">
        <f t="shared" si="121"/>
        <v/>
      </c>
      <c r="N548" s="5" t="s">
        <v>1673</v>
      </c>
    </row>
    <row r="549" spans="1:14" s="3" customFormat="1" ht="30" customHeight="1" x14ac:dyDescent="0.25">
      <c r="A549" s="14" t="s">
        <v>7</v>
      </c>
      <c r="B549" s="16" t="s">
        <v>55</v>
      </c>
      <c r="C549" s="25" t="s">
        <v>61</v>
      </c>
      <c r="D549" s="168" t="s">
        <v>56</v>
      </c>
      <c r="E549" s="38">
        <v>0</v>
      </c>
      <c r="F549" s="39">
        <v>0</v>
      </c>
      <c r="G549" s="40">
        <v>0</v>
      </c>
      <c r="H549" s="41">
        <v>0</v>
      </c>
      <c r="I549" s="42">
        <f>SUM(E549:H549)</f>
        <v>0</v>
      </c>
      <c r="J549" s="103" t="str">
        <f t="shared" ref="J549:L551" si="125">IFERROR(E549/$I549*100,"")</f>
        <v/>
      </c>
      <c r="K549" s="104" t="str">
        <f t="shared" si="125"/>
        <v/>
      </c>
      <c r="L549" s="105" t="str">
        <f t="shared" si="125"/>
        <v/>
      </c>
      <c r="M549" s="106" t="str">
        <f t="shared" si="121"/>
        <v/>
      </c>
      <c r="N549" s="5"/>
    </row>
    <row r="550" spans="1:14" s="3" customFormat="1" ht="30" customHeight="1" x14ac:dyDescent="0.25">
      <c r="A550" s="14" t="s">
        <v>7</v>
      </c>
      <c r="B550" s="16" t="s">
        <v>55</v>
      </c>
      <c r="C550" s="25" t="s">
        <v>61</v>
      </c>
      <c r="D550" s="168" t="s">
        <v>57</v>
      </c>
      <c r="E550" s="38">
        <v>0</v>
      </c>
      <c r="F550" s="39">
        <v>0</v>
      </c>
      <c r="G550" s="40">
        <v>0</v>
      </c>
      <c r="H550" s="41">
        <v>0</v>
      </c>
      <c r="I550" s="42">
        <f>SUM(E550:H550)</f>
        <v>0</v>
      </c>
      <c r="J550" s="103" t="str">
        <f t="shared" si="125"/>
        <v/>
      </c>
      <c r="K550" s="104" t="str">
        <f t="shared" si="125"/>
        <v/>
      </c>
      <c r="L550" s="105" t="str">
        <f t="shared" si="125"/>
        <v/>
      </c>
      <c r="M550" s="106" t="str">
        <f t="shared" si="121"/>
        <v/>
      </c>
    </row>
    <row r="551" spans="1:14" s="3" customFormat="1" ht="30" customHeight="1" x14ac:dyDescent="0.25">
      <c r="A551" s="14" t="s">
        <v>7</v>
      </c>
      <c r="B551" s="16" t="s">
        <v>55</v>
      </c>
      <c r="C551" s="25"/>
      <c r="D551" s="168" t="s">
        <v>29</v>
      </c>
      <c r="E551" s="38">
        <f>SUM(E549:E550)</f>
        <v>0</v>
      </c>
      <c r="F551" s="39">
        <f t="shared" ref="F551:I551" si="126">SUM(F549:F550)</f>
        <v>0</v>
      </c>
      <c r="G551" s="40">
        <f t="shared" si="126"/>
        <v>0</v>
      </c>
      <c r="H551" s="41">
        <f t="shared" si="126"/>
        <v>0</v>
      </c>
      <c r="I551" s="42">
        <f t="shared" si="126"/>
        <v>0</v>
      </c>
      <c r="J551" s="103" t="str">
        <f t="shared" si="125"/>
        <v/>
      </c>
      <c r="K551" s="104" t="str">
        <f t="shared" si="125"/>
        <v/>
      </c>
      <c r="L551" s="105" t="str">
        <f t="shared" si="125"/>
        <v/>
      </c>
      <c r="M551" s="106" t="str">
        <f t="shared" si="121"/>
        <v/>
      </c>
      <c r="N551" s="5" t="s">
        <v>1671</v>
      </c>
    </row>
    <row r="552" spans="1:14" ht="5.0999999999999996" customHeight="1" x14ac:dyDescent="0.25">
      <c r="A552" s="14" t="s">
        <v>7</v>
      </c>
      <c r="B552" s="16" t="s">
        <v>55</v>
      </c>
      <c r="C552"/>
      <c r="D552" s="57"/>
      <c r="E552" s="59"/>
      <c r="F552" s="59"/>
      <c r="G552" s="59"/>
      <c r="H552" s="59"/>
      <c r="I552" s="59"/>
      <c r="J552" s="103"/>
      <c r="K552" s="104"/>
      <c r="L552" s="105"/>
      <c r="M552" s="106" t="str">
        <f t="shared" si="121"/>
        <v/>
      </c>
    </row>
    <row r="553" spans="1:14" s="5" customFormat="1" ht="20.100000000000001" customHeight="1" x14ac:dyDescent="0.25">
      <c r="A553" s="14" t="s">
        <v>7</v>
      </c>
      <c r="B553" s="16" t="s">
        <v>74</v>
      </c>
      <c r="C553" s="25" t="s">
        <v>60</v>
      </c>
      <c r="D553" s="6" t="s">
        <v>75</v>
      </c>
      <c r="E553" s="37"/>
      <c r="F553" s="37"/>
      <c r="G553" s="37"/>
      <c r="H553" s="37"/>
      <c r="I553" s="48"/>
      <c r="J553" s="103"/>
      <c r="K553" s="104"/>
      <c r="L553" s="105"/>
      <c r="M553" s="106" t="str">
        <f t="shared" si="121"/>
        <v/>
      </c>
      <c r="N553" s="5" t="s">
        <v>1673</v>
      </c>
    </row>
    <row r="554" spans="1:14" s="3" customFormat="1" ht="30" customHeight="1" x14ac:dyDescent="0.25">
      <c r="A554" s="14" t="s">
        <v>7</v>
      </c>
      <c r="B554" s="16" t="s">
        <v>74</v>
      </c>
      <c r="C554" s="25" t="s">
        <v>61</v>
      </c>
      <c r="D554" s="168" t="s">
        <v>77</v>
      </c>
      <c r="E554" s="38">
        <v>0</v>
      </c>
      <c r="F554" s="39">
        <v>0</v>
      </c>
      <c r="G554" s="40">
        <v>0</v>
      </c>
      <c r="H554" s="41">
        <v>0</v>
      </c>
      <c r="I554" s="42">
        <f>SUM(E554:H554)</f>
        <v>0</v>
      </c>
      <c r="J554" s="103" t="str">
        <f>IFERROR(E554/$I554*100,"")</f>
        <v/>
      </c>
      <c r="K554" s="104" t="str">
        <f>IFERROR(F554/$I554*100,"")</f>
        <v/>
      </c>
      <c r="L554" s="105" t="str">
        <f>IFERROR(G554/$I554*100,"")</f>
        <v/>
      </c>
      <c r="M554" s="106" t="str">
        <f t="shared" si="121"/>
        <v/>
      </c>
      <c r="N554" s="3" t="s">
        <v>1671</v>
      </c>
    </row>
    <row r="555" spans="1:14" ht="5.0999999999999996" customHeight="1" x14ac:dyDescent="0.25">
      <c r="A555" s="14" t="s">
        <v>7</v>
      </c>
      <c r="B555" s="16" t="s">
        <v>74</v>
      </c>
      <c r="C555"/>
      <c r="D555" s="57"/>
      <c r="E555" s="59"/>
      <c r="F555" s="59"/>
      <c r="G555" s="59"/>
      <c r="H555" s="59"/>
      <c r="I555" s="59"/>
      <c r="J555" s="103"/>
      <c r="K555" s="104"/>
      <c r="L555" s="105"/>
      <c r="M555" s="106" t="str">
        <f t="shared" si="121"/>
        <v/>
      </c>
    </row>
    <row r="556" spans="1:14" s="5" customFormat="1" ht="20.100000000000001" customHeight="1" x14ac:dyDescent="0.25">
      <c r="A556" s="14" t="s">
        <v>7</v>
      </c>
      <c r="B556" s="16" t="s">
        <v>78</v>
      </c>
      <c r="C556" s="25" t="s">
        <v>60</v>
      </c>
      <c r="D556" s="6" t="s">
        <v>80</v>
      </c>
      <c r="E556" s="37"/>
      <c r="F556" s="37"/>
      <c r="G556" s="37"/>
      <c r="H556" s="37"/>
      <c r="I556" s="48"/>
      <c r="J556" s="103"/>
      <c r="K556" s="104"/>
      <c r="L556" s="105"/>
      <c r="M556" s="106" t="str">
        <f t="shared" si="121"/>
        <v/>
      </c>
      <c r="N556" s="5" t="s">
        <v>1673</v>
      </c>
    </row>
    <row r="557" spans="1:14" s="5" customFormat="1" ht="30" customHeight="1" x14ac:dyDescent="0.25">
      <c r="A557" s="14" t="s">
        <v>7</v>
      </c>
      <c r="B557" s="16" t="s">
        <v>78</v>
      </c>
      <c r="C557" s="25" t="s">
        <v>61</v>
      </c>
      <c r="D557" s="168" t="s">
        <v>81</v>
      </c>
      <c r="E557" s="38">
        <v>0</v>
      </c>
      <c r="F557" s="39">
        <v>0</v>
      </c>
      <c r="G557" s="40">
        <v>0</v>
      </c>
      <c r="H557" s="41">
        <v>0</v>
      </c>
      <c r="I557" s="42">
        <f t="shared" ref="I557:I563" si="127">SUM(E557:H557)</f>
        <v>0</v>
      </c>
      <c r="J557" s="103" t="str">
        <f t="shared" ref="J557:L563" si="128">IFERROR(E557/$I557*100,"")</f>
        <v/>
      </c>
      <c r="K557" s="104" t="str">
        <f t="shared" si="128"/>
        <v/>
      </c>
      <c r="L557" s="105" t="str">
        <f t="shared" si="128"/>
        <v/>
      </c>
      <c r="M557" s="106" t="str">
        <f t="shared" si="121"/>
        <v/>
      </c>
    </row>
    <row r="558" spans="1:14" s="5" customFormat="1" ht="30" customHeight="1" x14ac:dyDescent="0.25">
      <c r="A558" s="14" t="s">
        <v>7</v>
      </c>
      <c r="B558" s="16" t="s">
        <v>78</v>
      </c>
      <c r="C558" s="25" t="s">
        <v>61</v>
      </c>
      <c r="D558" s="168" t="s">
        <v>82</v>
      </c>
      <c r="E558" s="38">
        <v>0</v>
      </c>
      <c r="F558" s="39">
        <v>0</v>
      </c>
      <c r="G558" s="40">
        <v>0</v>
      </c>
      <c r="H558" s="41">
        <v>0</v>
      </c>
      <c r="I558" s="42">
        <f t="shared" si="127"/>
        <v>0</v>
      </c>
      <c r="J558" s="103" t="str">
        <f t="shared" si="128"/>
        <v/>
      </c>
      <c r="K558" s="104" t="str">
        <f t="shared" si="128"/>
        <v/>
      </c>
      <c r="L558" s="105" t="str">
        <f t="shared" si="128"/>
        <v/>
      </c>
      <c r="M558" s="106" t="str">
        <f t="shared" si="121"/>
        <v/>
      </c>
    </row>
    <row r="559" spans="1:14" s="5" customFormat="1" ht="30" customHeight="1" x14ac:dyDescent="0.25">
      <c r="A559" s="14" t="s">
        <v>7</v>
      </c>
      <c r="B559" s="16" t="s">
        <v>78</v>
      </c>
      <c r="C559" s="25" t="s">
        <v>61</v>
      </c>
      <c r="D559" s="168" t="s">
        <v>83</v>
      </c>
      <c r="E559" s="38">
        <v>0</v>
      </c>
      <c r="F559" s="39">
        <v>0</v>
      </c>
      <c r="G559" s="40">
        <v>0</v>
      </c>
      <c r="H559" s="41">
        <v>0</v>
      </c>
      <c r="I559" s="42">
        <f t="shared" si="127"/>
        <v>0</v>
      </c>
      <c r="J559" s="103" t="str">
        <f t="shared" si="128"/>
        <v/>
      </c>
      <c r="K559" s="104" t="str">
        <f t="shared" si="128"/>
        <v/>
      </c>
      <c r="L559" s="105" t="str">
        <f t="shared" si="128"/>
        <v/>
      </c>
      <c r="M559" s="106" t="str">
        <f t="shared" si="121"/>
        <v/>
      </c>
    </row>
    <row r="560" spans="1:14" s="5" customFormat="1" ht="30" customHeight="1" x14ac:dyDescent="0.25">
      <c r="A560" s="14" t="s">
        <v>7</v>
      </c>
      <c r="B560" s="16" t="s">
        <v>78</v>
      </c>
      <c r="C560" s="25" t="s">
        <v>61</v>
      </c>
      <c r="D560" s="168" t="s">
        <v>88</v>
      </c>
      <c r="E560" s="38">
        <v>0</v>
      </c>
      <c r="F560" s="39">
        <v>0</v>
      </c>
      <c r="G560" s="40">
        <v>0</v>
      </c>
      <c r="H560" s="41">
        <v>0</v>
      </c>
      <c r="I560" s="42">
        <f t="shared" si="127"/>
        <v>0</v>
      </c>
      <c r="J560" s="103" t="str">
        <f t="shared" si="128"/>
        <v/>
      </c>
      <c r="K560" s="104" t="str">
        <f t="shared" si="128"/>
        <v/>
      </c>
      <c r="L560" s="105" t="str">
        <f t="shared" si="128"/>
        <v/>
      </c>
      <c r="M560" s="106" t="str">
        <f t="shared" si="121"/>
        <v/>
      </c>
    </row>
    <row r="561" spans="1:14" s="5" customFormat="1" ht="30" customHeight="1" x14ac:dyDescent="0.25">
      <c r="A561" s="14" t="s">
        <v>7</v>
      </c>
      <c r="B561" s="16" t="s">
        <v>78</v>
      </c>
      <c r="C561" s="25" t="s">
        <v>61</v>
      </c>
      <c r="D561" s="168" t="s">
        <v>87</v>
      </c>
      <c r="E561" s="38">
        <v>0</v>
      </c>
      <c r="F561" s="39">
        <v>0</v>
      </c>
      <c r="G561" s="40">
        <v>0</v>
      </c>
      <c r="H561" s="41">
        <v>0</v>
      </c>
      <c r="I561" s="42">
        <f t="shared" si="127"/>
        <v>0</v>
      </c>
      <c r="J561" s="103" t="str">
        <f t="shared" si="128"/>
        <v/>
      </c>
      <c r="K561" s="104" t="str">
        <f t="shared" si="128"/>
        <v/>
      </c>
      <c r="L561" s="105" t="str">
        <f t="shared" si="128"/>
        <v/>
      </c>
      <c r="M561" s="106" t="str">
        <f t="shared" si="121"/>
        <v/>
      </c>
    </row>
    <row r="562" spans="1:14" s="5" customFormat="1" ht="30" customHeight="1" x14ac:dyDescent="0.25">
      <c r="A562" s="14" t="s">
        <v>7</v>
      </c>
      <c r="B562" s="16" t="s">
        <v>78</v>
      </c>
      <c r="C562" s="25" t="s">
        <v>61</v>
      </c>
      <c r="D562" s="168" t="s">
        <v>84</v>
      </c>
      <c r="E562" s="38">
        <v>0</v>
      </c>
      <c r="F562" s="39">
        <v>0</v>
      </c>
      <c r="G562" s="40">
        <v>0</v>
      </c>
      <c r="H562" s="41">
        <v>0</v>
      </c>
      <c r="I562" s="42">
        <f t="shared" si="127"/>
        <v>0</v>
      </c>
      <c r="J562" s="103" t="str">
        <f t="shared" si="128"/>
        <v/>
      </c>
      <c r="K562" s="104" t="str">
        <f t="shared" si="128"/>
        <v/>
      </c>
      <c r="L562" s="105" t="str">
        <f t="shared" si="128"/>
        <v/>
      </c>
      <c r="M562" s="106" t="str">
        <f t="shared" si="121"/>
        <v/>
      </c>
    </row>
    <row r="563" spans="1:14" s="5" customFormat="1" ht="30" customHeight="1" x14ac:dyDescent="0.25">
      <c r="A563" s="14" t="s">
        <v>7</v>
      </c>
      <c r="B563" s="16" t="s">
        <v>78</v>
      </c>
      <c r="C563" s="25" t="s">
        <v>86</v>
      </c>
      <c r="D563" s="168" t="s">
        <v>79</v>
      </c>
      <c r="E563" s="38">
        <v>0</v>
      </c>
      <c r="F563" s="39">
        <v>0</v>
      </c>
      <c r="G563" s="40">
        <v>0</v>
      </c>
      <c r="H563" s="41">
        <v>0</v>
      </c>
      <c r="I563" s="42">
        <f t="shared" si="127"/>
        <v>0</v>
      </c>
      <c r="J563" s="103" t="str">
        <f t="shared" si="128"/>
        <v/>
      </c>
      <c r="K563" s="104" t="str">
        <f t="shared" si="128"/>
        <v/>
      </c>
      <c r="L563" s="105" t="str">
        <f t="shared" si="128"/>
        <v/>
      </c>
      <c r="M563" s="106" t="str">
        <f t="shared" si="121"/>
        <v/>
      </c>
      <c r="N563" s="5" t="s">
        <v>1671</v>
      </c>
    </row>
    <row r="564" spans="1:14" ht="5.0999999999999996" customHeight="1" x14ac:dyDescent="0.25">
      <c r="A564" s="14" t="s">
        <v>7</v>
      </c>
      <c r="B564" s="16" t="s">
        <v>78</v>
      </c>
      <c r="C564"/>
      <c r="D564" s="57"/>
      <c r="E564" s="59"/>
      <c r="F564" s="59"/>
      <c r="G564" s="59"/>
      <c r="H564" s="59"/>
      <c r="I564" s="59"/>
      <c r="J564" s="103"/>
      <c r="K564" s="104"/>
      <c r="L564" s="105"/>
      <c r="M564" s="106" t="str">
        <f t="shared" si="121"/>
        <v/>
      </c>
    </row>
    <row r="565" spans="1:14" s="5" customFormat="1" ht="20.100000000000001" customHeight="1" x14ac:dyDescent="0.25">
      <c r="A565" s="14" t="s">
        <v>7</v>
      </c>
      <c r="B565" s="16" t="s">
        <v>1642</v>
      </c>
      <c r="C565" s="25" t="s">
        <v>60</v>
      </c>
      <c r="D565" s="6" t="s">
        <v>1644</v>
      </c>
      <c r="E565" s="37"/>
      <c r="F565" s="37"/>
      <c r="G565" s="37"/>
      <c r="H565" s="37"/>
      <c r="I565" s="48"/>
      <c r="J565" s="103"/>
      <c r="K565" s="104"/>
      <c r="L565" s="105"/>
      <c r="M565" s="106" t="str">
        <f t="shared" si="121"/>
        <v/>
      </c>
      <c r="N565" s="5" t="s">
        <v>1673</v>
      </c>
    </row>
    <row r="566" spans="1:14" s="5" customFormat="1" ht="30" customHeight="1" x14ac:dyDescent="0.25">
      <c r="A566" s="14" t="s">
        <v>7</v>
      </c>
      <c r="B566" s="16" t="s">
        <v>1642</v>
      </c>
      <c r="C566" s="25" t="s">
        <v>61</v>
      </c>
      <c r="D566" s="168" t="s">
        <v>1643</v>
      </c>
      <c r="E566" s="38">
        <v>0</v>
      </c>
      <c r="F566" s="39">
        <v>0</v>
      </c>
      <c r="G566" s="40">
        <v>0</v>
      </c>
      <c r="H566" s="41">
        <v>0</v>
      </c>
      <c r="I566" s="42">
        <f t="shared" ref="I566" si="129">SUM(E566:H566)</f>
        <v>0</v>
      </c>
      <c r="J566" s="103" t="str">
        <f>IFERROR(E566/$I566*100,"")</f>
        <v/>
      </c>
      <c r="K566" s="104" t="str">
        <f>IFERROR(F566/$I566*100,"")</f>
        <v/>
      </c>
      <c r="L566" s="105" t="str">
        <f>IFERROR(G566/$I566*100,"")</f>
        <v/>
      </c>
      <c r="M566" s="106" t="str">
        <f t="shared" si="121"/>
        <v/>
      </c>
      <c r="N566" s="5" t="s">
        <v>1671</v>
      </c>
    </row>
    <row r="567" spans="1:14" ht="5.0999999999999996" customHeight="1" x14ac:dyDescent="0.25">
      <c r="A567" s="14" t="s">
        <v>7</v>
      </c>
      <c r="B567" s="16" t="s">
        <v>1642</v>
      </c>
      <c r="C567"/>
      <c r="D567" s="57"/>
      <c r="E567" s="59"/>
      <c r="F567" s="59"/>
      <c r="G567" s="59"/>
      <c r="H567" s="59"/>
      <c r="I567" s="59"/>
      <c r="J567" s="103"/>
      <c r="K567" s="104"/>
      <c r="L567" s="105"/>
      <c r="M567" s="106" t="str">
        <f t="shared" si="121"/>
        <v/>
      </c>
    </row>
    <row r="568" spans="1:14" s="5" customFormat="1" ht="20.100000000000001" customHeight="1" x14ac:dyDescent="0.25">
      <c r="A568" s="14" t="s">
        <v>7</v>
      </c>
      <c r="B568" s="16" t="s">
        <v>91</v>
      </c>
      <c r="C568" s="25" t="s">
        <v>60</v>
      </c>
      <c r="D568" s="6" t="s">
        <v>89</v>
      </c>
      <c r="E568" s="37"/>
      <c r="F568" s="37"/>
      <c r="G568" s="37"/>
      <c r="H568" s="37"/>
      <c r="I568" s="48"/>
      <c r="J568" s="103"/>
      <c r="K568" s="104"/>
      <c r="L568" s="105"/>
      <c r="M568" s="106" t="str">
        <f t="shared" si="121"/>
        <v/>
      </c>
      <c r="N568" s="5" t="s">
        <v>1673</v>
      </c>
    </row>
    <row r="569" spans="1:14" s="5" customFormat="1" ht="30" customHeight="1" x14ac:dyDescent="0.25">
      <c r="A569" s="14" t="s">
        <v>7</v>
      </c>
      <c r="B569" s="16" t="s">
        <v>91</v>
      </c>
      <c r="C569" s="25" t="s">
        <v>61</v>
      </c>
      <c r="D569" s="168" t="s">
        <v>90</v>
      </c>
      <c r="E569" s="38">
        <v>0</v>
      </c>
      <c r="F569" s="39">
        <v>0</v>
      </c>
      <c r="G569" s="40">
        <v>0</v>
      </c>
      <c r="H569" s="41">
        <v>0</v>
      </c>
      <c r="I569" s="42">
        <f t="shared" ref="I569" si="130">SUM(E569:H569)</f>
        <v>0</v>
      </c>
      <c r="J569" s="103" t="str">
        <f>IFERROR(E569/$I569*100,"")</f>
        <v/>
      </c>
      <c r="K569" s="104" t="str">
        <f>IFERROR(F569/$I569*100,"")</f>
        <v/>
      </c>
      <c r="L569" s="105" t="str">
        <f>IFERROR(G569/$I569*100,"")</f>
        <v/>
      </c>
      <c r="M569" s="106" t="str">
        <f t="shared" si="121"/>
        <v/>
      </c>
      <c r="N569" s="5" t="s">
        <v>1671</v>
      </c>
    </row>
    <row r="570" spans="1:14" ht="5.0999999999999996" customHeight="1" x14ac:dyDescent="0.25">
      <c r="A570" s="14" t="s">
        <v>7</v>
      </c>
      <c r="B570" s="16" t="s">
        <v>91</v>
      </c>
      <c r="C570"/>
      <c r="D570" s="57"/>
      <c r="E570" s="59"/>
      <c r="F570" s="59"/>
      <c r="G570" s="59"/>
      <c r="H570" s="59"/>
      <c r="I570" s="59"/>
      <c r="J570" s="103"/>
      <c r="K570" s="104"/>
      <c r="L570" s="105"/>
      <c r="M570" s="106" t="str">
        <f t="shared" si="121"/>
        <v/>
      </c>
    </row>
    <row r="571" spans="1:14" s="5" customFormat="1" ht="20.100000000000001" customHeight="1" x14ac:dyDescent="0.25">
      <c r="A571" s="14" t="s">
        <v>7</v>
      </c>
      <c r="B571" s="16" t="s">
        <v>1637</v>
      </c>
      <c r="C571" s="25" t="s">
        <v>60</v>
      </c>
      <c r="D571" s="6" t="s">
        <v>1636</v>
      </c>
      <c r="E571" s="37"/>
      <c r="F571" s="37"/>
      <c r="G571" s="37"/>
      <c r="H571" s="37"/>
      <c r="I571" s="48"/>
      <c r="J571" s="103"/>
      <c r="K571" s="104"/>
      <c r="L571" s="105"/>
      <c r="M571" s="106" t="str">
        <f t="shared" si="121"/>
        <v/>
      </c>
      <c r="N571" s="5" t="s">
        <v>1673</v>
      </c>
    </row>
    <row r="572" spans="1:14" s="3" customFormat="1" ht="30" customHeight="1" x14ac:dyDescent="0.25">
      <c r="A572" s="14" t="s">
        <v>7</v>
      </c>
      <c r="B572" s="16" t="s">
        <v>1637</v>
      </c>
      <c r="C572" s="25" t="s">
        <v>61</v>
      </c>
      <c r="D572" s="168" t="s">
        <v>1638</v>
      </c>
      <c r="E572" s="38">
        <v>0</v>
      </c>
      <c r="F572" s="39">
        <v>0</v>
      </c>
      <c r="G572" s="40">
        <v>0</v>
      </c>
      <c r="H572" s="41">
        <v>0</v>
      </c>
      <c r="I572" s="42">
        <f t="shared" ref="I572:I577" si="131">SUM(E572:H572)</f>
        <v>0</v>
      </c>
      <c r="J572" s="103" t="str">
        <f t="shared" ref="J572:L576" si="132">IFERROR(E572/$I572*100,"")</f>
        <v/>
      </c>
      <c r="K572" s="104" t="str">
        <f t="shared" si="132"/>
        <v/>
      </c>
      <c r="L572" s="105" t="str">
        <f t="shared" si="132"/>
        <v/>
      </c>
      <c r="M572" s="106" t="str">
        <f t="shared" si="121"/>
        <v/>
      </c>
    </row>
    <row r="573" spans="1:14" s="3" customFormat="1" ht="30" customHeight="1" x14ac:dyDescent="0.25">
      <c r="A573" s="14" t="s">
        <v>7</v>
      </c>
      <c r="B573" s="16" t="s">
        <v>1637</v>
      </c>
      <c r="C573" s="25" t="s">
        <v>61</v>
      </c>
      <c r="D573" s="168" t="s">
        <v>1669</v>
      </c>
      <c r="E573" s="38">
        <v>0</v>
      </c>
      <c r="F573" s="39">
        <v>0</v>
      </c>
      <c r="G573" s="40">
        <v>0</v>
      </c>
      <c r="H573" s="41">
        <v>0</v>
      </c>
      <c r="I573" s="42">
        <f t="shared" si="131"/>
        <v>0</v>
      </c>
      <c r="J573" s="103" t="str">
        <f t="shared" si="132"/>
        <v/>
      </c>
      <c r="K573" s="104" t="str">
        <f t="shared" si="132"/>
        <v/>
      </c>
      <c r="L573" s="105" t="str">
        <f t="shared" si="132"/>
        <v/>
      </c>
      <c r="M573" s="106" t="str">
        <f t="shared" si="121"/>
        <v/>
      </c>
    </row>
    <row r="574" spans="1:14" s="3" customFormat="1" ht="30" customHeight="1" x14ac:dyDescent="0.25">
      <c r="A574" s="14" t="s">
        <v>7</v>
      </c>
      <c r="B574" s="16" t="s">
        <v>1637</v>
      </c>
      <c r="C574" s="25" t="s">
        <v>61</v>
      </c>
      <c r="D574" s="168" t="s">
        <v>1640</v>
      </c>
      <c r="E574" s="38">
        <v>0</v>
      </c>
      <c r="F574" s="39">
        <v>0</v>
      </c>
      <c r="G574" s="40">
        <v>0</v>
      </c>
      <c r="H574" s="41">
        <v>0</v>
      </c>
      <c r="I574" s="42">
        <f t="shared" si="131"/>
        <v>0</v>
      </c>
      <c r="J574" s="103" t="str">
        <f t="shared" si="132"/>
        <v/>
      </c>
      <c r="K574" s="104" t="str">
        <f t="shared" si="132"/>
        <v/>
      </c>
      <c r="L574" s="105" t="str">
        <f t="shared" si="132"/>
        <v/>
      </c>
      <c r="M574" s="106" t="str">
        <f t="shared" si="121"/>
        <v/>
      </c>
    </row>
    <row r="575" spans="1:14" s="3" customFormat="1" ht="30" customHeight="1" x14ac:dyDescent="0.25">
      <c r="A575" s="14" t="s">
        <v>7</v>
      </c>
      <c r="B575" s="16" t="s">
        <v>1637</v>
      </c>
      <c r="C575" s="25" t="s">
        <v>61</v>
      </c>
      <c r="D575" s="168" t="s">
        <v>1639</v>
      </c>
      <c r="E575" s="38">
        <v>0</v>
      </c>
      <c r="F575" s="39">
        <v>0</v>
      </c>
      <c r="G575" s="40">
        <v>0</v>
      </c>
      <c r="H575" s="41">
        <v>0</v>
      </c>
      <c r="I575" s="42">
        <f t="shared" si="131"/>
        <v>0</v>
      </c>
      <c r="J575" s="103" t="str">
        <f t="shared" si="132"/>
        <v/>
      </c>
      <c r="K575" s="104" t="str">
        <f t="shared" si="132"/>
        <v/>
      </c>
      <c r="L575" s="105" t="str">
        <f t="shared" si="132"/>
        <v/>
      </c>
      <c r="M575" s="106" t="str">
        <f t="shared" si="121"/>
        <v/>
      </c>
    </row>
    <row r="576" spans="1:14" s="3" customFormat="1" ht="30" customHeight="1" x14ac:dyDescent="0.25">
      <c r="A576" s="14" t="s">
        <v>7</v>
      </c>
      <c r="B576" s="16" t="s">
        <v>1637</v>
      </c>
      <c r="C576" s="25" t="s">
        <v>61</v>
      </c>
      <c r="D576" s="168" t="s">
        <v>1641</v>
      </c>
      <c r="E576" s="38">
        <v>0</v>
      </c>
      <c r="F576" s="39">
        <v>0</v>
      </c>
      <c r="G576" s="40">
        <v>0</v>
      </c>
      <c r="H576" s="41">
        <v>0</v>
      </c>
      <c r="I576" s="42">
        <f t="shared" si="131"/>
        <v>0</v>
      </c>
      <c r="J576" s="103" t="str">
        <f t="shared" si="132"/>
        <v/>
      </c>
      <c r="K576" s="104" t="str">
        <f t="shared" si="132"/>
        <v/>
      </c>
      <c r="L576" s="105" t="str">
        <f t="shared" si="132"/>
        <v/>
      </c>
      <c r="M576" s="106" t="str">
        <f t="shared" si="121"/>
        <v/>
      </c>
    </row>
    <row r="577" spans="1:14" s="3" customFormat="1" ht="30" customHeight="1" x14ac:dyDescent="0.25">
      <c r="A577" s="14" t="s">
        <v>7</v>
      </c>
      <c r="B577" s="16" t="s">
        <v>1637</v>
      </c>
      <c r="C577" s="25"/>
      <c r="D577" s="168" t="s">
        <v>29</v>
      </c>
      <c r="E577" s="38">
        <f>SUM(E572:E576)</f>
        <v>0</v>
      </c>
      <c r="F577" s="39">
        <f>SUM(F572:F576)</f>
        <v>0</v>
      </c>
      <c r="G577" s="40">
        <f>SUM(G572:G576)</f>
        <v>0</v>
      </c>
      <c r="H577" s="41">
        <f>SUM(H572:H576)</f>
        <v>0</v>
      </c>
      <c r="I577" s="42">
        <f t="shared" si="131"/>
        <v>0</v>
      </c>
      <c r="J577" s="103" t="str">
        <f>IFERROR(E577/SUM($E577:$H577)*100,"")</f>
        <v/>
      </c>
      <c r="K577" s="104" t="str">
        <f>IFERROR(F577/SUM($E577:$H577)*100,"")</f>
        <v/>
      </c>
      <c r="L577" s="105" t="str">
        <f>IFERROR(G577/SUM($E577:$H577)*100,"")</f>
        <v/>
      </c>
      <c r="M577" s="106" t="str">
        <f t="shared" si="121"/>
        <v/>
      </c>
      <c r="N577" s="5" t="s">
        <v>1671</v>
      </c>
    </row>
    <row r="578" spans="1:14" ht="5.0999999999999996" customHeight="1" x14ac:dyDescent="0.25">
      <c r="A578" s="14" t="s">
        <v>7</v>
      </c>
      <c r="B578" s="16" t="s">
        <v>1637</v>
      </c>
      <c r="C578"/>
      <c r="J578" s="103"/>
      <c r="K578" s="104"/>
      <c r="L578" s="105"/>
      <c r="M578" s="106" t="str">
        <f t="shared" si="121"/>
        <v/>
      </c>
    </row>
    <row r="579" spans="1:14" s="5" customFormat="1" ht="20.100000000000001" customHeight="1" x14ac:dyDescent="0.25">
      <c r="A579" s="14" t="s">
        <v>7</v>
      </c>
      <c r="B579" s="16" t="s">
        <v>42</v>
      </c>
      <c r="C579" s="25" t="s">
        <v>60</v>
      </c>
      <c r="D579" s="6" t="s">
        <v>1744</v>
      </c>
      <c r="E579" s="37"/>
      <c r="F579" s="37"/>
      <c r="G579" s="37"/>
      <c r="H579" s="37"/>
      <c r="I579" s="48"/>
      <c r="J579" s="103"/>
      <c r="K579" s="104"/>
      <c r="L579" s="105"/>
      <c r="M579" s="106" t="str">
        <f t="shared" si="121"/>
        <v/>
      </c>
      <c r="N579" s="5" t="s">
        <v>1673</v>
      </c>
    </row>
    <row r="580" spans="1:14" s="3" customFormat="1" ht="30" customHeight="1" x14ac:dyDescent="0.25">
      <c r="A580" s="14" t="s">
        <v>7</v>
      </c>
      <c r="B580" s="16" t="s">
        <v>42</v>
      </c>
      <c r="C580" s="25" t="s">
        <v>61</v>
      </c>
      <c r="D580" s="168" t="s">
        <v>43</v>
      </c>
      <c r="E580" s="38">
        <v>0</v>
      </c>
      <c r="F580" s="39">
        <v>0</v>
      </c>
      <c r="G580" s="40">
        <v>0</v>
      </c>
      <c r="H580" s="41">
        <v>0</v>
      </c>
      <c r="I580" s="42">
        <f t="shared" ref="I580:I589" si="133">SUM(E580:H580)</f>
        <v>0</v>
      </c>
      <c r="J580" s="103" t="str">
        <f t="shared" ref="J580:M595" si="134">IFERROR(E580/$I580*100,"")</f>
        <v/>
      </c>
      <c r="K580" s="104" t="str">
        <f t="shared" si="134"/>
        <v/>
      </c>
      <c r="L580" s="105" t="str">
        <f t="shared" si="134"/>
        <v/>
      </c>
      <c r="M580" s="106" t="str">
        <f t="shared" si="121"/>
        <v/>
      </c>
    </row>
    <row r="581" spans="1:14" s="3" customFormat="1" ht="30" customHeight="1" x14ac:dyDescent="0.25">
      <c r="A581" s="14" t="s">
        <v>7</v>
      </c>
      <c r="B581" s="16" t="s">
        <v>42</v>
      </c>
      <c r="C581" s="25" t="s">
        <v>61</v>
      </c>
      <c r="D581" s="168" t="s">
        <v>44</v>
      </c>
      <c r="E581" s="38">
        <v>0</v>
      </c>
      <c r="F581" s="39">
        <v>0</v>
      </c>
      <c r="G581" s="40">
        <v>0</v>
      </c>
      <c r="H581" s="41">
        <v>0</v>
      </c>
      <c r="I581" s="42">
        <f t="shared" si="133"/>
        <v>0</v>
      </c>
      <c r="J581" s="103" t="str">
        <f t="shared" si="134"/>
        <v/>
      </c>
      <c r="K581" s="104" t="str">
        <f t="shared" si="134"/>
        <v/>
      </c>
      <c r="L581" s="105" t="str">
        <f t="shared" si="134"/>
        <v/>
      </c>
      <c r="M581" s="106" t="str">
        <f t="shared" si="121"/>
        <v/>
      </c>
    </row>
    <row r="582" spans="1:14" s="3" customFormat="1" ht="30" customHeight="1" x14ac:dyDescent="0.25">
      <c r="A582" s="14" t="s">
        <v>7</v>
      </c>
      <c r="B582" s="16" t="s">
        <v>42</v>
      </c>
      <c r="C582" s="25" t="s">
        <v>61</v>
      </c>
      <c r="D582" s="168" t="s">
        <v>45</v>
      </c>
      <c r="E582" s="38">
        <v>0</v>
      </c>
      <c r="F582" s="39">
        <v>0</v>
      </c>
      <c r="G582" s="40">
        <v>0</v>
      </c>
      <c r="H582" s="41">
        <v>0</v>
      </c>
      <c r="I582" s="42">
        <f t="shared" si="133"/>
        <v>0</v>
      </c>
      <c r="J582" s="103" t="str">
        <f t="shared" si="134"/>
        <v/>
      </c>
      <c r="K582" s="104" t="str">
        <f t="shared" si="134"/>
        <v/>
      </c>
      <c r="L582" s="105" t="str">
        <f t="shared" si="134"/>
        <v/>
      </c>
      <c r="M582" s="106" t="str">
        <f t="shared" si="121"/>
        <v/>
      </c>
    </row>
    <row r="583" spans="1:14" s="3" customFormat="1" ht="30" customHeight="1" x14ac:dyDescent="0.25">
      <c r="A583" s="14" t="s">
        <v>7</v>
      </c>
      <c r="B583" s="16" t="s">
        <v>42</v>
      </c>
      <c r="C583" s="25" t="s">
        <v>61</v>
      </c>
      <c r="D583" s="168" t="s">
        <v>46</v>
      </c>
      <c r="E583" s="38">
        <v>0</v>
      </c>
      <c r="F583" s="39">
        <v>0</v>
      </c>
      <c r="G583" s="40">
        <v>0</v>
      </c>
      <c r="H583" s="41">
        <v>0</v>
      </c>
      <c r="I583" s="42">
        <f t="shared" si="133"/>
        <v>0</v>
      </c>
      <c r="J583" s="103" t="str">
        <f t="shared" si="134"/>
        <v/>
      </c>
      <c r="K583" s="104" t="str">
        <f t="shared" si="134"/>
        <v/>
      </c>
      <c r="L583" s="105" t="str">
        <f t="shared" si="134"/>
        <v/>
      </c>
      <c r="M583" s="106" t="str">
        <f t="shared" si="121"/>
        <v/>
      </c>
    </row>
    <row r="584" spans="1:14" s="3" customFormat="1" ht="30" customHeight="1" x14ac:dyDescent="0.25">
      <c r="A584" s="14" t="s">
        <v>7</v>
      </c>
      <c r="B584" s="16" t="s">
        <v>42</v>
      </c>
      <c r="C584" s="25" t="s">
        <v>61</v>
      </c>
      <c r="D584" s="168" t="s">
        <v>51</v>
      </c>
      <c r="E584" s="38">
        <v>0</v>
      </c>
      <c r="F584" s="39">
        <v>0</v>
      </c>
      <c r="G584" s="40">
        <v>0</v>
      </c>
      <c r="H584" s="41">
        <v>0</v>
      </c>
      <c r="I584" s="42">
        <f t="shared" si="133"/>
        <v>0</v>
      </c>
      <c r="J584" s="103" t="str">
        <f t="shared" si="134"/>
        <v/>
      </c>
      <c r="K584" s="104" t="str">
        <f t="shared" si="134"/>
        <v/>
      </c>
      <c r="L584" s="105" t="str">
        <f t="shared" si="134"/>
        <v/>
      </c>
      <c r="M584" s="106" t="str">
        <f t="shared" si="121"/>
        <v/>
      </c>
    </row>
    <row r="585" spans="1:14" s="3" customFormat="1" ht="30" customHeight="1" x14ac:dyDescent="0.25">
      <c r="A585" s="14" t="s">
        <v>7</v>
      </c>
      <c r="B585" s="16" t="s">
        <v>42</v>
      </c>
      <c r="C585" s="25" t="s">
        <v>61</v>
      </c>
      <c r="D585" s="168" t="s">
        <v>52</v>
      </c>
      <c r="E585" s="38">
        <v>0</v>
      </c>
      <c r="F585" s="39">
        <v>0</v>
      </c>
      <c r="G585" s="40">
        <v>0</v>
      </c>
      <c r="H585" s="41">
        <v>0</v>
      </c>
      <c r="I585" s="42">
        <f t="shared" si="133"/>
        <v>0</v>
      </c>
      <c r="J585" s="103" t="str">
        <f t="shared" si="134"/>
        <v/>
      </c>
      <c r="K585" s="104" t="str">
        <f t="shared" si="134"/>
        <v/>
      </c>
      <c r="L585" s="105" t="str">
        <f t="shared" si="134"/>
        <v/>
      </c>
      <c r="M585" s="106" t="str">
        <f t="shared" si="121"/>
        <v/>
      </c>
    </row>
    <row r="586" spans="1:14" s="3" customFormat="1" ht="30" customHeight="1" x14ac:dyDescent="0.25">
      <c r="A586" s="14" t="s">
        <v>7</v>
      </c>
      <c r="B586" s="16" t="s">
        <v>42</v>
      </c>
      <c r="C586" s="25" t="s">
        <v>61</v>
      </c>
      <c r="D586" s="168" t="s">
        <v>47</v>
      </c>
      <c r="E586" s="38">
        <v>0</v>
      </c>
      <c r="F586" s="39">
        <v>0</v>
      </c>
      <c r="G586" s="40">
        <v>0</v>
      </c>
      <c r="H586" s="41">
        <v>0</v>
      </c>
      <c r="I586" s="42">
        <f t="shared" si="133"/>
        <v>0</v>
      </c>
      <c r="J586" s="103" t="str">
        <f t="shared" si="134"/>
        <v/>
      </c>
      <c r="K586" s="104" t="str">
        <f t="shared" si="134"/>
        <v/>
      </c>
      <c r="L586" s="105" t="str">
        <f t="shared" si="134"/>
        <v/>
      </c>
      <c r="M586" s="106" t="str">
        <f t="shared" si="121"/>
        <v/>
      </c>
    </row>
    <row r="587" spans="1:14" s="3" customFormat="1" ht="30" customHeight="1" x14ac:dyDescent="0.25">
      <c r="A587" s="14" t="s">
        <v>7</v>
      </c>
      <c r="B587" s="16" t="s">
        <v>42</v>
      </c>
      <c r="C587" s="25" t="s">
        <v>61</v>
      </c>
      <c r="D587" s="168" t="s">
        <v>48</v>
      </c>
      <c r="E587" s="38">
        <v>0</v>
      </c>
      <c r="F587" s="39">
        <v>0</v>
      </c>
      <c r="G587" s="40">
        <v>0</v>
      </c>
      <c r="H587" s="41">
        <v>0</v>
      </c>
      <c r="I587" s="42">
        <f t="shared" si="133"/>
        <v>0</v>
      </c>
      <c r="J587" s="103" t="str">
        <f t="shared" si="134"/>
        <v/>
      </c>
      <c r="K587" s="104" t="str">
        <f t="shared" si="134"/>
        <v/>
      </c>
      <c r="L587" s="105" t="str">
        <f t="shared" si="134"/>
        <v/>
      </c>
      <c r="M587" s="106" t="str">
        <f t="shared" si="121"/>
        <v/>
      </c>
    </row>
    <row r="588" spans="1:14" s="3" customFormat="1" ht="30" customHeight="1" x14ac:dyDescent="0.25">
      <c r="A588" s="14" t="s">
        <v>7</v>
      </c>
      <c r="B588" s="16" t="s">
        <v>42</v>
      </c>
      <c r="C588" s="25" t="s">
        <v>61</v>
      </c>
      <c r="D588" s="168" t="s">
        <v>49</v>
      </c>
      <c r="E588" s="38">
        <v>0</v>
      </c>
      <c r="F588" s="39">
        <v>0</v>
      </c>
      <c r="G588" s="40">
        <v>0</v>
      </c>
      <c r="H588" s="41">
        <v>0</v>
      </c>
      <c r="I588" s="42">
        <f t="shared" si="133"/>
        <v>0</v>
      </c>
      <c r="J588" s="103" t="str">
        <f t="shared" si="134"/>
        <v/>
      </c>
      <c r="K588" s="104" t="str">
        <f t="shared" si="134"/>
        <v/>
      </c>
      <c r="L588" s="105" t="str">
        <f t="shared" si="134"/>
        <v/>
      </c>
      <c r="M588" s="106" t="str">
        <f t="shared" si="121"/>
        <v/>
      </c>
    </row>
    <row r="589" spans="1:14" s="3" customFormat="1" ht="30" customHeight="1" x14ac:dyDescent="0.25">
      <c r="A589" s="14" t="s">
        <v>7</v>
      </c>
      <c r="B589" s="16" t="s">
        <v>42</v>
      </c>
      <c r="C589" s="25" t="s">
        <v>61</v>
      </c>
      <c r="D589" s="168" t="s">
        <v>50</v>
      </c>
      <c r="E589" s="38">
        <v>0</v>
      </c>
      <c r="F589" s="39">
        <v>0</v>
      </c>
      <c r="G589" s="40">
        <v>0</v>
      </c>
      <c r="H589" s="41">
        <v>0</v>
      </c>
      <c r="I589" s="42">
        <f t="shared" si="133"/>
        <v>0</v>
      </c>
      <c r="J589" s="103" t="str">
        <f t="shared" si="134"/>
        <v/>
      </c>
      <c r="K589" s="104" t="str">
        <f t="shared" si="134"/>
        <v/>
      </c>
      <c r="L589" s="105" t="str">
        <f t="shared" si="134"/>
        <v/>
      </c>
      <c r="M589" s="106" t="str">
        <f t="shared" si="134"/>
        <v/>
      </c>
    </row>
    <row r="590" spans="1:14" s="8" customFormat="1" ht="30" customHeight="1" x14ac:dyDescent="0.25">
      <c r="A590" s="14" t="s">
        <v>7</v>
      </c>
      <c r="B590" s="16" t="s">
        <v>42</v>
      </c>
      <c r="C590" s="25"/>
      <c r="D590" s="9" t="s">
        <v>29</v>
      </c>
      <c r="E590" s="38">
        <f>SUM(E580:E589)</f>
        <v>0</v>
      </c>
      <c r="F590" s="39">
        <f t="shared" ref="F590:I590" si="135">SUM(F580:F589)</f>
        <v>0</v>
      </c>
      <c r="G590" s="40">
        <f t="shared" si="135"/>
        <v>0</v>
      </c>
      <c r="H590" s="41">
        <f t="shared" si="135"/>
        <v>0</v>
      </c>
      <c r="I590" s="43">
        <f t="shared" si="135"/>
        <v>0</v>
      </c>
      <c r="J590" s="103" t="str">
        <f>IFERROR(E590/SUM($E590:$H590)*100,"")</f>
        <v/>
      </c>
      <c r="K590" s="104" t="str">
        <f>IFERROR(F590/SUM($E590:$H590)*100,"")</f>
        <v/>
      </c>
      <c r="L590" s="105" t="str">
        <f>IFERROR(G590/SUM($E590:$H590)*100,"")</f>
        <v/>
      </c>
      <c r="M590" s="106" t="str">
        <f t="shared" si="134"/>
        <v/>
      </c>
      <c r="N590" s="5" t="s">
        <v>1671</v>
      </c>
    </row>
    <row r="591" spans="1:14" ht="5.0999999999999996" customHeight="1" x14ac:dyDescent="0.25">
      <c r="A591" s="14" t="s">
        <v>7</v>
      </c>
      <c r="B591" s="16" t="s">
        <v>42</v>
      </c>
      <c r="C591"/>
      <c r="E591" s="59"/>
      <c r="F591" s="59"/>
      <c r="G591" s="59"/>
      <c r="H591" s="59"/>
      <c r="I591" s="59"/>
      <c r="J591" s="103"/>
      <c r="K591" s="104"/>
      <c r="L591" s="105"/>
      <c r="M591" s="106" t="str">
        <f t="shared" si="134"/>
        <v/>
      </c>
    </row>
    <row r="592" spans="1:14" s="7" customFormat="1" ht="20.100000000000001" customHeight="1" x14ac:dyDescent="0.25">
      <c r="A592" s="14" t="s">
        <v>7</v>
      </c>
      <c r="B592" s="16" t="s">
        <v>62</v>
      </c>
      <c r="C592" s="25" t="s">
        <v>60</v>
      </c>
      <c r="D592" s="62" t="s">
        <v>63</v>
      </c>
      <c r="E592" s="63"/>
      <c r="F592" s="63"/>
      <c r="G592" s="63"/>
      <c r="H592" s="63"/>
      <c r="I592" s="64"/>
      <c r="J592" s="103"/>
      <c r="K592" s="104"/>
      <c r="L592" s="105"/>
      <c r="M592" s="106" t="str">
        <f t="shared" si="134"/>
        <v/>
      </c>
      <c r="N592" s="5" t="s">
        <v>1673</v>
      </c>
    </row>
    <row r="593" spans="1:14" s="8" customFormat="1" ht="30" customHeight="1" x14ac:dyDescent="0.25">
      <c r="A593" s="14" t="s">
        <v>7</v>
      </c>
      <c r="B593" s="16" t="s">
        <v>62</v>
      </c>
      <c r="C593" s="25"/>
      <c r="D593" s="168" t="s">
        <v>29</v>
      </c>
      <c r="E593" s="38">
        <f>SUM(E543,E532,E551,E590,E546,E554,E563,E569,E577,E566)</f>
        <v>0</v>
      </c>
      <c r="F593" s="39">
        <f>SUM(F543,F532,F551,F590,F546,F554,F563,F569,F577,F566)</f>
        <v>0</v>
      </c>
      <c r="G593" s="40">
        <f>SUM(G543,G532,G551,G590,G546,G554,G563,G569,G577,G566)</f>
        <v>0</v>
      </c>
      <c r="H593" s="41">
        <f>SUM(H543,H532,H551,H590,H546,H554,H563,H569,H577,H566)</f>
        <v>0</v>
      </c>
      <c r="I593" s="42">
        <f>SUM(I543,I532,I551,I590,I546,I554,I563,I569,I577,I566)</f>
        <v>0</v>
      </c>
      <c r="J593" s="103" t="str">
        <f>IFERROR(E593/SUM($E593:$H593)*100,"")</f>
        <v/>
      </c>
      <c r="K593" s="104" t="str">
        <f>IFERROR(F593/SUM($E593:$H593)*100,"")</f>
        <v/>
      </c>
      <c r="L593" s="105" t="str">
        <f>IFERROR(G593/SUM($E593:$H593)*100,"")</f>
        <v/>
      </c>
      <c r="M593" s="106" t="str">
        <f t="shared" si="134"/>
        <v/>
      </c>
      <c r="N593" s="5" t="s">
        <v>1671</v>
      </c>
    </row>
    <row r="594" spans="1:14" s="5" customFormat="1" ht="20.100000000000001" customHeight="1" x14ac:dyDescent="0.25">
      <c r="A594" s="14" t="s">
        <v>7</v>
      </c>
      <c r="B594" s="14"/>
      <c r="C594" s="25" t="s">
        <v>60</v>
      </c>
      <c r="D594" s="58"/>
      <c r="E594" s="60"/>
      <c r="F594" s="60"/>
      <c r="G594" s="60"/>
      <c r="H594" s="60"/>
      <c r="I594" s="60"/>
      <c r="J594" s="103"/>
      <c r="K594" s="104"/>
      <c r="L594" s="105"/>
      <c r="M594" s="106" t="str">
        <f t="shared" si="134"/>
        <v/>
      </c>
    </row>
    <row r="595" spans="1:14" s="5" customFormat="1" ht="20.100000000000001" customHeight="1" x14ac:dyDescent="0.25">
      <c r="A595" s="14" t="s">
        <v>13</v>
      </c>
      <c r="B595" s="14"/>
      <c r="C595" s="25" t="s">
        <v>60</v>
      </c>
      <c r="D595" s="20" t="str">
        <f>IFERROR(A595&amp;"   ("&amp;COUNTIFS(#REF!,"="&amp;A595)&amp;")",A595)</f>
        <v>DOF</v>
      </c>
      <c r="E595" s="45"/>
      <c r="F595" s="45"/>
      <c r="G595" s="45"/>
      <c r="H595" s="45"/>
      <c r="I595" s="46"/>
      <c r="J595" s="103"/>
      <c r="K595" s="104"/>
      <c r="L595" s="105"/>
      <c r="M595" s="106" t="str">
        <f t="shared" si="134"/>
        <v/>
      </c>
      <c r="N595" s="5" t="s">
        <v>1672</v>
      </c>
    </row>
    <row r="596" spans="1:14" s="5" customFormat="1" ht="20.100000000000001" customHeight="1" x14ac:dyDescent="0.25">
      <c r="A596" s="14" t="s">
        <v>13</v>
      </c>
      <c r="B596" s="16" t="s">
        <v>20</v>
      </c>
      <c r="C596" s="25" t="s">
        <v>60</v>
      </c>
      <c r="D596" s="6" t="s">
        <v>20</v>
      </c>
      <c r="E596" s="37"/>
      <c r="F596" s="37"/>
      <c r="G596" s="37"/>
      <c r="H596" s="37"/>
      <c r="I596" s="48"/>
      <c r="J596" s="103"/>
      <c r="K596" s="104"/>
      <c r="L596" s="105"/>
      <c r="M596" s="106" t="str">
        <f t="shared" ref="M596:M659" si="136">IFERROR(H596/$I596*100,"")</f>
        <v/>
      </c>
      <c r="N596" s="5" t="s">
        <v>1673</v>
      </c>
    </row>
    <row r="597" spans="1:14" s="5" customFormat="1" ht="30" customHeight="1" x14ac:dyDescent="0.25">
      <c r="A597" s="14" t="s">
        <v>13</v>
      </c>
      <c r="B597" s="16" t="s">
        <v>20</v>
      </c>
      <c r="C597" s="25" t="s">
        <v>61</v>
      </c>
      <c r="D597" s="168" t="s">
        <v>25</v>
      </c>
      <c r="E597" s="38">
        <v>0</v>
      </c>
      <c r="F597" s="39">
        <v>0</v>
      </c>
      <c r="G597" s="40">
        <v>0</v>
      </c>
      <c r="H597" s="41">
        <v>0</v>
      </c>
      <c r="I597" s="42">
        <f>SUM(E597:H597)</f>
        <v>0</v>
      </c>
      <c r="J597" s="103" t="str">
        <f>IFERROR(E597/$I597*100,"")</f>
        <v/>
      </c>
      <c r="K597" s="104" t="str">
        <f>IFERROR(F597/$I597*100,"")</f>
        <v/>
      </c>
      <c r="L597" s="105" t="str">
        <f>IFERROR(G597/$I597*100,"")</f>
        <v/>
      </c>
      <c r="M597" s="106" t="str">
        <f t="shared" si="136"/>
        <v/>
      </c>
      <c r="N597" s="5" t="s">
        <v>1671</v>
      </c>
    </row>
    <row r="598" spans="1:14" ht="5.0999999999999996" customHeight="1" x14ac:dyDescent="0.25">
      <c r="A598" s="14" t="s">
        <v>13</v>
      </c>
      <c r="B598" s="16" t="s">
        <v>20</v>
      </c>
      <c r="C598"/>
      <c r="D598" s="57"/>
      <c r="E598" s="59"/>
      <c r="F598" s="59"/>
      <c r="G598" s="59"/>
      <c r="H598" s="59"/>
      <c r="I598" s="59"/>
      <c r="J598" s="103"/>
      <c r="K598" s="104"/>
      <c r="L598" s="105"/>
      <c r="M598" s="106" t="str">
        <f t="shared" si="136"/>
        <v/>
      </c>
    </row>
    <row r="599" spans="1:14" s="5" customFormat="1" ht="20.100000000000001" customHeight="1" x14ac:dyDescent="0.25">
      <c r="A599" s="14" t="s">
        <v>13</v>
      </c>
      <c r="B599" s="16" t="s">
        <v>26</v>
      </c>
      <c r="C599" s="25" t="s">
        <v>60</v>
      </c>
      <c r="D599" s="6" t="s">
        <v>98</v>
      </c>
      <c r="E599" s="37"/>
      <c r="F599" s="37"/>
      <c r="G599" s="37"/>
      <c r="H599" s="37"/>
      <c r="I599" s="47"/>
      <c r="J599" s="103"/>
      <c r="K599" s="104"/>
      <c r="L599" s="105"/>
      <c r="M599" s="106" t="str">
        <f t="shared" si="136"/>
        <v/>
      </c>
      <c r="N599" s="5" t="s">
        <v>1673</v>
      </c>
    </row>
    <row r="600" spans="1:14" s="5" customFormat="1" ht="30" customHeight="1" x14ac:dyDescent="0.25">
      <c r="A600" s="14" t="s">
        <v>13</v>
      </c>
      <c r="B600" s="16" t="s">
        <v>26</v>
      </c>
      <c r="C600" s="25" t="s">
        <v>61</v>
      </c>
      <c r="D600" s="169" t="s">
        <v>21</v>
      </c>
      <c r="E600" s="38">
        <v>0</v>
      </c>
      <c r="F600" s="39">
        <v>0</v>
      </c>
      <c r="G600" s="40">
        <v>0</v>
      </c>
      <c r="H600" s="41">
        <v>0</v>
      </c>
      <c r="I600" s="42">
        <f t="shared" ref="I600:I607" si="137">SUM(E600:H600)</f>
        <v>0</v>
      </c>
      <c r="J600" s="103" t="str">
        <f t="shared" ref="J600:L607" si="138">IFERROR(E600/$I600*100,"")</f>
        <v/>
      </c>
      <c r="K600" s="104" t="str">
        <f t="shared" si="138"/>
        <v/>
      </c>
      <c r="L600" s="105" t="str">
        <f t="shared" si="138"/>
        <v/>
      </c>
      <c r="M600" s="106" t="str">
        <f t="shared" si="136"/>
        <v/>
      </c>
    </row>
    <row r="601" spans="1:14" s="5" customFormat="1" ht="30" customHeight="1" x14ac:dyDescent="0.25">
      <c r="A601" s="14" t="s">
        <v>13</v>
      </c>
      <c r="B601" s="16" t="s">
        <v>26</v>
      </c>
      <c r="C601" s="25" t="s">
        <v>61</v>
      </c>
      <c r="D601" s="169" t="s">
        <v>22</v>
      </c>
      <c r="E601" s="38">
        <v>0</v>
      </c>
      <c r="F601" s="39">
        <v>0</v>
      </c>
      <c r="G601" s="40">
        <v>0</v>
      </c>
      <c r="H601" s="41">
        <v>0</v>
      </c>
      <c r="I601" s="42">
        <f t="shared" si="137"/>
        <v>0</v>
      </c>
      <c r="J601" s="103" t="str">
        <f t="shared" si="138"/>
        <v/>
      </c>
      <c r="K601" s="104" t="str">
        <f t="shared" si="138"/>
        <v/>
      </c>
      <c r="L601" s="105" t="str">
        <f t="shared" si="138"/>
        <v/>
      </c>
      <c r="M601" s="106" t="str">
        <f t="shared" si="136"/>
        <v/>
      </c>
    </row>
    <row r="602" spans="1:14" s="5" customFormat="1" ht="30" customHeight="1" x14ac:dyDescent="0.25">
      <c r="A602" s="14" t="s">
        <v>13</v>
      </c>
      <c r="B602" s="16" t="s">
        <v>26</v>
      </c>
      <c r="C602" s="25" t="s">
        <v>61</v>
      </c>
      <c r="D602" s="169" t="s">
        <v>27</v>
      </c>
      <c r="E602" s="38">
        <v>0</v>
      </c>
      <c r="F602" s="39">
        <v>0</v>
      </c>
      <c r="G602" s="40">
        <v>0</v>
      </c>
      <c r="H602" s="41">
        <v>0</v>
      </c>
      <c r="I602" s="42">
        <f t="shared" si="137"/>
        <v>0</v>
      </c>
      <c r="J602" s="103" t="str">
        <f t="shared" si="138"/>
        <v/>
      </c>
      <c r="K602" s="104" t="str">
        <f t="shared" si="138"/>
        <v/>
      </c>
      <c r="L602" s="105" t="str">
        <f t="shared" si="138"/>
        <v/>
      </c>
      <c r="M602" s="106" t="str">
        <f t="shared" si="136"/>
        <v/>
      </c>
    </row>
    <row r="603" spans="1:14" s="5" customFormat="1" ht="30" customHeight="1" x14ac:dyDescent="0.25">
      <c r="A603" s="14" t="s">
        <v>13</v>
      </c>
      <c r="B603" s="16" t="s">
        <v>26</v>
      </c>
      <c r="C603" s="25" t="s">
        <v>61</v>
      </c>
      <c r="D603" s="169" t="s">
        <v>23</v>
      </c>
      <c r="E603" s="38">
        <v>0</v>
      </c>
      <c r="F603" s="39">
        <v>0</v>
      </c>
      <c r="G603" s="40">
        <v>0</v>
      </c>
      <c r="H603" s="41">
        <v>0</v>
      </c>
      <c r="I603" s="42">
        <f t="shared" si="137"/>
        <v>0</v>
      </c>
      <c r="J603" s="103" t="str">
        <f t="shared" si="138"/>
        <v/>
      </c>
      <c r="K603" s="104" t="str">
        <f t="shared" si="138"/>
        <v/>
      </c>
      <c r="L603" s="105" t="str">
        <f t="shared" si="138"/>
        <v/>
      </c>
      <c r="M603" s="106" t="str">
        <f t="shared" si="136"/>
        <v/>
      </c>
    </row>
    <row r="604" spans="1:14" s="5" customFormat="1" ht="30" customHeight="1" x14ac:dyDescent="0.25">
      <c r="A604" s="14" t="s">
        <v>13</v>
      </c>
      <c r="B604" s="16" t="s">
        <v>26</v>
      </c>
      <c r="C604" s="25" t="s">
        <v>61</v>
      </c>
      <c r="D604" s="169" t="s">
        <v>24</v>
      </c>
      <c r="E604" s="38">
        <v>0</v>
      </c>
      <c r="F604" s="39">
        <v>0</v>
      </c>
      <c r="G604" s="40">
        <v>0</v>
      </c>
      <c r="H604" s="41">
        <v>0</v>
      </c>
      <c r="I604" s="42">
        <f t="shared" si="137"/>
        <v>0</v>
      </c>
      <c r="J604" s="103" t="str">
        <f t="shared" si="138"/>
        <v/>
      </c>
      <c r="K604" s="104" t="str">
        <f t="shared" si="138"/>
        <v/>
      </c>
      <c r="L604" s="105" t="str">
        <f t="shared" si="138"/>
        <v/>
      </c>
      <c r="M604" s="106" t="str">
        <f t="shared" si="136"/>
        <v/>
      </c>
    </row>
    <row r="605" spans="1:14" s="3" customFormat="1" ht="30" customHeight="1" x14ac:dyDescent="0.25">
      <c r="A605" s="14" t="s">
        <v>13</v>
      </c>
      <c r="B605" s="16" t="s">
        <v>26</v>
      </c>
      <c r="C605" s="25" t="s">
        <v>61</v>
      </c>
      <c r="D605" s="169" t="s">
        <v>41</v>
      </c>
      <c r="E605" s="38">
        <v>0</v>
      </c>
      <c r="F605" s="39">
        <v>0</v>
      </c>
      <c r="G605" s="40">
        <v>0</v>
      </c>
      <c r="H605" s="41">
        <v>0</v>
      </c>
      <c r="I605" s="42">
        <f t="shared" si="137"/>
        <v>0</v>
      </c>
      <c r="J605" s="103" t="str">
        <f t="shared" si="138"/>
        <v/>
      </c>
      <c r="K605" s="104" t="str">
        <f t="shared" si="138"/>
        <v/>
      </c>
      <c r="L605" s="105" t="str">
        <f t="shared" si="138"/>
        <v/>
      </c>
      <c r="M605" s="106" t="str">
        <f t="shared" si="136"/>
        <v/>
      </c>
    </row>
    <row r="606" spans="1:14" s="5" customFormat="1" ht="30" customHeight="1" x14ac:dyDescent="0.25">
      <c r="A606" s="14" t="s">
        <v>13</v>
      </c>
      <c r="B606" s="16" t="s">
        <v>26</v>
      </c>
      <c r="C606" s="25" t="s">
        <v>61</v>
      </c>
      <c r="D606" s="169" t="s">
        <v>28</v>
      </c>
      <c r="E606" s="38">
        <v>0</v>
      </c>
      <c r="F606" s="39">
        <v>0</v>
      </c>
      <c r="G606" s="40">
        <v>0</v>
      </c>
      <c r="H606" s="41">
        <v>0</v>
      </c>
      <c r="I606" s="42">
        <f t="shared" si="137"/>
        <v>0</v>
      </c>
      <c r="J606" s="103" t="str">
        <f t="shared" si="138"/>
        <v/>
      </c>
      <c r="K606" s="104" t="str">
        <f t="shared" si="138"/>
        <v/>
      </c>
      <c r="L606" s="105" t="str">
        <f t="shared" si="138"/>
        <v/>
      </c>
      <c r="M606" s="106" t="str">
        <f t="shared" si="136"/>
        <v/>
      </c>
    </row>
    <row r="607" spans="1:14" s="5" customFormat="1" ht="30" customHeight="1" x14ac:dyDescent="0.25">
      <c r="A607" s="14" t="s">
        <v>13</v>
      </c>
      <c r="B607" s="16" t="s">
        <v>26</v>
      </c>
      <c r="C607" s="25" t="s">
        <v>61</v>
      </c>
      <c r="D607" s="169" t="s">
        <v>40</v>
      </c>
      <c r="E607" s="38">
        <v>0</v>
      </c>
      <c r="F607" s="39">
        <v>0</v>
      </c>
      <c r="G607" s="40">
        <v>0</v>
      </c>
      <c r="H607" s="41">
        <v>0</v>
      </c>
      <c r="I607" s="42">
        <f t="shared" si="137"/>
        <v>0</v>
      </c>
      <c r="J607" s="103" t="str">
        <f t="shared" si="138"/>
        <v/>
      </c>
      <c r="K607" s="104" t="str">
        <f t="shared" si="138"/>
        <v/>
      </c>
      <c r="L607" s="105" t="str">
        <f t="shared" si="138"/>
        <v/>
      </c>
      <c r="M607" s="106" t="str">
        <f t="shared" si="136"/>
        <v/>
      </c>
    </row>
    <row r="608" spans="1:14" s="5" customFormat="1" ht="30" customHeight="1" x14ac:dyDescent="0.25">
      <c r="A608" s="14" t="s">
        <v>13</v>
      </c>
      <c r="B608" s="16" t="s">
        <v>26</v>
      </c>
      <c r="C608" s="25"/>
      <c r="D608" s="9" t="s">
        <v>29</v>
      </c>
      <c r="E608" s="38">
        <f>SUM(E600:E607)</f>
        <v>0</v>
      </c>
      <c r="F608" s="39">
        <f t="shared" ref="F608:I608" si="139">SUM(F600:F607)</f>
        <v>0</v>
      </c>
      <c r="G608" s="40">
        <f t="shared" si="139"/>
        <v>0</v>
      </c>
      <c r="H608" s="41">
        <f t="shared" si="139"/>
        <v>0</v>
      </c>
      <c r="I608" s="43">
        <f t="shared" si="139"/>
        <v>0</v>
      </c>
      <c r="J608" s="103" t="str">
        <f>IFERROR(E608/SUM($E608:$H608)*100,"")</f>
        <v/>
      </c>
      <c r="K608" s="104" t="str">
        <f>IFERROR(F608/SUM($E608:$H608)*100,"")</f>
        <v/>
      </c>
      <c r="L608" s="105" t="str">
        <f>IFERROR(G608/SUM($E608:$H608)*100,"")</f>
        <v/>
      </c>
      <c r="M608" s="106" t="str">
        <f t="shared" si="136"/>
        <v/>
      </c>
      <c r="N608" s="5" t="s">
        <v>1671</v>
      </c>
    </row>
    <row r="609" spans="1:14" ht="5.0999999999999996" customHeight="1" x14ac:dyDescent="0.25">
      <c r="A609" s="14" t="s">
        <v>13</v>
      </c>
      <c r="B609" s="16" t="s">
        <v>26</v>
      </c>
      <c r="C609"/>
      <c r="D609" s="57"/>
      <c r="E609" s="59"/>
      <c r="F609" s="59"/>
      <c r="G609" s="59"/>
      <c r="H609" s="59"/>
      <c r="I609" s="59"/>
      <c r="J609" s="103"/>
      <c r="K609" s="104"/>
      <c r="L609" s="105"/>
      <c r="M609" s="106" t="str">
        <f t="shared" si="136"/>
        <v/>
      </c>
    </row>
    <row r="610" spans="1:14" s="5" customFormat="1" ht="20.100000000000001" customHeight="1" x14ac:dyDescent="0.25">
      <c r="A610" s="14" t="s">
        <v>13</v>
      </c>
      <c r="B610" s="16" t="s">
        <v>64</v>
      </c>
      <c r="C610" s="25" t="s">
        <v>60</v>
      </c>
      <c r="D610" s="6" t="s">
        <v>65</v>
      </c>
      <c r="E610" s="37"/>
      <c r="F610" s="37"/>
      <c r="G610" s="37"/>
      <c r="H610" s="37"/>
      <c r="I610" s="48"/>
      <c r="J610" s="103"/>
      <c r="K610" s="104"/>
      <c r="L610" s="105"/>
      <c r="M610" s="106" t="str">
        <f t="shared" si="136"/>
        <v/>
      </c>
      <c r="N610" s="5" t="s">
        <v>1673</v>
      </c>
    </row>
    <row r="611" spans="1:14" s="5" customFormat="1" ht="30" customHeight="1" x14ac:dyDescent="0.25">
      <c r="A611" s="14" t="s">
        <v>13</v>
      </c>
      <c r="B611" s="16" t="s">
        <v>64</v>
      </c>
      <c r="C611" s="25" t="s">
        <v>61</v>
      </c>
      <c r="D611" s="168" t="s">
        <v>66</v>
      </c>
      <c r="E611" s="38">
        <v>0</v>
      </c>
      <c r="F611" s="39">
        <v>0</v>
      </c>
      <c r="G611" s="40">
        <v>0</v>
      </c>
      <c r="H611" s="41">
        <v>0</v>
      </c>
      <c r="I611" s="42">
        <f>SUM(E611:H611)</f>
        <v>0</v>
      </c>
      <c r="J611" s="103" t="str">
        <f>IFERROR(E611/$I611*100,"")</f>
        <v/>
      </c>
      <c r="K611" s="104" t="str">
        <f>IFERROR(F611/$I611*100,"")</f>
        <v/>
      </c>
      <c r="L611" s="105" t="str">
        <f>IFERROR(G611/$I611*100,"")</f>
        <v/>
      </c>
      <c r="M611" s="106" t="str">
        <f t="shared" si="136"/>
        <v/>
      </c>
      <c r="N611" s="5" t="s">
        <v>1671</v>
      </c>
    </row>
    <row r="612" spans="1:14" ht="5.0999999999999996" customHeight="1" x14ac:dyDescent="0.25">
      <c r="A612" s="14" t="s">
        <v>13</v>
      </c>
      <c r="B612" s="16" t="s">
        <v>64</v>
      </c>
      <c r="C612"/>
      <c r="D612" s="57"/>
      <c r="E612" s="59"/>
      <c r="F612" s="59"/>
      <c r="G612" s="59"/>
      <c r="H612" s="59"/>
      <c r="I612" s="59"/>
      <c r="J612" s="103"/>
      <c r="K612" s="104"/>
      <c r="L612" s="105"/>
      <c r="M612" s="106" t="str">
        <f t="shared" si="136"/>
        <v/>
      </c>
    </row>
    <row r="613" spans="1:14" s="5" customFormat="1" ht="20.100000000000001" customHeight="1" x14ac:dyDescent="0.25">
      <c r="A613" s="14" t="s">
        <v>13</v>
      </c>
      <c r="B613" s="16" t="s">
        <v>55</v>
      </c>
      <c r="C613" s="25" t="s">
        <v>60</v>
      </c>
      <c r="D613" s="6" t="s">
        <v>55</v>
      </c>
      <c r="E613" s="37"/>
      <c r="F613" s="37"/>
      <c r="G613" s="37"/>
      <c r="H613" s="37"/>
      <c r="I613" s="48"/>
      <c r="J613" s="103"/>
      <c r="K613" s="104"/>
      <c r="L613" s="105"/>
      <c r="M613" s="106" t="str">
        <f t="shared" si="136"/>
        <v/>
      </c>
      <c r="N613" s="5" t="s">
        <v>1673</v>
      </c>
    </row>
    <row r="614" spans="1:14" s="3" customFormat="1" ht="30" customHeight="1" x14ac:dyDescent="0.25">
      <c r="A614" s="14" t="s">
        <v>13</v>
      </c>
      <c r="B614" s="16" t="s">
        <v>55</v>
      </c>
      <c r="C614" s="25" t="s">
        <v>61</v>
      </c>
      <c r="D614" s="168" t="s">
        <v>56</v>
      </c>
      <c r="E614" s="38">
        <v>0</v>
      </c>
      <c r="F614" s="39">
        <v>0</v>
      </c>
      <c r="G614" s="40">
        <v>0</v>
      </c>
      <c r="H614" s="41">
        <v>0</v>
      </c>
      <c r="I614" s="42">
        <f>SUM(E614:H614)</f>
        <v>0</v>
      </c>
      <c r="J614" s="103" t="str">
        <f t="shared" ref="J614:L616" si="140">IFERROR(E614/$I614*100,"")</f>
        <v/>
      </c>
      <c r="K614" s="104" t="str">
        <f t="shared" si="140"/>
        <v/>
      </c>
      <c r="L614" s="105" t="str">
        <f t="shared" si="140"/>
        <v/>
      </c>
      <c r="M614" s="106" t="str">
        <f t="shared" si="136"/>
        <v/>
      </c>
      <c r="N614" s="5"/>
    </row>
    <row r="615" spans="1:14" s="3" customFormat="1" ht="30" customHeight="1" x14ac:dyDescent="0.25">
      <c r="A615" s="14" t="s">
        <v>13</v>
      </c>
      <c r="B615" s="16" t="s">
        <v>55</v>
      </c>
      <c r="C615" s="25" t="s">
        <v>61</v>
      </c>
      <c r="D615" s="168" t="s">
        <v>57</v>
      </c>
      <c r="E615" s="38">
        <v>0</v>
      </c>
      <c r="F615" s="39">
        <v>0</v>
      </c>
      <c r="G615" s="40">
        <v>0</v>
      </c>
      <c r="H615" s="41">
        <v>0</v>
      </c>
      <c r="I615" s="42">
        <f>SUM(E615:H615)</f>
        <v>0</v>
      </c>
      <c r="J615" s="103" t="str">
        <f t="shared" si="140"/>
        <v/>
      </c>
      <c r="K615" s="104" t="str">
        <f t="shared" si="140"/>
        <v/>
      </c>
      <c r="L615" s="105" t="str">
        <f t="shared" si="140"/>
        <v/>
      </c>
      <c r="M615" s="106" t="str">
        <f t="shared" si="136"/>
        <v/>
      </c>
    </row>
    <row r="616" spans="1:14" s="3" customFormat="1" ht="30" customHeight="1" x14ac:dyDescent="0.25">
      <c r="A616" s="14" t="s">
        <v>13</v>
      </c>
      <c r="B616" s="16" t="s">
        <v>55</v>
      </c>
      <c r="C616" s="25"/>
      <c r="D616" s="168" t="s">
        <v>29</v>
      </c>
      <c r="E616" s="38">
        <f>SUM(E614:E615)</f>
        <v>0</v>
      </c>
      <c r="F616" s="39">
        <f t="shared" ref="F616:I616" si="141">SUM(F614:F615)</f>
        <v>0</v>
      </c>
      <c r="G616" s="40">
        <f t="shared" si="141"/>
        <v>0</v>
      </c>
      <c r="H616" s="41">
        <f t="shared" si="141"/>
        <v>0</v>
      </c>
      <c r="I616" s="42">
        <f t="shared" si="141"/>
        <v>0</v>
      </c>
      <c r="J616" s="103" t="str">
        <f t="shared" si="140"/>
        <v/>
      </c>
      <c r="K616" s="104" t="str">
        <f t="shared" si="140"/>
        <v/>
      </c>
      <c r="L616" s="105" t="str">
        <f t="shared" si="140"/>
        <v/>
      </c>
      <c r="M616" s="106" t="str">
        <f t="shared" si="136"/>
        <v/>
      </c>
      <c r="N616" s="5" t="s">
        <v>1671</v>
      </c>
    </row>
    <row r="617" spans="1:14" ht="5.0999999999999996" customHeight="1" x14ac:dyDescent="0.25">
      <c r="A617" s="14" t="s">
        <v>13</v>
      </c>
      <c r="B617" s="16" t="s">
        <v>55</v>
      </c>
      <c r="C617"/>
      <c r="D617" s="57"/>
      <c r="E617" s="59"/>
      <c r="F617" s="59"/>
      <c r="G617" s="59"/>
      <c r="H617" s="59"/>
      <c r="I617" s="59"/>
      <c r="J617" s="103"/>
      <c r="K617" s="104"/>
      <c r="L617" s="105"/>
      <c r="M617" s="106" t="str">
        <f t="shared" si="136"/>
        <v/>
      </c>
    </row>
    <row r="618" spans="1:14" s="5" customFormat="1" ht="20.100000000000001" customHeight="1" x14ac:dyDescent="0.25">
      <c r="A618" s="14" t="s">
        <v>13</v>
      </c>
      <c r="B618" s="16" t="s">
        <v>74</v>
      </c>
      <c r="C618" s="25" t="s">
        <v>60</v>
      </c>
      <c r="D618" s="6" t="s">
        <v>75</v>
      </c>
      <c r="E618" s="37"/>
      <c r="F618" s="37"/>
      <c r="G618" s="37"/>
      <c r="H618" s="37"/>
      <c r="I618" s="48"/>
      <c r="J618" s="103"/>
      <c r="K618" s="104"/>
      <c r="L618" s="105"/>
      <c r="M618" s="106" t="str">
        <f t="shared" si="136"/>
        <v/>
      </c>
      <c r="N618" s="5" t="s">
        <v>1673</v>
      </c>
    </row>
    <row r="619" spans="1:14" s="3" customFormat="1" ht="30" customHeight="1" x14ac:dyDescent="0.25">
      <c r="A619" s="14" t="s">
        <v>13</v>
      </c>
      <c r="B619" s="16" t="s">
        <v>74</v>
      </c>
      <c r="C619" s="25" t="s">
        <v>61</v>
      </c>
      <c r="D619" s="168" t="s">
        <v>77</v>
      </c>
      <c r="E619" s="38">
        <v>0</v>
      </c>
      <c r="F619" s="39">
        <v>0</v>
      </c>
      <c r="G619" s="40">
        <v>0</v>
      </c>
      <c r="H619" s="41">
        <v>0</v>
      </c>
      <c r="I619" s="42">
        <f>SUM(E619:H619)</f>
        <v>0</v>
      </c>
      <c r="J619" s="103" t="str">
        <f>IFERROR(E619/$I619*100,"")</f>
        <v/>
      </c>
      <c r="K619" s="104" t="str">
        <f>IFERROR(F619/$I619*100,"")</f>
        <v/>
      </c>
      <c r="L619" s="105" t="str">
        <f>IFERROR(G619/$I619*100,"")</f>
        <v/>
      </c>
      <c r="M619" s="106" t="str">
        <f t="shared" si="136"/>
        <v/>
      </c>
      <c r="N619" s="3" t="s">
        <v>1671</v>
      </c>
    </row>
    <row r="620" spans="1:14" ht="5.0999999999999996" customHeight="1" x14ac:dyDescent="0.25">
      <c r="A620" s="14" t="s">
        <v>13</v>
      </c>
      <c r="B620" s="16" t="s">
        <v>74</v>
      </c>
      <c r="C620"/>
      <c r="D620" s="57"/>
      <c r="E620" s="59"/>
      <c r="F620" s="59"/>
      <c r="G620" s="59"/>
      <c r="H620" s="59"/>
      <c r="I620" s="59"/>
      <c r="J620" s="103"/>
      <c r="K620" s="104"/>
      <c r="L620" s="105"/>
      <c r="M620" s="106" t="str">
        <f t="shared" si="136"/>
        <v/>
      </c>
    </row>
    <row r="621" spans="1:14" s="5" customFormat="1" ht="20.100000000000001" customHeight="1" x14ac:dyDescent="0.25">
      <c r="A621" s="14" t="s">
        <v>13</v>
      </c>
      <c r="B621" s="16" t="s">
        <v>78</v>
      </c>
      <c r="C621" s="25" t="s">
        <v>60</v>
      </c>
      <c r="D621" s="6" t="s">
        <v>80</v>
      </c>
      <c r="E621" s="37"/>
      <c r="F621" s="37"/>
      <c r="G621" s="37"/>
      <c r="H621" s="37"/>
      <c r="I621" s="48"/>
      <c r="J621" s="103"/>
      <c r="K621" s="104"/>
      <c r="L621" s="105"/>
      <c r="M621" s="106" t="str">
        <f t="shared" si="136"/>
        <v/>
      </c>
      <c r="N621" s="5" t="s">
        <v>1673</v>
      </c>
    </row>
    <row r="622" spans="1:14" s="5" customFormat="1" ht="30" customHeight="1" x14ac:dyDescent="0.25">
      <c r="A622" s="14" t="s">
        <v>13</v>
      </c>
      <c r="B622" s="16" t="s">
        <v>78</v>
      </c>
      <c r="C622" s="25" t="s">
        <v>61</v>
      </c>
      <c r="D622" s="168" t="s">
        <v>81</v>
      </c>
      <c r="E622" s="38">
        <v>0</v>
      </c>
      <c r="F622" s="39">
        <v>0</v>
      </c>
      <c r="G622" s="40">
        <v>0</v>
      </c>
      <c r="H622" s="41">
        <v>0</v>
      </c>
      <c r="I622" s="42">
        <f t="shared" ref="I622:I628" si="142">SUM(E622:H622)</f>
        <v>0</v>
      </c>
      <c r="J622" s="103" t="str">
        <f t="shared" ref="J622:L628" si="143">IFERROR(E622/$I622*100,"")</f>
        <v/>
      </c>
      <c r="K622" s="104" t="str">
        <f t="shared" si="143"/>
        <v/>
      </c>
      <c r="L622" s="105" t="str">
        <f t="shared" si="143"/>
        <v/>
      </c>
      <c r="M622" s="106" t="str">
        <f t="shared" si="136"/>
        <v/>
      </c>
    </row>
    <row r="623" spans="1:14" s="5" customFormat="1" ht="30" customHeight="1" x14ac:dyDescent="0.25">
      <c r="A623" s="14" t="s">
        <v>13</v>
      </c>
      <c r="B623" s="16" t="s">
        <v>78</v>
      </c>
      <c r="C623" s="25" t="s">
        <v>61</v>
      </c>
      <c r="D623" s="168" t="s">
        <v>82</v>
      </c>
      <c r="E623" s="38">
        <v>0</v>
      </c>
      <c r="F623" s="39">
        <v>0</v>
      </c>
      <c r="G623" s="40">
        <v>0</v>
      </c>
      <c r="H623" s="41">
        <v>0</v>
      </c>
      <c r="I623" s="42">
        <f t="shared" si="142"/>
        <v>0</v>
      </c>
      <c r="J623" s="103" t="str">
        <f t="shared" si="143"/>
        <v/>
      </c>
      <c r="K623" s="104" t="str">
        <f t="shared" si="143"/>
        <v/>
      </c>
      <c r="L623" s="105" t="str">
        <f t="shared" si="143"/>
        <v/>
      </c>
      <c r="M623" s="106" t="str">
        <f t="shared" si="136"/>
        <v/>
      </c>
    </row>
    <row r="624" spans="1:14" s="5" customFormat="1" ht="30" customHeight="1" x14ac:dyDescent="0.25">
      <c r="A624" s="14" t="s">
        <v>13</v>
      </c>
      <c r="B624" s="16" t="s">
        <v>78</v>
      </c>
      <c r="C624" s="25" t="s">
        <v>61</v>
      </c>
      <c r="D624" s="168" t="s">
        <v>83</v>
      </c>
      <c r="E624" s="38">
        <v>0</v>
      </c>
      <c r="F624" s="39">
        <v>0</v>
      </c>
      <c r="G624" s="40">
        <v>0</v>
      </c>
      <c r="H624" s="41">
        <v>0</v>
      </c>
      <c r="I624" s="42">
        <f t="shared" si="142"/>
        <v>0</v>
      </c>
      <c r="J624" s="103" t="str">
        <f t="shared" si="143"/>
        <v/>
      </c>
      <c r="K624" s="104" t="str">
        <f t="shared" si="143"/>
        <v/>
      </c>
      <c r="L624" s="105" t="str">
        <f t="shared" si="143"/>
        <v/>
      </c>
      <c r="M624" s="106" t="str">
        <f t="shared" si="136"/>
        <v/>
      </c>
    </row>
    <row r="625" spans="1:14" s="5" customFormat="1" ht="30" customHeight="1" x14ac:dyDescent="0.25">
      <c r="A625" s="14" t="s">
        <v>13</v>
      </c>
      <c r="B625" s="16" t="s">
        <v>78</v>
      </c>
      <c r="C625" s="25" t="s">
        <v>61</v>
      </c>
      <c r="D625" s="168" t="s">
        <v>88</v>
      </c>
      <c r="E625" s="38">
        <v>0</v>
      </c>
      <c r="F625" s="39">
        <v>0</v>
      </c>
      <c r="G625" s="40">
        <v>0</v>
      </c>
      <c r="H625" s="41">
        <v>0</v>
      </c>
      <c r="I625" s="42">
        <f t="shared" si="142"/>
        <v>0</v>
      </c>
      <c r="J625" s="103" t="str">
        <f t="shared" si="143"/>
        <v/>
      </c>
      <c r="K625" s="104" t="str">
        <f t="shared" si="143"/>
        <v/>
      </c>
      <c r="L625" s="105" t="str">
        <f t="shared" si="143"/>
        <v/>
      </c>
      <c r="M625" s="106" t="str">
        <f t="shared" si="136"/>
        <v/>
      </c>
    </row>
    <row r="626" spans="1:14" s="5" customFormat="1" ht="30" customHeight="1" x14ac:dyDescent="0.25">
      <c r="A626" s="14" t="s">
        <v>13</v>
      </c>
      <c r="B626" s="16" t="s">
        <v>78</v>
      </c>
      <c r="C626" s="25" t="s">
        <v>61</v>
      </c>
      <c r="D626" s="168" t="s">
        <v>87</v>
      </c>
      <c r="E626" s="38">
        <v>0</v>
      </c>
      <c r="F626" s="39">
        <v>0</v>
      </c>
      <c r="G626" s="40">
        <v>0</v>
      </c>
      <c r="H626" s="41">
        <v>0</v>
      </c>
      <c r="I626" s="42">
        <f t="shared" si="142"/>
        <v>0</v>
      </c>
      <c r="J626" s="103" t="str">
        <f t="shared" si="143"/>
        <v/>
      </c>
      <c r="K626" s="104" t="str">
        <f t="shared" si="143"/>
        <v/>
      </c>
      <c r="L626" s="105" t="str">
        <f t="shared" si="143"/>
        <v/>
      </c>
      <c r="M626" s="106" t="str">
        <f t="shared" si="136"/>
        <v/>
      </c>
    </row>
    <row r="627" spans="1:14" s="5" customFormat="1" ht="30" customHeight="1" x14ac:dyDescent="0.25">
      <c r="A627" s="14" t="s">
        <v>13</v>
      </c>
      <c r="B627" s="16" t="s">
        <v>78</v>
      </c>
      <c r="C627" s="25" t="s">
        <v>61</v>
      </c>
      <c r="D627" s="168" t="s">
        <v>84</v>
      </c>
      <c r="E627" s="38">
        <v>0</v>
      </c>
      <c r="F627" s="39">
        <v>0</v>
      </c>
      <c r="G627" s="40">
        <v>0</v>
      </c>
      <c r="H627" s="41">
        <v>0</v>
      </c>
      <c r="I627" s="42">
        <f t="shared" si="142"/>
        <v>0</v>
      </c>
      <c r="J627" s="103" t="str">
        <f t="shared" si="143"/>
        <v/>
      </c>
      <c r="K627" s="104" t="str">
        <f t="shared" si="143"/>
        <v/>
      </c>
      <c r="L627" s="105" t="str">
        <f t="shared" si="143"/>
        <v/>
      </c>
      <c r="M627" s="106" t="str">
        <f t="shared" si="136"/>
        <v/>
      </c>
    </row>
    <row r="628" spans="1:14" s="5" customFormat="1" ht="30" customHeight="1" x14ac:dyDescent="0.25">
      <c r="A628" s="14" t="s">
        <v>13</v>
      </c>
      <c r="B628" s="16" t="s">
        <v>78</v>
      </c>
      <c r="C628" s="25" t="s">
        <v>86</v>
      </c>
      <c r="D628" s="168" t="s">
        <v>79</v>
      </c>
      <c r="E628" s="38">
        <v>0</v>
      </c>
      <c r="F628" s="39">
        <v>0</v>
      </c>
      <c r="G628" s="40">
        <v>0</v>
      </c>
      <c r="H628" s="41">
        <v>0</v>
      </c>
      <c r="I628" s="42">
        <f t="shared" si="142"/>
        <v>0</v>
      </c>
      <c r="J628" s="103" t="str">
        <f t="shared" si="143"/>
        <v/>
      </c>
      <c r="K628" s="104" t="str">
        <f t="shared" si="143"/>
        <v/>
      </c>
      <c r="L628" s="105" t="str">
        <f t="shared" si="143"/>
        <v/>
      </c>
      <c r="M628" s="106" t="str">
        <f t="shared" si="136"/>
        <v/>
      </c>
      <c r="N628" s="5" t="s">
        <v>1671</v>
      </c>
    </row>
    <row r="629" spans="1:14" ht="5.0999999999999996" customHeight="1" x14ac:dyDescent="0.25">
      <c r="A629" s="14" t="s">
        <v>13</v>
      </c>
      <c r="B629" s="16" t="s">
        <v>78</v>
      </c>
      <c r="C629"/>
      <c r="D629" s="57"/>
      <c r="E629" s="59"/>
      <c r="F629" s="59"/>
      <c r="G629" s="59"/>
      <c r="H629" s="59"/>
      <c r="I629" s="59"/>
      <c r="J629" s="103"/>
      <c r="K629" s="104"/>
      <c r="L629" s="105"/>
      <c r="M629" s="106" t="str">
        <f t="shared" si="136"/>
        <v/>
      </c>
    </row>
    <row r="630" spans="1:14" s="5" customFormat="1" ht="20.100000000000001" customHeight="1" x14ac:dyDescent="0.25">
      <c r="A630" s="14" t="s">
        <v>13</v>
      </c>
      <c r="B630" s="16" t="s">
        <v>1642</v>
      </c>
      <c r="C630" s="25" t="s">
        <v>60</v>
      </c>
      <c r="D630" s="6" t="s">
        <v>1644</v>
      </c>
      <c r="E630" s="37"/>
      <c r="F630" s="37"/>
      <c r="G630" s="37"/>
      <c r="H630" s="37"/>
      <c r="I630" s="48"/>
      <c r="J630" s="103"/>
      <c r="K630" s="104"/>
      <c r="L630" s="105"/>
      <c r="M630" s="106" t="str">
        <f t="shared" si="136"/>
        <v/>
      </c>
      <c r="N630" s="5" t="s">
        <v>1673</v>
      </c>
    </row>
    <row r="631" spans="1:14" s="5" customFormat="1" ht="30" customHeight="1" x14ac:dyDescent="0.25">
      <c r="A631" s="14" t="s">
        <v>13</v>
      </c>
      <c r="B631" s="16" t="s">
        <v>1642</v>
      </c>
      <c r="C631" s="25" t="s">
        <v>61</v>
      </c>
      <c r="D631" s="168" t="s">
        <v>1643</v>
      </c>
      <c r="E631" s="38">
        <v>0</v>
      </c>
      <c r="F631" s="39">
        <v>0</v>
      </c>
      <c r="G631" s="40">
        <v>0</v>
      </c>
      <c r="H631" s="41">
        <v>0</v>
      </c>
      <c r="I631" s="42">
        <f t="shared" ref="I631" si="144">SUM(E631:H631)</f>
        <v>0</v>
      </c>
      <c r="J631" s="103" t="str">
        <f>IFERROR(E631/$I631*100,"")</f>
        <v/>
      </c>
      <c r="K631" s="104" t="str">
        <f>IFERROR(F631/$I631*100,"")</f>
        <v/>
      </c>
      <c r="L631" s="105" t="str">
        <f>IFERROR(G631/$I631*100,"")</f>
        <v/>
      </c>
      <c r="M631" s="106" t="str">
        <f t="shared" si="136"/>
        <v/>
      </c>
      <c r="N631" s="5" t="s">
        <v>1671</v>
      </c>
    </row>
    <row r="632" spans="1:14" ht="5.0999999999999996" customHeight="1" x14ac:dyDescent="0.25">
      <c r="A632" s="14" t="s">
        <v>13</v>
      </c>
      <c r="B632" s="16" t="s">
        <v>1642</v>
      </c>
      <c r="C632"/>
      <c r="D632" s="57"/>
      <c r="E632" s="59"/>
      <c r="F632" s="59"/>
      <c r="G632" s="59"/>
      <c r="H632" s="59"/>
      <c r="I632" s="59"/>
      <c r="J632" s="103"/>
      <c r="K632" s="104"/>
      <c r="L632" s="105"/>
      <c r="M632" s="106" t="str">
        <f t="shared" si="136"/>
        <v/>
      </c>
    </row>
    <row r="633" spans="1:14" s="5" customFormat="1" ht="20.100000000000001" customHeight="1" x14ac:dyDescent="0.25">
      <c r="A633" s="14" t="s">
        <v>13</v>
      </c>
      <c r="B633" s="16" t="s">
        <v>91</v>
      </c>
      <c r="C633" s="25" t="s">
        <v>60</v>
      </c>
      <c r="D633" s="6" t="s">
        <v>89</v>
      </c>
      <c r="E633" s="37"/>
      <c r="F633" s="37"/>
      <c r="G633" s="37"/>
      <c r="H633" s="37"/>
      <c r="I633" s="48"/>
      <c r="J633" s="103"/>
      <c r="K633" s="104"/>
      <c r="L633" s="105"/>
      <c r="M633" s="106" t="str">
        <f t="shared" si="136"/>
        <v/>
      </c>
      <c r="N633" s="5" t="s">
        <v>1673</v>
      </c>
    </row>
    <row r="634" spans="1:14" s="5" customFormat="1" ht="30" customHeight="1" x14ac:dyDescent="0.25">
      <c r="A634" s="14" t="s">
        <v>13</v>
      </c>
      <c r="B634" s="16" t="s">
        <v>91</v>
      </c>
      <c r="C634" s="25" t="s">
        <v>61</v>
      </c>
      <c r="D634" s="168" t="s">
        <v>90</v>
      </c>
      <c r="E634" s="38">
        <v>0</v>
      </c>
      <c r="F634" s="39">
        <v>0</v>
      </c>
      <c r="G634" s="40">
        <v>0</v>
      </c>
      <c r="H634" s="41">
        <v>0</v>
      </c>
      <c r="I634" s="42">
        <f t="shared" ref="I634" si="145">SUM(E634:H634)</f>
        <v>0</v>
      </c>
      <c r="J634" s="103" t="str">
        <f>IFERROR(E634/$I634*100,"")</f>
        <v/>
      </c>
      <c r="K634" s="104" t="str">
        <f>IFERROR(F634/$I634*100,"")</f>
        <v/>
      </c>
      <c r="L634" s="105" t="str">
        <f>IFERROR(G634/$I634*100,"")</f>
        <v/>
      </c>
      <c r="M634" s="106" t="str">
        <f t="shared" si="136"/>
        <v/>
      </c>
      <c r="N634" s="5" t="s">
        <v>1671</v>
      </c>
    </row>
    <row r="635" spans="1:14" ht="5.0999999999999996" customHeight="1" x14ac:dyDescent="0.25">
      <c r="A635" s="14" t="s">
        <v>13</v>
      </c>
      <c r="B635" s="16" t="s">
        <v>91</v>
      </c>
      <c r="C635"/>
      <c r="D635" s="57"/>
      <c r="E635" s="59"/>
      <c r="F635" s="59"/>
      <c r="G635" s="59"/>
      <c r="H635" s="59"/>
      <c r="I635" s="59"/>
      <c r="J635" s="103"/>
      <c r="K635" s="104"/>
      <c r="L635" s="105"/>
      <c r="M635" s="106" t="str">
        <f t="shared" si="136"/>
        <v/>
      </c>
    </row>
    <row r="636" spans="1:14" s="5" customFormat="1" ht="20.100000000000001" customHeight="1" x14ac:dyDescent="0.25">
      <c r="A636" s="14" t="s">
        <v>13</v>
      </c>
      <c r="B636" s="16" t="s">
        <v>1637</v>
      </c>
      <c r="C636" s="25" t="s">
        <v>60</v>
      </c>
      <c r="D636" s="6" t="s">
        <v>1636</v>
      </c>
      <c r="E636" s="37"/>
      <c r="F636" s="37"/>
      <c r="G636" s="37"/>
      <c r="H636" s="37"/>
      <c r="I636" s="48"/>
      <c r="J636" s="103"/>
      <c r="K636" s="104"/>
      <c r="L636" s="105"/>
      <c r="M636" s="106" t="str">
        <f t="shared" si="136"/>
        <v/>
      </c>
      <c r="N636" s="5" t="s">
        <v>1673</v>
      </c>
    </row>
    <row r="637" spans="1:14" s="3" customFormat="1" ht="30" customHeight="1" x14ac:dyDescent="0.25">
      <c r="A637" s="14" t="s">
        <v>13</v>
      </c>
      <c r="B637" s="16" t="s">
        <v>1637</v>
      </c>
      <c r="C637" s="25" t="s">
        <v>61</v>
      </c>
      <c r="D637" s="168" t="s">
        <v>1638</v>
      </c>
      <c r="E637" s="38">
        <v>0</v>
      </c>
      <c r="F637" s="39">
        <v>0</v>
      </c>
      <c r="G637" s="40">
        <v>0</v>
      </c>
      <c r="H637" s="41">
        <v>0</v>
      </c>
      <c r="I637" s="42">
        <f t="shared" ref="I637:I642" si="146">SUM(E637:H637)</f>
        <v>0</v>
      </c>
      <c r="J637" s="103" t="str">
        <f t="shared" ref="J637:L641" si="147">IFERROR(E637/$I637*100,"")</f>
        <v/>
      </c>
      <c r="K637" s="104" t="str">
        <f t="shared" si="147"/>
        <v/>
      </c>
      <c r="L637" s="105" t="str">
        <f t="shared" si="147"/>
        <v/>
      </c>
      <c r="M637" s="106" t="str">
        <f t="shared" si="136"/>
        <v/>
      </c>
    </row>
    <row r="638" spans="1:14" s="3" customFormat="1" ht="30" customHeight="1" x14ac:dyDescent="0.25">
      <c r="A638" s="14" t="s">
        <v>13</v>
      </c>
      <c r="B638" s="16" t="s">
        <v>1637</v>
      </c>
      <c r="C638" s="25" t="s">
        <v>61</v>
      </c>
      <c r="D638" s="168" t="s">
        <v>1669</v>
      </c>
      <c r="E638" s="38">
        <v>0</v>
      </c>
      <c r="F638" s="39">
        <v>0</v>
      </c>
      <c r="G638" s="40">
        <v>0</v>
      </c>
      <c r="H638" s="41">
        <v>0</v>
      </c>
      <c r="I638" s="42">
        <f t="shared" si="146"/>
        <v>0</v>
      </c>
      <c r="J638" s="103" t="str">
        <f t="shared" si="147"/>
        <v/>
      </c>
      <c r="K638" s="104" t="str">
        <f t="shared" si="147"/>
        <v/>
      </c>
      <c r="L638" s="105" t="str">
        <f t="shared" si="147"/>
        <v/>
      </c>
      <c r="M638" s="106" t="str">
        <f t="shared" si="136"/>
        <v/>
      </c>
    </row>
    <row r="639" spans="1:14" s="3" customFormat="1" ht="30" customHeight="1" x14ac:dyDescent="0.25">
      <c r="A639" s="14" t="s">
        <v>13</v>
      </c>
      <c r="B639" s="16" t="s">
        <v>1637</v>
      </c>
      <c r="C639" s="25" t="s">
        <v>61</v>
      </c>
      <c r="D639" s="168" t="s">
        <v>1640</v>
      </c>
      <c r="E639" s="38">
        <v>0</v>
      </c>
      <c r="F639" s="39">
        <v>0</v>
      </c>
      <c r="G639" s="40">
        <v>0</v>
      </c>
      <c r="H639" s="41">
        <v>0</v>
      </c>
      <c r="I639" s="42">
        <f t="shared" si="146"/>
        <v>0</v>
      </c>
      <c r="J639" s="103" t="str">
        <f t="shared" si="147"/>
        <v/>
      </c>
      <c r="K639" s="104" t="str">
        <f t="shared" si="147"/>
        <v/>
      </c>
      <c r="L639" s="105" t="str">
        <f t="shared" si="147"/>
        <v/>
      </c>
      <c r="M639" s="106" t="str">
        <f t="shared" si="136"/>
        <v/>
      </c>
    </row>
    <row r="640" spans="1:14" s="3" customFormat="1" ht="30" customHeight="1" x14ac:dyDescent="0.25">
      <c r="A640" s="14" t="s">
        <v>13</v>
      </c>
      <c r="B640" s="16" t="s">
        <v>1637</v>
      </c>
      <c r="C640" s="25" t="s">
        <v>61</v>
      </c>
      <c r="D640" s="168" t="s">
        <v>1639</v>
      </c>
      <c r="E640" s="38">
        <v>0</v>
      </c>
      <c r="F640" s="39">
        <v>0</v>
      </c>
      <c r="G640" s="40">
        <v>0</v>
      </c>
      <c r="H640" s="41">
        <v>0</v>
      </c>
      <c r="I640" s="42">
        <f t="shared" si="146"/>
        <v>0</v>
      </c>
      <c r="J640" s="103" t="str">
        <f t="shared" si="147"/>
        <v/>
      </c>
      <c r="K640" s="104" t="str">
        <f t="shared" si="147"/>
        <v/>
      </c>
      <c r="L640" s="105" t="str">
        <f t="shared" si="147"/>
        <v/>
      </c>
      <c r="M640" s="106" t="str">
        <f t="shared" si="136"/>
        <v/>
      </c>
    </row>
    <row r="641" spans="1:14" s="3" customFormat="1" ht="30" customHeight="1" x14ac:dyDescent="0.25">
      <c r="A641" s="14" t="s">
        <v>13</v>
      </c>
      <c r="B641" s="16" t="s">
        <v>1637</v>
      </c>
      <c r="C641" s="25" t="s">
        <v>61</v>
      </c>
      <c r="D641" s="168" t="s">
        <v>1641</v>
      </c>
      <c r="E641" s="38">
        <v>0</v>
      </c>
      <c r="F641" s="39">
        <v>0</v>
      </c>
      <c r="G641" s="40">
        <v>0</v>
      </c>
      <c r="H641" s="41">
        <v>0</v>
      </c>
      <c r="I641" s="42">
        <f t="shared" si="146"/>
        <v>0</v>
      </c>
      <c r="J641" s="103" t="str">
        <f t="shared" si="147"/>
        <v/>
      </c>
      <c r="K641" s="104" t="str">
        <f t="shared" si="147"/>
        <v/>
      </c>
      <c r="L641" s="105" t="str">
        <f t="shared" si="147"/>
        <v/>
      </c>
      <c r="M641" s="106" t="str">
        <f t="shared" si="136"/>
        <v/>
      </c>
    </row>
    <row r="642" spans="1:14" s="3" customFormat="1" ht="30" customHeight="1" x14ac:dyDescent="0.25">
      <c r="A642" s="14" t="s">
        <v>13</v>
      </c>
      <c r="B642" s="16" t="s">
        <v>1637</v>
      </c>
      <c r="C642" s="25"/>
      <c r="D642" s="168" t="s">
        <v>29</v>
      </c>
      <c r="E642" s="38">
        <f>SUM(E637:E641)</f>
        <v>0</v>
      </c>
      <c r="F642" s="39">
        <f>SUM(F637:F641)</f>
        <v>0</v>
      </c>
      <c r="G642" s="40">
        <f>SUM(G637:G641)</f>
        <v>0</v>
      </c>
      <c r="H642" s="41">
        <f>SUM(H637:H641)</f>
        <v>0</v>
      </c>
      <c r="I642" s="42">
        <f t="shared" si="146"/>
        <v>0</v>
      </c>
      <c r="J642" s="103" t="str">
        <f>IFERROR(E642/SUM($E642:$H642)*100,"")</f>
        <v/>
      </c>
      <c r="K642" s="104" t="str">
        <f>IFERROR(F642/SUM($E642:$H642)*100,"")</f>
        <v/>
      </c>
      <c r="L642" s="105" t="str">
        <f>IFERROR(G642/SUM($E642:$H642)*100,"")</f>
        <v/>
      </c>
      <c r="M642" s="106" t="str">
        <f t="shared" si="136"/>
        <v/>
      </c>
      <c r="N642" s="5" t="s">
        <v>1671</v>
      </c>
    </row>
    <row r="643" spans="1:14" ht="5.0999999999999996" customHeight="1" x14ac:dyDescent="0.25">
      <c r="A643" s="14" t="s">
        <v>13</v>
      </c>
      <c r="B643" s="16" t="s">
        <v>1637</v>
      </c>
      <c r="C643"/>
      <c r="J643" s="103"/>
      <c r="K643" s="104"/>
      <c r="L643" s="105"/>
      <c r="M643" s="106" t="str">
        <f t="shared" si="136"/>
        <v/>
      </c>
    </row>
    <row r="644" spans="1:14" s="5" customFormat="1" ht="20.100000000000001" customHeight="1" x14ac:dyDescent="0.25">
      <c r="A644" s="14" t="s">
        <v>13</v>
      </c>
      <c r="B644" s="16" t="s">
        <v>42</v>
      </c>
      <c r="C644" s="25" t="s">
        <v>60</v>
      </c>
      <c r="D644" s="6" t="s">
        <v>1744</v>
      </c>
      <c r="E644" s="37"/>
      <c r="F644" s="37"/>
      <c r="G644" s="37"/>
      <c r="H644" s="37"/>
      <c r="I644" s="48"/>
      <c r="J644" s="103"/>
      <c r="K644" s="104"/>
      <c r="L644" s="105"/>
      <c r="M644" s="106" t="str">
        <f t="shared" si="136"/>
        <v/>
      </c>
      <c r="N644" s="5" t="s">
        <v>1673</v>
      </c>
    </row>
    <row r="645" spans="1:14" s="3" customFormat="1" ht="30" customHeight="1" x14ac:dyDescent="0.25">
      <c r="A645" s="14" t="s">
        <v>13</v>
      </c>
      <c r="B645" s="16" t="s">
        <v>42</v>
      </c>
      <c r="C645" s="25" t="s">
        <v>61</v>
      </c>
      <c r="D645" s="168" t="s">
        <v>43</v>
      </c>
      <c r="E645" s="38">
        <v>0</v>
      </c>
      <c r="F645" s="39">
        <v>0</v>
      </c>
      <c r="G645" s="40">
        <v>0</v>
      </c>
      <c r="H645" s="41">
        <v>0</v>
      </c>
      <c r="I645" s="42">
        <f t="shared" ref="I645:I654" si="148">SUM(E645:H645)</f>
        <v>0</v>
      </c>
      <c r="J645" s="103" t="str">
        <f t="shared" ref="J645:L654" si="149">IFERROR(E645/$I645*100,"")</f>
        <v/>
      </c>
      <c r="K645" s="104" t="str">
        <f t="shared" si="149"/>
        <v/>
      </c>
      <c r="L645" s="105" t="str">
        <f t="shared" si="149"/>
        <v/>
      </c>
      <c r="M645" s="106" t="str">
        <f t="shared" si="136"/>
        <v/>
      </c>
    </row>
    <row r="646" spans="1:14" s="3" customFormat="1" ht="30" customHeight="1" x14ac:dyDescent="0.25">
      <c r="A646" s="14" t="s">
        <v>13</v>
      </c>
      <c r="B646" s="16" t="s">
        <v>42</v>
      </c>
      <c r="C646" s="25" t="s">
        <v>61</v>
      </c>
      <c r="D646" s="168" t="s">
        <v>44</v>
      </c>
      <c r="E646" s="38">
        <v>0</v>
      </c>
      <c r="F646" s="39">
        <v>0</v>
      </c>
      <c r="G646" s="40">
        <v>0</v>
      </c>
      <c r="H646" s="41">
        <v>0</v>
      </c>
      <c r="I646" s="42">
        <f t="shared" si="148"/>
        <v>0</v>
      </c>
      <c r="J646" s="103" t="str">
        <f t="shared" si="149"/>
        <v/>
      </c>
      <c r="K646" s="104" t="str">
        <f t="shared" si="149"/>
        <v/>
      </c>
      <c r="L646" s="105" t="str">
        <f t="shared" si="149"/>
        <v/>
      </c>
      <c r="M646" s="106" t="str">
        <f t="shared" si="136"/>
        <v/>
      </c>
    </row>
    <row r="647" spans="1:14" s="3" customFormat="1" ht="30" customHeight="1" x14ac:dyDescent="0.25">
      <c r="A647" s="14" t="s">
        <v>13</v>
      </c>
      <c r="B647" s="16" t="s">
        <v>42</v>
      </c>
      <c r="C647" s="25" t="s">
        <v>61</v>
      </c>
      <c r="D647" s="168" t="s">
        <v>45</v>
      </c>
      <c r="E647" s="38">
        <v>0</v>
      </c>
      <c r="F647" s="39">
        <v>0</v>
      </c>
      <c r="G647" s="40">
        <v>0</v>
      </c>
      <c r="H647" s="41">
        <v>0</v>
      </c>
      <c r="I647" s="42">
        <f t="shared" si="148"/>
        <v>0</v>
      </c>
      <c r="J647" s="103" t="str">
        <f t="shared" si="149"/>
        <v/>
      </c>
      <c r="K647" s="104" t="str">
        <f t="shared" si="149"/>
        <v/>
      </c>
      <c r="L647" s="105" t="str">
        <f t="shared" si="149"/>
        <v/>
      </c>
      <c r="M647" s="106" t="str">
        <f t="shared" si="136"/>
        <v/>
      </c>
    </row>
    <row r="648" spans="1:14" s="3" customFormat="1" ht="30" customHeight="1" x14ac:dyDescent="0.25">
      <c r="A648" s="14" t="s">
        <v>13</v>
      </c>
      <c r="B648" s="16" t="s">
        <v>42</v>
      </c>
      <c r="C648" s="25" t="s">
        <v>61</v>
      </c>
      <c r="D648" s="168" t="s">
        <v>46</v>
      </c>
      <c r="E648" s="38">
        <v>0</v>
      </c>
      <c r="F648" s="39">
        <v>0</v>
      </c>
      <c r="G648" s="40">
        <v>0</v>
      </c>
      <c r="H648" s="41">
        <v>0</v>
      </c>
      <c r="I648" s="42">
        <f t="shared" si="148"/>
        <v>0</v>
      </c>
      <c r="J648" s="103" t="str">
        <f t="shared" si="149"/>
        <v/>
      </c>
      <c r="K648" s="104" t="str">
        <f t="shared" si="149"/>
        <v/>
      </c>
      <c r="L648" s="105" t="str">
        <f t="shared" si="149"/>
        <v/>
      </c>
      <c r="M648" s="106" t="str">
        <f t="shared" si="136"/>
        <v/>
      </c>
    </row>
    <row r="649" spans="1:14" s="3" customFormat="1" ht="30" customHeight="1" x14ac:dyDescent="0.25">
      <c r="A649" s="14" t="s">
        <v>13</v>
      </c>
      <c r="B649" s="16" t="s">
        <v>42</v>
      </c>
      <c r="C649" s="25" t="s">
        <v>61</v>
      </c>
      <c r="D649" s="168" t="s">
        <v>51</v>
      </c>
      <c r="E649" s="38">
        <v>0</v>
      </c>
      <c r="F649" s="39">
        <v>0</v>
      </c>
      <c r="G649" s="40">
        <v>0</v>
      </c>
      <c r="H649" s="41">
        <v>0</v>
      </c>
      <c r="I649" s="42">
        <f t="shared" si="148"/>
        <v>0</v>
      </c>
      <c r="J649" s="103" t="str">
        <f t="shared" si="149"/>
        <v/>
      </c>
      <c r="K649" s="104" t="str">
        <f t="shared" si="149"/>
        <v/>
      </c>
      <c r="L649" s="105" t="str">
        <f t="shared" si="149"/>
        <v/>
      </c>
      <c r="M649" s="106" t="str">
        <f t="shared" si="136"/>
        <v/>
      </c>
    </row>
    <row r="650" spans="1:14" s="3" customFormat="1" ht="30" customHeight="1" x14ac:dyDescent="0.25">
      <c r="A650" s="14" t="s">
        <v>13</v>
      </c>
      <c r="B650" s="16" t="s">
        <v>42</v>
      </c>
      <c r="C650" s="25" t="s">
        <v>61</v>
      </c>
      <c r="D650" s="168" t="s">
        <v>52</v>
      </c>
      <c r="E650" s="38">
        <v>0</v>
      </c>
      <c r="F650" s="39">
        <v>0</v>
      </c>
      <c r="G650" s="40">
        <v>0</v>
      </c>
      <c r="H650" s="41">
        <v>0</v>
      </c>
      <c r="I650" s="42">
        <f t="shared" si="148"/>
        <v>0</v>
      </c>
      <c r="J650" s="103" t="str">
        <f t="shared" si="149"/>
        <v/>
      </c>
      <c r="K650" s="104" t="str">
        <f t="shared" si="149"/>
        <v/>
      </c>
      <c r="L650" s="105" t="str">
        <f t="shared" si="149"/>
        <v/>
      </c>
      <c r="M650" s="106" t="str">
        <f t="shared" si="136"/>
        <v/>
      </c>
    </row>
    <row r="651" spans="1:14" s="3" customFormat="1" ht="30" customHeight="1" x14ac:dyDescent="0.25">
      <c r="A651" s="14" t="s">
        <v>13</v>
      </c>
      <c r="B651" s="16" t="s">
        <v>42</v>
      </c>
      <c r="C651" s="25" t="s">
        <v>61</v>
      </c>
      <c r="D651" s="168" t="s">
        <v>47</v>
      </c>
      <c r="E651" s="38">
        <v>0</v>
      </c>
      <c r="F651" s="39">
        <v>0</v>
      </c>
      <c r="G651" s="40">
        <v>0</v>
      </c>
      <c r="H651" s="41">
        <v>0</v>
      </c>
      <c r="I651" s="42">
        <f t="shared" si="148"/>
        <v>0</v>
      </c>
      <c r="J651" s="103" t="str">
        <f t="shared" si="149"/>
        <v/>
      </c>
      <c r="K651" s="104" t="str">
        <f t="shared" si="149"/>
        <v/>
      </c>
      <c r="L651" s="105" t="str">
        <f t="shared" si="149"/>
        <v/>
      </c>
      <c r="M651" s="106" t="str">
        <f t="shared" si="136"/>
        <v/>
      </c>
    </row>
    <row r="652" spans="1:14" s="3" customFormat="1" ht="30" customHeight="1" x14ac:dyDescent="0.25">
      <c r="A652" s="14" t="s">
        <v>13</v>
      </c>
      <c r="B652" s="16" t="s">
        <v>42</v>
      </c>
      <c r="C652" s="25" t="s">
        <v>61</v>
      </c>
      <c r="D652" s="168" t="s">
        <v>48</v>
      </c>
      <c r="E652" s="38">
        <v>0</v>
      </c>
      <c r="F652" s="39">
        <v>0</v>
      </c>
      <c r="G652" s="40">
        <v>0</v>
      </c>
      <c r="H652" s="41">
        <v>0</v>
      </c>
      <c r="I652" s="42">
        <f t="shared" si="148"/>
        <v>0</v>
      </c>
      <c r="J652" s="103" t="str">
        <f t="shared" si="149"/>
        <v/>
      </c>
      <c r="K652" s="104" t="str">
        <f t="shared" si="149"/>
        <v/>
      </c>
      <c r="L652" s="105" t="str">
        <f t="shared" si="149"/>
        <v/>
      </c>
      <c r="M652" s="106" t="str">
        <f t="shared" si="136"/>
        <v/>
      </c>
    </row>
    <row r="653" spans="1:14" s="3" customFormat="1" ht="30" customHeight="1" x14ac:dyDescent="0.25">
      <c r="A653" s="14" t="s">
        <v>13</v>
      </c>
      <c r="B653" s="16" t="s">
        <v>42</v>
      </c>
      <c r="C653" s="25" t="s">
        <v>61</v>
      </c>
      <c r="D653" s="168" t="s">
        <v>49</v>
      </c>
      <c r="E653" s="38">
        <v>0</v>
      </c>
      <c r="F653" s="39">
        <v>0</v>
      </c>
      <c r="G653" s="40">
        <v>0</v>
      </c>
      <c r="H653" s="41">
        <v>0</v>
      </c>
      <c r="I653" s="42">
        <f t="shared" si="148"/>
        <v>0</v>
      </c>
      <c r="J653" s="103" t="str">
        <f t="shared" si="149"/>
        <v/>
      </c>
      <c r="K653" s="104" t="str">
        <f t="shared" si="149"/>
        <v/>
      </c>
      <c r="L653" s="105" t="str">
        <f t="shared" si="149"/>
        <v/>
      </c>
      <c r="M653" s="106" t="str">
        <f t="shared" si="136"/>
        <v/>
      </c>
    </row>
    <row r="654" spans="1:14" s="3" customFormat="1" ht="30" customHeight="1" x14ac:dyDescent="0.25">
      <c r="A654" s="14" t="s">
        <v>13</v>
      </c>
      <c r="B654" s="16" t="s">
        <v>42</v>
      </c>
      <c r="C654" s="25" t="s">
        <v>61</v>
      </c>
      <c r="D654" s="168" t="s">
        <v>50</v>
      </c>
      <c r="E654" s="38">
        <v>0</v>
      </c>
      <c r="F654" s="39">
        <v>0</v>
      </c>
      <c r="G654" s="40">
        <v>0</v>
      </c>
      <c r="H654" s="41">
        <v>0</v>
      </c>
      <c r="I654" s="42">
        <f t="shared" si="148"/>
        <v>0</v>
      </c>
      <c r="J654" s="103" t="str">
        <f t="shared" si="149"/>
        <v/>
      </c>
      <c r="K654" s="104" t="str">
        <f t="shared" si="149"/>
        <v/>
      </c>
      <c r="L654" s="105" t="str">
        <f t="shared" si="149"/>
        <v/>
      </c>
      <c r="M654" s="106" t="str">
        <f t="shared" si="136"/>
        <v/>
      </c>
    </row>
    <row r="655" spans="1:14" s="8" customFormat="1" ht="30" customHeight="1" x14ac:dyDescent="0.25">
      <c r="A655" s="14" t="s">
        <v>13</v>
      </c>
      <c r="B655" s="16" t="s">
        <v>42</v>
      </c>
      <c r="C655" s="25"/>
      <c r="D655" s="9" t="s">
        <v>29</v>
      </c>
      <c r="E655" s="38">
        <f>SUM(E645:E654)</f>
        <v>0</v>
      </c>
      <c r="F655" s="39">
        <f t="shared" ref="F655:I655" si="150">SUM(F645:F654)</f>
        <v>0</v>
      </c>
      <c r="G655" s="40">
        <f t="shared" si="150"/>
        <v>0</v>
      </c>
      <c r="H655" s="41">
        <f t="shared" si="150"/>
        <v>0</v>
      </c>
      <c r="I655" s="43">
        <f t="shared" si="150"/>
        <v>0</v>
      </c>
      <c r="J655" s="103" t="str">
        <f>IFERROR(E655/SUM($E655:$H655)*100,"")</f>
        <v/>
      </c>
      <c r="K655" s="104" t="str">
        <f>IFERROR(F655/SUM($E655:$H655)*100,"")</f>
        <v/>
      </c>
      <c r="L655" s="105" t="str">
        <f>IFERROR(G655/SUM($E655:$H655)*100,"")</f>
        <v/>
      </c>
      <c r="M655" s="106" t="str">
        <f t="shared" si="136"/>
        <v/>
      </c>
      <c r="N655" s="5" t="s">
        <v>1671</v>
      </c>
    </row>
    <row r="656" spans="1:14" ht="5.0999999999999996" customHeight="1" x14ac:dyDescent="0.25">
      <c r="A656" s="14" t="s">
        <v>13</v>
      </c>
      <c r="B656" s="16" t="s">
        <v>42</v>
      </c>
      <c r="C656"/>
      <c r="D656" s="57"/>
      <c r="E656" s="59"/>
      <c r="F656" s="59"/>
      <c r="G656" s="59"/>
      <c r="H656" s="59"/>
      <c r="I656" s="59"/>
      <c r="J656" s="103"/>
      <c r="K656" s="104"/>
      <c r="L656" s="105"/>
      <c r="M656" s="106" t="str">
        <f t="shared" si="136"/>
        <v/>
      </c>
    </row>
    <row r="657" spans="1:14" s="7" customFormat="1" ht="20.100000000000001" customHeight="1" x14ac:dyDescent="0.25">
      <c r="A657" s="14" t="s">
        <v>13</v>
      </c>
      <c r="B657" s="16" t="s">
        <v>62</v>
      </c>
      <c r="C657" s="25" t="s">
        <v>60</v>
      </c>
      <c r="D657" s="62" t="s">
        <v>63</v>
      </c>
      <c r="E657" s="63"/>
      <c r="F657" s="63"/>
      <c r="G657" s="63"/>
      <c r="H657" s="63"/>
      <c r="I657" s="64"/>
      <c r="J657" s="103"/>
      <c r="K657" s="104"/>
      <c r="L657" s="105"/>
      <c r="M657" s="106" t="str">
        <f t="shared" si="136"/>
        <v/>
      </c>
      <c r="N657" s="5" t="s">
        <v>1673</v>
      </c>
    </row>
    <row r="658" spans="1:14" s="8" customFormat="1" ht="30" customHeight="1" x14ac:dyDescent="0.25">
      <c r="A658" s="14" t="s">
        <v>13</v>
      </c>
      <c r="B658" s="16" t="s">
        <v>62</v>
      </c>
      <c r="C658" s="25"/>
      <c r="D658" s="168" t="s">
        <v>29</v>
      </c>
      <c r="E658" s="38">
        <f>SUM(E608,E597,E616,E655,E611,E619,E628,E634,E642,E631)</f>
        <v>0</v>
      </c>
      <c r="F658" s="39">
        <f>SUM(F608,F597,F616,F655,F611,F619,F628,F634,F642,F631)</f>
        <v>0</v>
      </c>
      <c r="G658" s="40">
        <f>SUM(G608,G597,G616,G655,G611,G619,G628,G634,G642,G631)</f>
        <v>0</v>
      </c>
      <c r="H658" s="41">
        <f>SUM(H608,H597,H616,H655,H611,H619,H628,H634,H642,H631)</f>
        <v>0</v>
      </c>
      <c r="I658" s="42">
        <f>SUM(I608,I597,I616,I655,I611,I619,I628,I634,I642,I631)</f>
        <v>0</v>
      </c>
      <c r="J658" s="103" t="str">
        <f>IFERROR(E658/SUM($E658:$H658)*100,"")</f>
        <v/>
      </c>
      <c r="K658" s="104" t="str">
        <f>IFERROR(F658/SUM($E658:$H658)*100,"")</f>
        <v/>
      </c>
      <c r="L658" s="105" t="str">
        <f>IFERROR(G658/SUM($E658:$H658)*100,"")</f>
        <v/>
      </c>
      <c r="M658" s="106" t="str">
        <f t="shared" si="136"/>
        <v/>
      </c>
      <c r="N658" s="5" t="s">
        <v>1671</v>
      </c>
    </row>
    <row r="659" spans="1:14" s="5" customFormat="1" ht="20.100000000000001" customHeight="1" x14ac:dyDescent="0.25">
      <c r="A659" s="14" t="s">
        <v>13</v>
      </c>
      <c r="B659" s="14"/>
      <c r="C659" s="25" t="s">
        <v>60</v>
      </c>
      <c r="D659" s="58"/>
      <c r="E659" s="60"/>
      <c r="F659" s="60"/>
      <c r="G659" s="60"/>
      <c r="H659" s="60"/>
      <c r="I659" s="60"/>
      <c r="J659" s="103"/>
      <c r="K659" s="104"/>
      <c r="L659" s="105"/>
      <c r="M659" s="106" t="str">
        <f t="shared" si="136"/>
        <v/>
      </c>
    </row>
    <row r="660" spans="1:14" s="5" customFormat="1" ht="20.100000000000001" customHeight="1" x14ac:dyDescent="0.25">
      <c r="A660" s="14" t="s">
        <v>14</v>
      </c>
      <c r="B660" s="14"/>
      <c r="C660" s="25" t="s">
        <v>60</v>
      </c>
      <c r="D660" s="20" t="str">
        <f>IFERROR(A660&amp;"   ("&amp;COUNTIFS(#REF!,"="&amp;A660)&amp;")",A660)</f>
        <v>DOK</v>
      </c>
      <c r="E660" s="45"/>
      <c r="F660" s="45"/>
      <c r="G660" s="45"/>
      <c r="H660" s="45"/>
      <c r="I660" s="46"/>
      <c r="J660" s="103"/>
      <c r="K660" s="104"/>
      <c r="L660" s="105"/>
      <c r="M660" s="106" t="str">
        <f t="shared" ref="M660:M723" si="151">IFERROR(H660/$I660*100,"")</f>
        <v/>
      </c>
      <c r="N660" s="5" t="s">
        <v>1672</v>
      </c>
    </row>
    <row r="661" spans="1:14" s="5" customFormat="1" ht="20.100000000000001" customHeight="1" x14ac:dyDescent="0.25">
      <c r="A661" s="14" t="s">
        <v>14</v>
      </c>
      <c r="B661" s="16" t="s">
        <v>20</v>
      </c>
      <c r="C661" s="25" t="s">
        <v>60</v>
      </c>
      <c r="D661" s="6" t="s">
        <v>20</v>
      </c>
      <c r="E661" s="37"/>
      <c r="F661" s="37"/>
      <c r="G661" s="37"/>
      <c r="H661" s="37"/>
      <c r="I661" s="48"/>
      <c r="J661" s="103"/>
      <c r="K661" s="104"/>
      <c r="L661" s="105"/>
      <c r="M661" s="106" t="str">
        <f t="shared" si="151"/>
        <v/>
      </c>
      <c r="N661" s="5" t="s">
        <v>1673</v>
      </c>
    </row>
    <row r="662" spans="1:14" s="5" customFormat="1" ht="30" customHeight="1" x14ac:dyDescent="0.25">
      <c r="A662" s="14" t="s">
        <v>14</v>
      </c>
      <c r="B662" s="16" t="s">
        <v>20</v>
      </c>
      <c r="C662" s="25" t="s">
        <v>61</v>
      </c>
      <c r="D662" s="168" t="s">
        <v>25</v>
      </c>
      <c r="E662" s="38">
        <v>0</v>
      </c>
      <c r="F662" s="39">
        <v>0</v>
      </c>
      <c r="G662" s="40">
        <v>0</v>
      </c>
      <c r="H662" s="41">
        <v>0</v>
      </c>
      <c r="I662" s="42">
        <f>SUM(E662:H662)</f>
        <v>0</v>
      </c>
      <c r="J662" s="103" t="str">
        <f>IFERROR(E662/$I662*100,"")</f>
        <v/>
      </c>
      <c r="K662" s="104" t="str">
        <f>IFERROR(F662/$I662*100,"")</f>
        <v/>
      </c>
      <c r="L662" s="105" t="str">
        <f>IFERROR(G662/$I662*100,"")</f>
        <v/>
      </c>
      <c r="M662" s="106" t="str">
        <f t="shared" si="151"/>
        <v/>
      </c>
      <c r="N662" s="5" t="s">
        <v>1671</v>
      </c>
    </row>
    <row r="663" spans="1:14" ht="5.0999999999999996" customHeight="1" x14ac:dyDescent="0.25">
      <c r="A663" s="14" t="s">
        <v>14</v>
      </c>
      <c r="B663" s="16" t="s">
        <v>20</v>
      </c>
      <c r="C663"/>
      <c r="D663" s="57"/>
      <c r="E663" s="59"/>
      <c r="F663" s="59"/>
      <c r="G663" s="59"/>
      <c r="H663" s="59"/>
      <c r="I663" s="59"/>
      <c r="J663" s="103"/>
      <c r="K663" s="104"/>
      <c r="L663" s="105"/>
      <c r="M663" s="106" t="str">
        <f t="shared" si="151"/>
        <v/>
      </c>
    </row>
    <row r="664" spans="1:14" s="5" customFormat="1" ht="20.100000000000001" customHeight="1" x14ac:dyDescent="0.25">
      <c r="A664" s="14" t="s">
        <v>14</v>
      </c>
      <c r="B664" s="16" t="s">
        <v>26</v>
      </c>
      <c r="C664" s="25" t="s">
        <v>60</v>
      </c>
      <c r="D664" s="6" t="s">
        <v>98</v>
      </c>
      <c r="E664" s="37"/>
      <c r="F664" s="37"/>
      <c r="G664" s="37"/>
      <c r="H664" s="37"/>
      <c r="I664" s="47"/>
      <c r="J664" s="103"/>
      <c r="K664" s="104"/>
      <c r="L664" s="105"/>
      <c r="M664" s="106" t="str">
        <f t="shared" si="151"/>
        <v/>
      </c>
      <c r="N664" s="5" t="s">
        <v>1673</v>
      </c>
    </row>
    <row r="665" spans="1:14" s="5" customFormat="1" ht="30" customHeight="1" x14ac:dyDescent="0.25">
      <c r="A665" s="14" t="s">
        <v>14</v>
      </c>
      <c r="B665" s="16" t="s">
        <v>26</v>
      </c>
      <c r="C665" s="25" t="s">
        <v>61</v>
      </c>
      <c r="D665" s="169" t="s">
        <v>21</v>
      </c>
      <c r="E665" s="38">
        <v>0</v>
      </c>
      <c r="F665" s="39">
        <v>0</v>
      </c>
      <c r="G665" s="40">
        <v>0</v>
      </c>
      <c r="H665" s="41">
        <v>0</v>
      </c>
      <c r="I665" s="42">
        <f t="shared" ref="I665:I672" si="152">SUM(E665:H665)</f>
        <v>0</v>
      </c>
      <c r="J665" s="103" t="str">
        <f t="shared" ref="J665:L672" si="153">IFERROR(E665/$I665*100,"")</f>
        <v/>
      </c>
      <c r="K665" s="104" t="str">
        <f t="shared" si="153"/>
        <v/>
      </c>
      <c r="L665" s="105" t="str">
        <f t="shared" si="153"/>
        <v/>
      </c>
      <c r="M665" s="106" t="str">
        <f t="shared" si="151"/>
        <v/>
      </c>
    </row>
    <row r="666" spans="1:14" s="5" customFormat="1" ht="30" customHeight="1" x14ac:dyDescent="0.25">
      <c r="A666" s="14" t="s">
        <v>14</v>
      </c>
      <c r="B666" s="16" t="s">
        <v>26</v>
      </c>
      <c r="C666" s="25" t="s">
        <v>61</v>
      </c>
      <c r="D666" s="169" t="s">
        <v>22</v>
      </c>
      <c r="E666" s="38">
        <v>0</v>
      </c>
      <c r="F666" s="39">
        <v>0</v>
      </c>
      <c r="G666" s="40">
        <v>0</v>
      </c>
      <c r="H666" s="41">
        <v>0</v>
      </c>
      <c r="I666" s="42">
        <f t="shared" si="152"/>
        <v>0</v>
      </c>
      <c r="J666" s="103" t="str">
        <f t="shared" si="153"/>
        <v/>
      </c>
      <c r="K666" s="104" t="str">
        <f t="shared" si="153"/>
        <v/>
      </c>
      <c r="L666" s="105" t="str">
        <f t="shared" si="153"/>
        <v/>
      </c>
      <c r="M666" s="106" t="str">
        <f t="shared" si="151"/>
        <v/>
      </c>
    </row>
    <row r="667" spans="1:14" s="5" customFormat="1" ht="30" customHeight="1" x14ac:dyDescent="0.25">
      <c r="A667" s="14" t="s">
        <v>14</v>
      </c>
      <c r="B667" s="16" t="s">
        <v>26</v>
      </c>
      <c r="C667" s="25" t="s">
        <v>61</v>
      </c>
      <c r="D667" s="169" t="s">
        <v>27</v>
      </c>
      <c r="E667" s="38">
        <v>0</v>
      </c>
      <c r="F667" s="39">
        <v>0</v>
      </c>
      <c r="G667" s="40">
        <v>0</v>
      </c>
      <c r="H667" s="41">
        <v>0</v>
      </c>
      <c r="I667" s="42">
        <f t="shared" si="152"/>
        <v>0</v>
      </c>
      <c r="J667" s="103" t="str">
        <f t="shared" si="153"/>
        <v/>
      </c>
      <c r="K667" s="104" t="str">
        <f t="shared" si="153"/>
        <v/>
      </c>
      <c r="L667" s="105" t="str">
        <f t="shared" si="153"/>
        <v/>
      </c>
      <c r="M667" s="106" t="str">
        <f t="shared" si="151"/>
        <v/>
      </c>
    </row>
    <row r="668" spans="1:14" s="5" customFormat="1" ht="30" customHeight="1" x14ac:dyDescent="0.25">
      <c r="A668" s="14" t="s">
        <v>14</v>
      </c>
      <c r="B668" s="16" t="s">
        <v>26</v>
      </c>
      <c r="C668" s="25" t="s">
        <v>61</v>
      </c>
      <c r="D668" s="169" t="s">
        <v>23</v>
      </c>
      <c r="E668" s="38">
        <v>0</v>
      </c>
      <c r="F668" s="39">
        <v>0</v>
      </c>
      <c r="G668" s="40">
        <v>0</v>
      </c>
      <c r="H668" s="41">
        <v>0</v>
      </c>
      <c r="I668" s="42">
        <f t="shared" si="152"/>
        <v>0</v>
      </c>
      <c r="J668" s="103" t="str">
        <f t="shared" si="153"/>
        <v/>
      </c>
      <c r="K668" s="104" t="str">
        <f t="shared" si="153"/>
        <v/>
      </c>
      <c r="L668" s="105" t="str">
        <f t="shared" si="153"/>
        <v/>
      </c>
      <c r="M668" s="106" t="str">
        <f t="shared" si="151"/>
        <v/>
      </c>
    </row>
    <row r="669" spans="1:14" s="5" customFormat="1" ht="30" customHeight="1" x14ac:dyDescent="0.25">
      <c r="A669" s="14" t="s">
        <v>14</v>
      </c>
      <c r="B669" s="16" t="s">
        <v>26</v>
      </c>
      <c r="C669" s="25" t="s">
        <v>61</v>
      </c>
      <c r="D669" s="169" t="s">
        <v>24</v>
      </c>
      <c r="E669" s="38">
        <v>0</v>
      </c>
      <c r="F669" s="39">
        <v>0</v>
      </c>
      <c r="G669" s="40">
        <v>0</v>
      </c>
      <c r="H669" s="41">
        <v>0</v>
      </c>
      <c r="I669" s="42">
        <f t="shared" si="152"/>
        <v>0</v>
      </c>
      <c r="J669" s="103" t="str">
        <f t="shared" si="153"/>
        <v/>
      </c>
      <c r="K669" s="104" t="str">
        <f t="shared" si="153"/>
        <v/>
      </c>
      <c r="L669" s="105" t="str">
        <f t="shared" si="153"/>
        <v/>
      </c>
      <c r="M669" s="106" t="str">
        <f t="shared" si="151"/>
        <v/>
      </c>
    </row>
    <row r="670" spans="1:14" s="3" customFormat="1" ht="30" customHeight="1" x14ac:dyDescent="0.25">
      <c r="A670" s="14" t="s">
        <v>14</v>
      </c>
      <c r="B670" s="16" t="s">
        <v>26</v>
      </c>
      <c r="C670" s="25" t="s">
        <v>61</v>
      </c>
      <c r="D670" s="169" t="s">
        <v>41</v>
      </c>
      <c r="E670" s="38">
        <v>0</v>
      </c>
      <c r="F670" s="39">
        <v>0</v>
      </c>
      <c r="G670" s="40">
        <v>0</v>
      </c>
      <c r="H670" s="41">
        <v>0</v>
      </c>
      <c r="I670" s="42">
        <f t="shared" si="152"/>
        <v>0</v>
      </c>
      <c r="J670" s="103" t="str">
        <f t="shared" si="153"/>
        <v/>
      </c>
      <c r="K670" s="104" t="str">
        <f t="shared" si="153"/>
        <v/>
      </c>
      <c r="L670" s="105" t="str">
        <f t="shared" si="153"/>
        <v/>
      </c>
      <c r="M670" s="106" t="str">
        <f t="shared" si="151"/>
        <v/>
      </c>
    </row>
    <row r="671" spans="1:14" s="5" customFormat="1" ht="30" customHeight="1" x14ac:dyDescent="0.25">
      <c r="A671" s="14" t="s">
        <v>14</v>
      </c>
      <c r="B671" s="16" t="s">
        <v>26</v>
      </c>
      <c r="C671" s="25" t="s">
        <v>61</v>
      </c>
      <c r="D671" s="169" t="s">
        <v>28</v>
      </c>
      <c r="E671" s="38">
        <v>0</v>
      </c>
      <c r="F671" s="39">
        <v>0</v>
      </c>
      <c r="G671" s="40">
        <v>0</v>
      </c>
      <c r="H671" s="41">
        <v>0</v>
      </c>
      <c r="I671" s="42">
        <f t="shared" si="152"/>
        <v>0</v>
      </c>
      <c r="J671" s="103" t="str">
        <f t="shared" si="153"/>
        <v/>
      </c>
      <c r="K671" s="104" t="str">
        <f t="shared" si="153"/>
        <v/>
      </c>
      <c r="L671" s="105" t="str">
        <f t="shared" si="153"/>
        <v/>
      </c>
      <c r="M671" s="106" t="str">
        <f t="shared" si="151"/>
        <v/>
      </c>
    </row>
    <row r="672" spans="1:14" s="5" customFormat="1" ht="30" customHeight="1" x14ac:dyDescent="0.25">
      <c r="A672" s="14" t="s">
        <v>14</v>
      </c>
      <c r="B672" s="16" t="s">
        <v>26</v>
      </c>
      <c r="C672" s="25" t="s">
        <v>61</v>
      </c>
      <c r="D672" s="169" t="s">
        <v>40</v>
      </c>
      <c r="E672" s="38">
        <v>0</v>
      </c>
      <c r="F672" s="39">
        <v>0</v>
      </c>
      <c r="G672" s="40">
        <v>0</v>
      </c>
      <c r="H672" s="41">
        <v>0</v>
      </c>
      <c r="I672" s="42">
        <f t="shared" si="152"/>
        <v>0</v>
      </c>
      <c r="J672" s="103" t="str">
        <f t="shared" si="153"/>
        <v/>
      </c>
      <c r="K672" s="104" t="str">
        <f t="shared" si="153"/>
        <v/>
      </c>
      <c r="L672" s="105" t="str">
        <f t="shared" si="153"/>
        <v/>
      </c>
      <c r="M672" s="106" t="str">
        <f t="shared" si="151"/>
        <v/>
      </c>
    </row>
    <row r="673" spans="1:14" s="5" customFormat="1" ht="30" customHeight="1" x14ac:dyDescent="0.25">
      <c r="A673" s="14" t="s">
        <v>14</v>
      </c>
      <c r="B673" s="16" t="s">
        <v>26</v>
      </c>
      <c r="C673" s="25"/>
      <c r="D673" s="9" t="s">
        <v>29</v>
      </c>
      <c r="E673" s="38">
        <f>SUM(E665:E672)</f>
        <v>0</v>
      </c>
      <c r="F673" s="39">
        <f t="shared" ref="F673:I673" si="154">SUM(F665:F672)</f>
        <v>0</v>
      </c>
      <c r="G673" s="40">
        <f t="shared" si="154"/>
        <v>0</v>
      </c>
      <c r="H673" s="41">
        <f t="shared" si="154"/>
        <v>0</v>
      </c>
      <c r="I673" s="43">
        <f t="shared" si="154"/>
        <v>0</v>
      </c>
      <c r="J673" s="103" t="str">
        <f>IFERROR(E673/SUM($E673:$H673)*100,"")</f>
        <v/>
      </c>
      <c r="K673" s="104" t="str">
        <f>IFERROR(F673/SUM($E673:$H673)*100,"")</f>
        <v/>
      </c>
      <c r="L673" s="105" t="str">
        <f>IFERROR(G673/SUM($E673:$H673)*100,"")</f>
        <v/>
      </c>
      <c r="M673" s="106" t="str">
        <f t="shared" si="151"/>
        <v/>
      </c>
      <c r="N673" s="5" t="s">
        <v>1671</v>
      </c>
    </row>
    <row r="674" spans="1:14" ht="5.0999999999999996" customHeight="1" x14ac:dyDescent="0.25">
      <c r="A674" s="14" t="s">
        <v>14</v>
      </c>
      <c r="B674" s="16" t="s">
        <v>26</v>
      </c>
      <c r="C674"/>
      <c r="D674" s="57"/>
      <c r="E674" s="59"/>
      <c r="F674" s="59"/>
      <c r="G674" s="59"/>
      <c r="H674" s="59"/>
      <c r="I674" s="59"/>
      <c r="J674" s="103"/>
      <c r="K674" s="104"/>
      <c r="L674" s="105"/>
      <c r="M674" s="106" t="str">
        <f t="shared" si="151"/>
        <v/>
      </c>
    </row>
    <row r="675" spans="1:14" s="5" customFormat="1" ht="20.100000000000001" customHeight="1" x14ac:dyDescent="0.25">
      <c r="A675" s="14" t="s">
        <v>14</v>
      </c>
      <c r="B675" s="16" t="s">
        <v>64</v>
      </c>
      <c r="C675" s="25" t="s">
        <v>60</v>
      </c>
      <c r="D675" s="6" t="s">
        <v>65</v>
      </c>
      <c r="E675" s="37"/>
      <c r="F675" s="37"/>
      <c r="G675" s="37"/>
      <c r="H675" s="37"/>
      <c r="I675" s="48"/>
      <c r="J675" s="103"/>
      <c r="K675" s="104"/>
      <c r="L675" s="105"/>
      <c r="M675" s="106" t="str">
        <f t="shared" si="151"/>
        <v/>
      </c>
      <c r="N675" s="5" t="s">
        <v>1673</v>
      </c>
    </row>
    <row r="676" spans="1:14" s="5" customFormat="1" ht="30" customHeight="1" x14ac:dyDescent="0.25">
      <c r="A676" s="14" t="s">
        <v>14</v>
      </c>
      <c r="B676" s="16" t="s">
        <v>64</v>
      </c>
      <c r="C676" s="25" t="s">
        <v>61</v>
      </c>
      <c r="D676" s="168" t="s">
        <v>66</v>
      </c>
      <c r="E676" s="38">
        <v>0</v>
      </c>
      <c r="F676" s="39">
        <v>0</v>
      </c>
      <c r="G676" s="40">
        <v>0</v>
      </c>
      <c r="H676" s="41">
        <v>0</v>
      </c>
      <c r="I676" s="42">
        <f>SUM(E676:H676)</f>
        <v>0</v>
      </c>
      <c r="J676" s="103" t="str">
        <f>IFERROR(E676/$I676*100,"")</f>
        <v/>
      </c>
      <c r="K676" s="104" t="str">
        <f>IFERROR(F676/$I676*100,"")</f>
        <v/>
      </c>
      <c r="L676" s="105" t="str">
        <f>IFERROR(G676/$I676*100,"")</f>
        <v/>
      </c>
      <c r="M676" s="106" t="str">
        <f t="shared" si="151"/>
        <v/>
      </c>
      <c r="N676" s="5" t="s">
        <v>1671</v>
      </c>
    </row>
    <row r="677" spans="1:14" ht="5.0999999999999996" customHeight="1" x14ac:dyDescent="0.25">
      <c r="A677" s="14" t="s">
        <v>14</v>
      </c>
      <c r="B677" s="16" t="s">
        <v>64</v>
      </c>
      <c r="C677"/>
      <c r="D677" s="57"/>
      <c r="E677" s="59"/>
      <c r="F677" s="59"/>
      <c r="G677" s="59"/>
      <c r="H677" s="59"/>
      <c r="I677" s="59"/>
      <c r="J677" s="103"/>
      <c r="K677" s="104"/>
      <c r="L677" s="105"/>
      <c r="M677" s="106" t="str">
        <f t="shared" si="151"/>
        <v/>
      </c>
    </row>
    <row r="678" spans="1:14" s="5" customFormat="1" ht="20.100000000000001" customHeight="1" x14ac:dyDescent="0.25">
      <c r="A678" s="14" t="s">
        <v>14</v>
      </c>
      <c r="B678" s="16" t="s">
        <v>55</v>
      </c>
      <c r="C678" s="25" t="s">
        <v>60</v>
      </c>
      <c r="D678" s="6" t="s">
        <v>55</v>
      </c>
      <c r="E678" s="37"/>
      <c r="F678" s="37"/>
      <c r="G678" s="37"/>
      <c r="H678" s="37"/>
      <c r="I678" s="48"/>
      <c r="J678" s="103"/>
      <c r="K678" s="104"/>
      <c r="L678" s="105"/>
      <c r="M678" s="106" t="str">
        <f t="shared" si="151"/>
        <v/>
      </c>
      <c r="N678" s="5" t="s">
        <v>1673</v>
      </c>
    </row>
    <row r="679" spans="1:14" s="3" customFormat="1" ht="30" customHeight="1" x14ac:dyDescent="0.25">
      <c r="A679" s="14" t="s">
        <v>14</v>
      </c>
      <c r="B679" s="16" t="s">
        <v>55</v>
      </c>
      <c r="C679" s="25" t="s">
        <v>61</v>
      </c>
      <c r="D679" s="168" t="s">
        <v>56</v>
      </c>
      <c r="E679" s="38">
        <v>0</v>
      </c>
      <c r="F679" s="39">
        <v>0</v>
      </c>
      <c r="G679" s="40">
        <v>0</v>
      </c>
      <c r="H679" s="41">
        <v>0</v>
      </c>
      <c r="I679" s="42">
        <f>SUM(E679:H679)</f>
        <v>0</v>
      </c>
      <c r="J679" s="103" t="str">
        <f t="shared" ref="J679:L681" si="155">IFERROR(E679/$I679*100,"")</f>
        <v/>
      </c>
      <c r="K679" s="104" t="str">
        <f t="shared" si="155"/>
        <v/>
      </c>
      <c r="L679" s="105" t="str">
        <f t="shared" si="155"/>
        <v/>
      </c>
      <c r="M679" s="106" t="str">
        <f t="shared" si="151"/>
        <v/>
      </c>
      <c r="N679" s="5"/>
    </row>
    <row r="680" spans="1:14" s="3" customFormat="1" ht="30" customHeight="1" x14ac:dyDescent="0.25">
      <c r="A680" s="14" t="s">
        <v>14</v>
      </c>
      <c r="B680" s="16" t="s">
        <v>55</v>
      </c>
      <c r="C680" s="25" t="s">
        <v>61</v>
      </c>
      <c r="D680" s="168" t="s">
        <v>57</v>
      </c>
      <c r="E680" s="38">
        <v>0</v>
      </c>
      <c r="F680" s="39">
        <v>0</v>
      </c>
      <c r="G680" s="40">
        <v>0</v>
      </c>
      <c r="H680" s="41">
        <v>0</v>
      </c>
      <c r="I680" s="42">
        <f>SUM(E680:H680)</f>
        <v>0</v>
      </c>
      <c r="J680" s="103" t="str">
        <f t="shared" si="155"/>
        <v/>
      </c>
      <c r="K680" s="104" t="str">
        <f t="shared" si="155"/>
        <v/>
      </c>
      <c r="L680" s="105" t="str">
        <f t="shared" si="155"/>
        <v/>
      </c>
      <c r="M680" s="106" t="str">
        <f t="shared" si="151"/>
        <v/>
      </c>
    </row>
    <row r="681" spans="1:14" s="3" customFormat="1" ht="30" customHeight="1" x14ac:dyDescent="0.25">
      <c r="A681" s="14" t="s">
        <v>14</v>
      </c>
      <c r="B681" s="16" t="s">
        <v>55</v>
      </c>
      <c r="C681" s="25"/>
      <c r="D681" s="168" t="s">
        <v>29</v>
      </c>
      <c r="E681" s="38">
        <f>SUM(E679:E680)</f>
        <v>0</v>
      </c>
      <c r="F681" s="39">
        <f t="shared" ref="F681:I681" si="156">SUM(F679:F680)</f>
        <v>0</v>
      </c>
      <c r="G681" s="40">
        <f t="shared" si="156"/>
        <v>0</v>
      </c>
      <c r="H681" s="41">
        <f t="shared" si="156"/>
        <v>0</v>
      </c>
      <c r="I681" s="42">
        <f t="shared" si="156"/>
        <v>0</v>
      </c>
      <c r="J681" s="103" t="str">
        <f t="shared" si="155"/>
        <v/>
      </c>
      <c r="K681" s="104" t="str">
        <f t="shared" si="155"/>
        <v/>
      </c>
      <c r="L681" s="105" t="str">
        <f t="shared" si="155"/>
        <v/>
      </c>
      <c r="M681" s="106" t="str">
        <f t="shared" si="151"/>
        <v/>
      </c>
      <c r="N681" s="5" t="s">
        <v>1671</v>
      </c>
    </row>
    <row r="682" spans="1:14" ht="5.0999999999999996" customHeight="1" x14ac:dyDescent="0.25">
      <c r="A682" s="14" t="s">
        <v>14</v>
      </c>
      <c r="B682" s="16" t="s">
        <v>55</v>
      </c>
      <c r="C682"/>
      <c r="D682" s="57"/>
      <c r="E682" s="59"/>
      <c r="F682" s="59"/>
      <c r="G682" s="59"/>
      <c r="H682" s="59"/>
      <c r="I682" s="59"/>
      <c r="J682" s="103"/>
      <c r="K682" s="104"/>
      <c r="L682" s="105"/>
      <c r="M682" s="106" t="str">
        <f t="shared" si="151"/>
        <v/>
      </c>
    </row>
    <row r="683" spans="1:14" s="5" customFormat="1" ht="20.100000000000001" customHeight="1" x14ac:dyDescent="0.25">
      <c r="A683" s="14" t="s">
        <v>14</v>
      </c>
      <c r="B683" s="16" t="s">
        <v>74</v>
      </c>
      <c r="C683" s="25" t="s">
        <v>60</v>
      </c>
      <c r="D683" s="6" t="s">
        <v>75</v>
      </c>
      <c r="E683" s="37"/>
      <c r="F683" s="37"/>
      <c r="G683" s="37"/>
      <c r="H683" s="37"/>
      <c r="I683" s="48"/>
      <c r="J683" s="103"/>
      <c r="K683" s="104"/>
      <c r="L683" s="105"/>
      <c r="M683" s="106" t="str">
        <f t="shared" si="151"/>
        <v/>
      </c>
      <c r="N683" s="5" t="s">
        <v>1673</v>
      </c>
    </row>
    <row r="684" spans="1:14" s="3" customFormat="1" ht="30" customHeight="1" x14ac:dyDescent="0.25">
      <c r="A684" s="14" t="s">
        <v>14</v>
      </c>
      <c r="B684" s="16" t="s">
        <v>74</v>
      </c>
      <c r="C684" s="25" t="s">
        <v>61</v>
      </c>
      <c r="D684" s="168" t="s">
        <v>77</v>
      </c>
      <c r="E684" s="38">
        <v>0</v>
      </c>
      <c r="F684" s="39">
        <v>0</v>
      </c>
      <c r="G684" s="40">
        <v>0</v>
      </c>
      <c r="H684" s="41">
        <v>0</v>
      </c>
      <c r="I684" s="42">
        <f>SUM(E684:H684)</f>
        <v>0</v>
      </c>
      <c r="J684" s="103" t="str">
        <f>IFERROR(E684/$I684*100,"")</f>
        <v/>
      </c>
      <c r="K684" s="104" t="str">
        <f>IFERROR(F684/$I684*100,"")</f>
        <v/>
      </c>
      <c r="L684" s="105" t="str">
        <f>IFERROR(G684/$I684*100,"")</f>
        <v/>
      </c>
      <c r="M684" s="106" t="str">
        <f t="shared" si="151"/>
        <v/>
      </c>
      <c r="N684" s="3" t="s">
        <v>1671</v>
      </c>
    </row>
    <row r="685" spans="1:14" ht="5.0999999999999996" customHeight="1" x14ac:dyDescent="0.25">
      <c r="A685" s="14" t="s">
        <v>14</v>
      </c>
      <c r="B685" s="16" t="s">
        <v>74</v>
      </c>
      <c r="C685"/>
      <c r="D685" s="57"/>
      <c r="E685" s="59"/>
      <c r="F685" s="59"/>
      <c r="G685" s="59"/>
      <c r="H685" s="59"/>
      <c r="I685" s="59"/>
      <c r="J685" s="103"/>
      <c r="K685" s="104"/>
      <c r="L685" s="105"/>
      <c r="M685" s="106" t="str">
        <f t="shared" si="151"/>
        <v/>
      </c>
    </row>
    <row r="686" spans="1:14" s="5" customFormat="1" ht="20.100000000000001" customHeight="1" x14ac:dyDescent="0.25">
      <c r="A686" s="14" t="s">
        <v>14</v>
      </c>
      <c r="B686" s="16" t="s">
        <v>78</v>
      </c>
      <c r="C686" s="25" t="s">
        <v>60</v>
      </c>
      <c r="D686" s="6" t="s">
        <v>80</v>
      </c>
      <c r="E686" s="37"/>
      <c r="F686" s="37"/>
      <c r="G686" s="37"/>
      <c r="H686" s="37"/>
      <c r="I686" s="48"/>
      <c r="J686" s="103"/>
      <c r="K686" s="104"/>
      <c r="L686" s="105"/>
      <c r="M686" s="106" t="str">
        <f t="shared" si="151"/>
        <v/>
      </c>
      <c r="N686" s="5" t="s">
        <v>1673</v>
      </c>
    </row>
    <row r="687" spans="1:14" s="5" customFormat="1" ht="30" customHeight="1" x14ac:dyDescent="0.25">
      <c r="A687" s="14" t="s">
        <v>14</v>
      </c>
      <c r="B687" s="16" t="s">
        <v>78</v>
      </c>
      <c r="C687" s="25" t="s">
        <v>61</v>
      </c>
      <c r="D687" s="168" t="s">
        <v>81</v>
      </c>
      <c r="E687" s="38">
        <v>0</v>
      </c>
      <c r="F687" s="39">
        <v>0</v>
      </c>
      <c r="G687" s="40">
        <v>0</v>
      </c>
      <c r="H687" s="41">
        <v>0</v>
      </c>
      <c r="I687" s="42">
        <f t="shared" ref="I687:I693" si="157">SUM(E687:H687)</f>
        <v>0</v>
      </c>
      <c r="J687" s="103" t="str">
        <f t="shared" ref="J687:L693" si="158">IFERROR(E687/$I687*100,"")</f>
        <v/>
      </c>
      <c r="K687" s="104" t="str">
        <f t="shared" si="158"/>
        <v/>
      </c>
      <c r="L687" s="105" t="str">
        <f t="shared" si="158"/>
        <v/>
      </c>
      <c r="M687" s="106" t="str">
        <f t="shared" si="151"/>
        <v/>
      </c>
    </row>
    <row r="688" spans="1:14" s="5" customFormat="1" ht="30" customHeight="1" x14ac:dyDescent="0.25">
      <c r="A688" s="14" t="s">
        <v>14</v>
      </c>
      <c r="B688" s="16" t="s">
        <v>78</v>
      </c>
      <c r="C688" s="25" t="s">
        <v>61</v>
      </c>
      <c r="D688" s="168" t="s">
        <v>82</v>
      </c>
      <c r="E688" s="38">
        <v>0</v>
      </c>
      <c r="F688" s="39">
        <v>0</v>
      </c>
      <c r="G688" s="40">
        <v>0</v>
      </c>
      <c r="H688" s="41">
        <v>0</v>
      </c>
      <c r="I688" s="42">
        <f t="shared" si="157"/>
        <v>0</v>
      </c>
      <c r="J688" s="103" t="str">
        <f t="shared" si="158"/>
        <v/>
      </c>
      <c r="K688" s="104" t="str">
        <f t="shared" si="158"/>
        <v/>
      </c>
      <c r="L688" s="105" t="str">
        <f t="shared" si="158"/>
        <v/>
      </c>
      <c r="M688" s="106" t="str">
        <f t="shared" si="151"/>
        <v/>
      </c>
    </row>
    <row r="689" spans="1:14" s="5" customFormat="1" ht="30" customHeight="1" x14ac:dyDescent="0.25">
      <c r="A689" s="14" t="s">
        <v>14</v>
      </c>
      <c r="B689" s="16" t="s">
        <v>78</v>
      </c>
      <c r="C689" s="25" t="s">
        <v>61</v>
      </c>
      <c r="D689" s="168" t="s">
        <v>83</v>
      </c>
      <c r="E689" s="38">
        <v>0</v>
      </c>
      <c r="F689" s="39">
        <v>0</v>
      </c>
      <c r="G689" s="40">
        <v>0</v>
      </c>
      <c r="H689" s="41">
        <v>0</v>
      </c>
      <c r="I689" s="42">
        <f t="shared" si="157"/>
        <v>0</v>
      </c>
      <c r="J689" s="103" t="str">
        <f t="shared" si="158"/>
        <v/>
      </c>
      <c r="K689" s="104" t="str">
        <f t="shared" si="158"/>
        <v/>
      </c>
      <c r="L689" s="105" t="str">
        <f t="shared" si="158"/>
        <v/>
      </c>
      <c r="M689" s="106" t="str">
        <f t="shared" si="151"/>
        <v/>
      </c>
    </row>
    <row r="690" spans="1:14" s="5" customFormat="1" ht="30" customHeight="1" x14ac:dyDescent="0.25">
      <c r="A690" s="14" t="s">
        <v>14</v>
      </c>
      <c r="B690" s="16" t="s">
        <v>78</v>
      </c>
      <c r="C690" s="25" t="s">
        <v>61</v>
      </c>
      <c r="D690" s="168" t="s">
        <v>88</v>
      </c>
      <c r="E690" s="38">
        <v>0</v>
      </c>
      <c r="F690" s="39">
        <v>0</v>
      </c>
      <c r="G690" s="40">
        <v>0</v>
      </c>
      <c r="H690" s="41">
        <v>0</v>
      </c>
      <c r="I690" s="42">
        <f t="shared" si="157"/>
        <v>0</v>
      </c>
      <c r="J690" s="103" t="str">
        <f t="shared" si="158"/>
        <v/>
      </c>
      <c r="K690" s="104" t="str">
        <f t="shared" si="158"/>
        <v/>
      </c>
      <c r="L690" s="105" t="str">
        <f t="shared" si="158"/>
        <v/>
      </c>
      <c r="M690" s="106" t="str">
        <f t="shared" si="151"/>
        <v/>
      </c>
    </row>
    <row r="691" spans="1:14" s="5" customFormat="1" ht="30" customHeight="1" x14ac:dyDescent="0.25">
      <c r="A691" s="14" t="s">
        <v>14</v>
      </c>
      <c r="B691" s="16" t="s">
        <v>78</v>
      </c>
      <c r="C691" s="25" t="s">
        <v>61</v>
      </c>
      <c r="D691" s="168" t="s">
        <v>87</v>
      </c>
      <c r="E691" s="38">
        <v>0</v>
      </c>
      <c r="F691" s="39">
        <v>0</v>
      </c>
      <c r="G691" s="40">
        <v>0</v>
      </c>
      <c r="H691" s="41">
        <v>0</v>
      </c>
      <c r="I691" s="42">
        <f t="shared" si="157"/>
        <v>0</v>
      </c>
      <c r="J691" s="103" t="str">
        <f t="shared" si="158"/>
        <v/>
      </c>
      <c r="K691" s="104" t="str">
        <f t="shared" si="158"/>
        <v/>
      </c>
      <c r="L691" s="105" t="str">
        <f t="shared" si="158"/>
        <v/>
      </c>
      <c r="M691" s="106" t="str">
        <f t="shared" si="151"/>
        <v/>
      </c>
    </row>
    <row r="692" spans="1:14" s="5" customFormat="1" ht="30" customHeight="1" x14ac:dyDescent="0.25">
      <c r="A692" s="14" t="s">
        <v>14</v>
      </c>
      <c r="B692" s="16" t="s">
        <v>78</v>
      </c>
      <c r="C692" s="25" t="s">
        <v>61</v>
      </c>
      <c r="D692" s="168" t="s">
        <v>84</v>
      </c>
      <c r="E692" s="38">
        <v>0</v>
      </c>
      <c r="F692" s="39">
        <v>0</v>
      </c>
      <c r="G692" s="40">
        <v>0</v>
      </c>
      <c r="H692" s="41">
        <v>0</v>
      </c>
      <c r="I692" s="42">
        <f t="shared" si="157"/>
        <v>0</v>
      </c>
      <c r="J692" s="103" t="str">
        <f t="shared" si="158"/>
        <v/>
      </c>
      <c r="K692" s="104" t="str">
        <f t="shared" si="158"/>
        <v/>
      </c>
      <c r="L692" s="105" t="str">
        <f t="shared" si="158"/>
        <v/>
      </c>
      <c r="M692" s="106" t="str">
        <f t="shared" si="151"/>
        <v/>
      </c>
    </row>
    <row r="693" spans="1:14" s="5" customFormat="1" ht="30" customHeight="1" x14ac:dyDescent="0.25">
      <c r="A693" s="14" t="s">
        <v>14</v>
      </c>
      <c r="B693" s="16" t="s">
        <v>78</v>
      </c>
      <c r="C693" s="25" t="s">
        <v>86</v>
      </c>
      <c r="D693" s="168" t="s">
        <v>79</v>
      </c>
      <c r="E693" s="38">
        <v>0</v>
      </c>
      <c r="F693" s="39">
        <v>0</v>
      </c>
      <c r="G693" s="40">
        <v>0</v>
      </c>
      <c r="H693" s="41">
        <v>0</v>
      </c>
      <c r="I693" s="42">
        <f t="shared" si="157"/>
        <v>0</v>
      </c>
      <c r="J693" s="103" t="str">
        <f t="shared" si="158"/>
        <v/>
      </c>
      <c r="K693" s="104" t="str">
        <f t="shared" si="158"/>
        <v/>
      </c>
      <c r="L693" s="105" t="str">
        <f t="shared" si="158"/>
        <v/>
      </c>
      <c r="M693" s="106" t="str">
        <f t="shared" si="151"/>
        <v/>
      </c>
      <c r="N693" s="5" t="s">
        <v>1671</v>
      </c>
    </row>
    <row r="694" spans="1:14" ht="5.0999999999999996" customHeight="1" x14ac:dyDescent="0.25">
      <c r="A694" s="14" t="s">
        <v>14</v>
      </c>
      <c r="B694" s="16" t="s">
        <v>78</v>
      </c>
      <c r="C694"/>
      <c r="D694" s="57"/>
      <c r="E694" s="59"/>
      <c r="F694" s="59"/>
      <c r="G694" s="59"/>
      <c r="H694" s="59"/>
      <c r="I694" s="59"/>
      <c r="J694" s="103"/>
      <c r="K694" s="104"/>
      <c r="L694" s="105"/>
      <c r="M694" s="106" t="str">
        <f t="shared" si="151"/>
        <v/>
      </c>
    </row>
    <row r="695" spans="1:14" s="5" customFormat="1" ht="20.100000000000001" customHeight="1" x14ac:dyDescent="0.25">
      <c r="A695" s="14" t="s">
        <v>14</v>
      </c>
      <c r="B695" s="16" t="s">
        <v>1642</v>
      </c>
      <c r="C695" s="25" t="s">
        <v>60</v>
      </c>
      <c r="D695" s="6" t="s">
        <v>1644</v>
      </c>
      <c r="E695" s="37"/>
      <c r="F695" s="37"/>
      <c r="G695" s="37"/>
      <c r="H695" s="37"/>
      <c r="I695" s="48"/>
      <c r="J695" s="103"/>
      <c r="K695" s="104"/>
      <c r="L695" s="105"/>
      <c r="M695" s="106" t="str">
        <f t="shared" si="151"/>
        <v/>
      </c>
      <c r="N695" s="5" t="s">
        <v>1673</v>
      </c>
    </row>
    <row r="696" spans="1:14" s="5" customFormat="1" ht="30" customHeight="1" x14ac:dyDescent="0.25">
      <c r="A696" s="14" t="s">
        <v>14</v>
      </c>
      <c r="B696" s="16" t="s">
        <v>1642</v>
      </c>
      <c r="C696" s="25" t="s">
        <v>61</v>
      </c>
      <c r="D696" s="168" t="s">
        <v>1643</v>
      </c>
      <c r="E696" s="38">
        <v>0</v>
      </c>
      <c r="F696" s="39">
        <v>0</v>
      </c>
      <c r="G696" s="40">
        <v>0</v>
      </c>
      <c r="H696" s="41">
        <v>0</v>
      </c>
      <c r="I696" s="42">
        <f t="shared" ref="I696" si="159">SUM(E696:H696)</f>
        <v>0</v>
      </c>
      <c r="J696" s="103" t="str">
        <f>IFERROR(E696/$I696*100,"")</f>
        <v/>
      </c>
      <c r="K696" s="104" t="str">
        <f>IFERROR(F696/$I696*100,"")</f>
        <v/>
      </c>
      <c r="L696" s="105" t="str">
        <f>IFERROR(G696/$I696*100,"")</f>
        <v/>
      </c>
      <c r="M696" s="106" t="str">
        <f t="shared" si="151"/>
        <v/>
      </c>
      <c r="N696" s="5" t="s">
        <v>1671</v>
      </c>
    </row>
    <row r="697" spans="1:14" ht="5.0999999999999996" customHeight="1" x14ac:dyDescent="0.25">
      <c r="A697" s="14" t="s">
        <v>14</v>
      </c>
      <c r="B697" s="16" t="s">
        <v>1642</v>
      </c>
      <c r="C697"/>
      <c r="D697" s="57"/>
      <c r="E697" s="59"/>
      <c r="F697" s="59"/>
      <c r="G697" s="59"/>
      <c r="H697" s="59"/>
      <c r="I697" s="59"/>
      <c r="J697" s="103"/>
      <c r="K697" s="104"/>
      <c r="L697" s="105"/>
      <c r="M697" s="106" t="str">
        <f t="shared" si="151"/>
        <v/>
      </c>
    </row>
    <row r="698" spans="1:14" s="5" customFormat="1" ht="20.100000000000001" customHeight="1" x14ac:dyDescent="0.25">
      <c r="A698" s="14" t="s">
        <v>14</v>
      </c>
      <c r="B698" s="16" t="s">
        <v>91</v>
      </c>
      <c r="C698" s="25" t="s">
        <v>60</v>
      </c>
      <c r="D698" s="6" t="s">
        <v>89</v>
      </c>
      <c r="E698" s="37"/>
      <c r="F698" s="37"/>
      <c r="G698" s="37"/>
      <c r="H698" s="37"/>
      <c r="I698" s="48"/>
      <c r="J698" s="103"/>
      <c r="K698" s="104"/>
      <c r="L698" s="105"/>
      <c r="M698" s="106" t="str">
        <f t="shared" si="151"/>
        <v/>
      </c>
      <c r="N698" s="5" t="s">
        <v>1673</v>
      </c>
    </row>
    <row r="699" spans="1:14" s="5" customFormat="1" ht="30" customHeight="1" x14ac:dyDescent="0.25">
      <c r="A699" s="14" t="s">
        <v>14</v>
      </c>
      <c r="B699" s="16" t="s">
        <v>91</v>
      </c>
      <c r="C699" s="25" t="s">
        <v>61</v>
      </c>
      <c r="D699" s="168" t="s">
        <v>90</v>
      </c>
      <c r="E699" s="38">
        <v>0</v>
      </c>
      <c r="F699" s="39">
        <v>0</v>
      </c>
      <c r="G699" s="40">
        <v>0</v>
      </c>
      <c r="H699" s="41">
        <v>0</v>
      </c>
      <c r="I699" s="42">
        <f t="shared" ref="I699" si="160">SUM(E699:H699)</f>
        <v>0</v>
      </c>
      <c r="J699" s="103" t="str">
        <f>IFERROR(E699/$I699*100,"")</f>
        <v/>
      </c>
      <c r="K699" s="104" t="str">
        <f>IFERROR(F699/$I699*100,"")</f>
        <v/>
      </c>
      <c r="L699" s="105" t="str">
        <f>IFERROR(G699/$I699*100,"")</f>
        <v/>
      </c>
      <c r="M699" s="106" t="str">
        <f t="shared" si="151"/>
        <v/>
      </c>
      <c r="N699" s="5" t="s">
        <v>1671</v>
      </c>
    </row>
    <row r="700" spans="1:14" ht="5.0999999999999996" customHeight="1" x14ac:dyDescent="0.25">
      <c r="A700" s="14" t="s">
        <v>14</v>
      </c>
      <c r="B700" s="16" t="s">
        <v>91</v>
      </c>
      <c r="C700"/>
      <c r="D700" s="57"/>
      <c r="E700" s="59"/>
      <c r="F700" s="59"/>
      <c r="G700" s="59"/>
      <c r="H700" s="59"/>
      <c r="I700" s="59"/>
      <c r="J700" s="103"/>
      <c r="K700" s="104"/>
      <c r="L700" s="105"/>
      <c r="M700" s="106" t="str">
        <f t="shared" si="151"/>
        <v/>
      </c>
    </row>
    <row r="701" spans="1:14" s="5" customFormat="1" ht="20.100000000000001" customHeight="1" x14ac:dyDescent="0.25">
      <c r="A701" s="14" t="s">
        <v>14</v>
      </c>
      <c r="B701" s="16" t="s">
        <v>1637</v>
      </c>
      <c r="C701" s="25" t="s">
        <v>60</v>
      </c>
      <c r="D701" s="6" t="s">
        <v>1636</v>
      </c>
      <c r="E701" s="37"/>
      <c r="F701" s="37"/>
      <c r="G701" s="37"/>
      <c r="H701" s="37"/>
      <c r="I701" s="48"/>
      <c r="J701" s="103"/>
      <c r="K701" s="104"/>
      <c r="L701" s="105"/>
      <c r="M701" s="106" t="str">
        <f t="shared" si="151"/>
        <v/>
      </c>
      <c r="N701" s="5" t="s">
        <v>1673</v>
      </c>
    </row>
    <row r="702" spans="1:14" s="3" customFormat="1" ht="30" customHeight="1" x14ac:dyDescent="0.25">
      <c r="A702" s="14" t="s">
        <v>14</v>
      </c>
      <c r="B702" s="16" t="s">
        <v>1637</v>
      </c>
      <c r="C702" s="25" t="s">
        <v>61</v>
      </c>
      <c r="D702" s="168" t="s">
        <v>1638</v>
      </c>
      <c r="E702" s="38">
        <v>0</v>
      </c>
      <c r="F702" s="39">
        <v>0</v>
      </c>
      <c r="G702" s="40">
        <v>0</v>
      </c>
      <c r="H702" s="41">
        <v>0</v>
      </c>
      <c r="I702" s="42">
        <f t="shared" ref="I702:I707" si="161">SUM(E702:H702)</f>
        <v>0</v>
      </c>
      <c r="J702" s="103" t="str">
        <f t="shared" ref="J702:L706" si="162">IFERROR(E702/$I702*100,"")</f>
        <v/>
      </c>
      <c r="K702" s="104" t="str">
        <f t="shared" si="162"/>
        <v/>
      </c>
      <c r="L702" s="105" t="str">
        <f t="shared" si="162"/>
        <v/>
      </c>
      <c r="M702" s="106" t="str">
        <f t="shared" si="151"/>
        <v/>
      </c>
    </row>
    <row r="703" spans="1:14" s="3" customFormat="1" ht="30" customHeight="1" x14ac:dyDescent="0.25">
      <c r="A703" s="14" t="s">
        <v>14</v>
      </c>
      <c r="B703" s="16" t="s">
        <v>1637</v>
      </c>
      <c r="C703" s="25" t="s">
        <v>61</v>
      </c>
      <c r="D703" s="168" t="s">
        <v>1669</v>
      </c>
      <c r="E703" s="38">
        <v>0</v>
      </c>
      <c r="F703" s="39">
        <v>0</v>
      </c>
      <c r="G703" s="40">
        <v>0</v>
      </c>
      <c r="H703" s="41">
        <v>0</v>
      </c>
      <c r="I703" s="42">
        <f t="shared" si="161"/>
        <v>0</v>
      </c>
      <c r="J703" s="103" t="str">
        <f t="shared" si="162"/>
        <v/>
      </c>
      <c r="K703" s="104" t="str">
        <f t="shared" si="162"/>
        <v/>
      </c>
      <c r="L703" s="105" t="str">
        <f t="shared" si="162"/>
        <v/>
      </c>
      <c r="M703" s="106" t="str">
        <f t="shared" si="151"/>
        <v/>
      </c>
    </row>
    <row r="704" spans="1:14" s="3" customFormat="1" ht="30" customHeight="1" x14ac:dyDescent="0.25">
      <c r="A704" s="14" t="s">
        <v>14</v>
      </c>
      <c r="B704" s="16" t="s">
        <v>1637</v>
      </c>
      <c r="C704" s="25" t="s">
        <v>61</v>
      </c>
      <c r="D704" s="168" t="s">
        <v>1640</v>
      </c>
      <c r="E704" s="38">
        <v>0</v>
      </c>
      <c r="F704" s="39">
        <v>0</v>
      </c>
      <c r="G704" s="40">
        <v>0</v>
      </c>
      <c r="H704" s="41">
        <v>0</v>
      </c>
      <c r="I704" s="42">
        <f t="shared" si="161"/>
        <v>0</v>
      </c>
      <c r="J704" s="103" t="str">
        <f t="shared" si="162"/>
        <v/>
      </c>
      <c r="K704" s="104" t="str">
        <f t="shared" si="162"/>
        <v/>
      </c>
      <c r="L704" s="105" t="str">
        <f t="shared" si="162"/>
        <v/>
      </c>
      <c r="M704" s="106" t="str">
        <f t="shared" si="151"/>
        <v/>
      </c>
    </row>
    <row r="705" spans="1:14" s="3" customFormat="1" ht="30" customHeight="1" x14ac:dyDescent="0.25">
      <c r="A705" s="14" t="s">
        <v>14</v>
      </c>
      <c r="B705" s="16" t="s">
        <v>1637</v>
      </c>
      <c r="C705" s="25" t="s">
        <v>61</v>
      </c>
      <c r="D705" s="168" t="s">
        <v>1639</v>
      </c>
      <c r="E705" s="38">
        <v>0</v>
      </c>
      <c r="F705" s="39">
        <v>0</v>
      </c>
      <c r="G705" s="40">
        <v>0</v>
      </c>
      <c r="H705" s="41">
        <v>0</v>
      </c>
      <c r="I705" s="42">
        <f t="shared" si="161"/>
        <v>0</v>
      </c>
      <c r="J705" s="103" t="str">
        <f t="shared" si="162"/>
        <v/>
      </c>
      <c r="K705" s="104" t="str">
        <f t="shared" si="162"/>
        <v/>
      </c>
      <c r="L705" s="105" t="str">
        <f t="shared" si="162"/>
        <v/>
      </c>
      <c r="M705" s="106" t="str">
        <f t="shared" si="151"/>
        <v/>
      </c>
    </row>
    <row r="706" spans="1:14" s="3" customFormat="1" ht="30" customHeight="1" x14ac:dyDescent="0.25">
      <c r="A706" s="14" t="s">
        <v>14</v>
      </c>
      <c r="B706" s="16" t="s">
        <v>1637</v>
      </c>
      <c r="C706" s="25" t="s">
        <v>61</v>
      </c>
      <c r="D706" s="168" t="s">
        <v>1641</v>
      </c>
      <c r="E706" s="38">
        <v>0</v>
      </c>
      <c r="F706" s="39">
        <v>0</v>
      </c>
      <c r="G706" s="40">
        <v>0</v>
      </c>
      <c r="H706" s="41">
        <v>0</v>
      </c>
      <c r="I706" s="42">
        <f t="shared" si="161"/>
        <v>0</v>
      </c>
      <c r="J706" s="103" t="str">
        <f t="shared" si="162"/>
        <v/>
      </c>
      <c r="K706" s="104" t="str">
        <f t="shared" si="162"/>
        <v/>
      </c>
      <c r="L706" s="105" t="str">
        <f t="shared" si="162"/>
        <v/>
      </c>
      <c r="M706" s="106" t="str">
        <f t="shared" si="151"/>
        <v/>
      </c>
    </row>
    <row r="707" spans="1:14" s="3" customFormat="1" ht="30" customHeight="1" x14ac:dyDescent="0.25">
      <c r="A707" s="14" t="s">
        <v>14</v>
      </c>
      <c r="B707" s="16" t="s">
        <v>1637</v>
      </c>
      <c r="C707" s="25"/>
      <c r="D707" s="168" t="s">
        <v>29</v>
      </c>
      <c r="E707" s="38">
        <f>SUM(E702:E706)</f>
        <v>0</v>
      </c>
      <c r="F707" s="39">
        <f>SUM(F702:F706)</f>
        <v>0</v>
      </c>
      <c r="G707" s="40">
        <f>SUM(G702:G706)</f>
        <v>0</v>
      </c>
      <c r="H707" s="41">
        <f>SUM(H702:H706)</f>
        <v>0</v>
      </c>
      <c r="I707" s="42">
        <f t="shared" si="161"/>
        <v>0</v>
      </c>
      <c r="J707" s="103" t="str">
        <f>IFERROR(E707/SUM($E707:$H707)*100,"")</f>
        <v/>
      </c>
      <c r="K707" s="104" t="str">
        <f>IFERROR(F707/SUM($E707:$H707)*100,"")</f>
        <v/>
      </c>
      <c r="L707" s="105" t="str">
        <f>IFERROR(G707/SUM($E707:$H707)*100,"")</f>
        <v/>
      </c>
      <c r="M707" s="106" t="str">
        <f t="shared" si="151"/>
        <v/>
      </c>
      <c r="N707" s="5" t="s">
        <v>1671</v>
      </c>
    </row>
    <row r="708" spans="1:14" ht="5.0999999999999996" customHeight="1" x14ac:dyDescent="0.25">
      <c r="A708" s="14" t="s">
        <v>14</v>
      </c>
      <c r="B708" s="16" t="s">
        <v>1637</v>
      </c>
      <c r="C708"/>
      <c r="J708" s="103"/>
      <c r="K708" s="104"/>
      <c r="L708" s="105"/>
      <c r="M708" s="106" t="str">
        <f t="shared" si="151"/>
        <v/>
      </c>
    </row>
    <row r="709" spans="1:14" s="5" customFormat="1" ht="20.100000000000001" customHeight="1" x14ac:dyDescent="0.25">
      <c r="A709" s="14" t="s">
        <v>14</v>
      </c>
      <c r="B709" s="16" t="s">
        <v>42</v>
      </c>
      <c r="C709" s="25" t="s">
        <v>60</v>
      </c>
      <c r="D709" s="6" t="s">
        <v>1744</v>
      </c>
      <c r="E709" s="37"/>
      <c r="F709" s="37"/>
      <c r="G709" s="37"/>
      <c r="H709" s="37"/>
      <c r="I709" s="48"/>
      <c r="J709" s="103"/>
      <c r="K709" s="104"/>
      <c r="L709" s="105"/>
      <c r="M709" s="106" t="str">
        <f t="shared" si="151"/>
        <v/>
      </c>
      <c r="N709" s="5" t="s">
        <v>1673</v>
      </c>
    </row>
    <row r="710" spans="1:14" s="3" customFormat="1" ht="30" customHeight="1" x14ac:dyDescent="0.25">
      <c r="A710" s="14" t="s">
        <v>14</v>
      </c>
      <c r="B710" s="16" t="s">
        <v>42</v>
      </c>
      <c r="C710" s="25" t="s">
        <v>61</v>
      </c>
      <c r="D710" s="168" t="s">
        <v>43</v>
      </c>
      <c r="E710" s="38">
        <v>0</v>
      </c>
      <c r="F710" s="39">
        <v>0</v>
      </c>
      <c r="G710" s="40">
        <v>0</v>
      </c>
      <c r="H710" s="41">
        <v>0</v>
      </c>
      <c r="I710" s="42">
        <f t="shared" ref="I710:I719" si="163">SUM(E710:H710)</f>
        <v>0</v>
      </c>
      <c r="J710" s="103" t="str">
        <f t="shared" ref="J710:L719" si="164">IFERROR(E710/$I710*100,"")</f>
        <v/>
      </c>
      <c r="K710" s="104" t="str">
        <f t="shared" si="164"/>
        <v/>
      </c>
      <c r="L710" s="105" t="str">
        <f t="shared" si="164"/>
        <v/>
      </c>
      <c r="M710" s="106" t="str">
        <f t="shared" si="151"/>
        <v/>
      </c>
    </row>
    <row r="711" spans="1:14" s="3" customFormat="1" ht="30" customHeight="1" x14ac:dyDescent="0.25">
      <c r="A711" s="14" t="s">
        <v>14</v>
      </c>
      <c r="B711" s="16" t="s">
        <v>42</v>
      </c>
      <c r="C711" s="25" t="s">
        <v>61</v>
      </c>
      <c r="D711" s="168" t="s">
        <v>44</v>
      </c>
      <c r="E711" s="38">
        <v>0</v>
      </c>
      <c r="F711" s="39">
        <v>0</v>
      </c>
      <c r="G711" s="40">
        <v>0</v>
      </c>
      <c r="H711" s="41">
        <v>0</v>
      </c>
      <c r="I711" s="42">
        <f t="shared" si="163"/>
        <v>0</v>
      </c>
      <c r="J711" s="103" t="str">
        <f t="shared" si="164"/>
        <v/>
      </c>
      <c r="K711" s="104" t="str">
        <f t="shared" si="164"/>
        <v/>
      </c>
      <c r="L711" s="105" t="str">
        <f t="shared" si="164"/>
        <v/>
      </c>
      <c r="M711" s="106" t="str">
        <f t="shared" si="151"/>
        <v/>
      </c>
    </row>
    <row r="712" spans="1:14" s="3" customFormat="1" ht="30" customHeight="1" x14ac:dyDescent="0.25">
      <c r="A712" s="14" t="s">
        <v>14</v>
      </c>
      <c r="B712" s="16" t="s">
        <v>42</v>
      </c>
      <c r="C712" s="25" t="s">
        <v>61</v>
      </c>
      <c r="D712" s="168" t="s">
        <v>45</v>
      </c>
      <c r="E712" s="38">
        <v>0</v>
      </c>
      <c r="F712" s="39">
        <v>0</v>
      </c>
      <c r="G712" s="40">
        <v>0</v>
      </c>
      <c r="H712" s="41">
        <v>0</v>
      </c>
      <c r="I712" s="42">
        <f t="shared" si="163"/>
        <v>0</v>
      </c>
      <c r="J712" s="103" t="str">
        <f t="shared" si="164"/>
        <v/>
      </c>
      <c r="K712" s="104" t="str">
        <f t="shared" si="164"/>
        <v/>
      </c>
      <c r="L712" s="105" t="str">
        <f t="shared" si="164"/>
        <v/>
      </c>
      <c r="M712" s="106" t="str">
        <f t="shared" si="151"/>
        <v/>
      </c>
    </row>
    <row r="713" spans="1:14" s="3" customFormat="1" ht="30" customHeight="1" x14ac:dyDescent="0.25">
      <c r="A713" s="14" t="s">
        <v>14</v>
      </c>
      <c r="B713" s="16" t="s">
        <v>42</v>
      </c>
      <c r="C713" s="25" t="s">
        <v>61</v>
      </c>
      <c r="D713" s="168" t="s">
        <v>46</v>
      </c>
      <c r="E713" s="38">
        <v>0</v>
      </c>
      <c r="F713" s="39">
        <v>0</v>
      </c>
      <c r="G713" s="40">
        <v>0</v>
      </c>
      <c r="H713" s="41">
        <v>0</v>
      </c>
      <c r="I713" s="42">
        <f t="shared" si="163"/>
        <v>0</v>
      </c>
      <c r="J713" s="103" t="str">
        <f t="shared" si="164"/>
        <v/>
      </c>
      <c r="K713" s="104" t="str">
        <f t="shared" si="164"/>
        <v/>
      </c>
      <c r="L713" s="105" t="str">
        <f t="shared" si="164"/>
        <v/>
      </c>
      <c r="M713" s="106" t="str">
        <f t="shared" si="151"/>
        <v/>
      </c>
    </row>
    <row r="714" spans="1:14" s="3" customFormat="1" ht="30" customHeight="1" x14ac:dyDescent="0.25">
      <c r="A714" s="14" t="s">
        <v>14</v>
      </c>
      <c r="B714" s="16" t="s">
        <v>42</v>
      </c>
      <c r="C714" s="25" t="s">
        <v>61</v>
      </c>
      <c r="D714" s="168" t="s">
        <v>51</v>
      </c>
      <c r="E714" s="38">
        <v>0</v>
      </c>
      <c r="F714" s="39">
        <v>0</v>
      </c>
      <c r="G714" s="40">
        <v>0</v>
      </c>
      <c r="H714" s="41">
        <v>0</v>
      </c>
      <c r="I714" s="42">
        <f t="shared" si="163"/>
        <v>0</v>
      </c>
      <c r="J714" s="103" t="str">
        <f t="shared" si="164"/>
        <v/>
      </c>
      <c r="K714" s="104" t="str">
        <f t="shared" si="164"/>
        <v/>
      </c>
      <c r="L714" s="105" t="str">
        <f t="shared" si="164"/>
        <v/>
      </c>
      <c r="M714" s="106" t="str">
        <f t="shared" si="151"/>
        <v/>
      </c>
    </row>
    <row r="715" spans="1:14" s="3" customFormat="1" ht="30" customHeight="1" x14ac:dyDescent="0.25">
      <c r="A715" s="14" t="s">
        <v>14</v>
      </c>
      <c r="B715" s="16" t="s">
        <v>42</v>
      </c>
      <c r="C715" s="25" t="s">
        <v>61</v>
      </c>
      <c r="D715" s="168" t="s">
        <v>52</v>
      </c>
      <c r="E715" s="38">
        <v>0</v>
      </c>
      <c r="F715" s="39">
        <v>0</v>
      </c>
      <c r="G715" s="40">
        <v>0</v>
      </c>
      <c r="H715" s="41">
        <v>0</v>
      </c>
      <c r="I715" s="42">
        <f t="shared" si="163"/>
        <v>0</v>
      </c>
      <c r="J715" s="103" t="str">
        <f t="shared" si="164"/>
        <v/>
      </c>
      <c r="K715" s="104" t="str">
        <f t="shared" si="164"/>
        <v/>
      </c>
      <c r="L715" s="105" t="str">
        <f t="shared" si="164"/>
        <v/>
      </c>
      <c r="M715" s="106" t="str">
        <f t="shared" si="151"/>
        <v/>
      </c>
    </row>
    <row r="716" spans="1:14" s="3" customFormat="1" ht="30" customHeight="1" x14ac:dyDescent="0.25">
      <c r="A716" s="14" t="s">
        <v>14</v>
      </c>
      <c r="B716" s="16" t="s">
        <v>42</v>
      </c>
      <c r="C716" s="25" t="s">
        <v>61</v>
      </c>
      <c r="D716" s="168" t="s">
        <v>47</v>
      </c>
      <c r="E716" s="38">
        <v>0</v>
      </c>
      <c r="F716" s="39">
        <v>0</v>
      </c>
      <c r="G716" s="40">
        <v>0</v>
      </c>
      <c r="H716" s="41">
        <v>0</v>
      </c>
      <c r="I716" s="42">
        <f t="shared" si="163"/>
        <v>0</v>
      </c>
      <c r="J716" s="103" t="str">
        <f t="shared" si="164"/>
        <v/>
      </c>
      <c r="K716" s="104" t="str">
        <f t="shared" si="164"/>
        <v/>
      </c>
      <c r="L716" s="105" t="str">
        <f t="shared" si="164"/>
        <v/>
      </c>
      <c r="M716" s="106" t="str">
        <f t="shared" si="151"/>
        <v/>
      </c>
    </row>
    <row r="717" spans="1:14" s="3" customFormat="1" ht="30" customHeight="1" x14ac:dyDescent="0.25">
      <c r="A717" s="14" t="s">
        <v>14</v>
      </c>
      <c r="B717" s="16" t="s">
        <v>42</v>
      </c>
      <c r="C717" s="25" t="s">
        <v>61</v>
      </c>
      <c r="D717" s="168" t="s">
        <v>48</v>
      </c>
      <c r="E717" s="38">
        <v>0</v>
      </c>
      <c r="F717" s="39">
        <v>0</v>
      </c>
      <c r="G717" s="40">
        <v>0</v>
      </c>
      <c r="H717" s="41">
        <v>0</v>
      </c>
      <c r="I717" s="42">
        <f t="shared" si="163"/>
        <v>0</v>
      </c>
      <c r="J717" s="103" t="str">
        <f t="shared" si="164"/>
        <v/>
      </c>
      <c r="K717" s="104" t="str">
        <f t="shared" si="164"/>
        <v/>
      </c>
      <c r="L717" s="105" t="str">
        <f t="shared" si="164"/>
        <v/>
      </c>
      <c r="M717" s="106" t="str">
        <f t="shared" si="151"/>
        <v/>
      </c>
    </row>
    <row r="718" spans="1:14" s="3" customFormat="1" ht="30" customHeight="1" x14ac:dyDescent="0.25">
      <c r="A718" s="14" t="s">
        <v>14</v>
      </c>
      <c r="B718" s="16" t="s">
        <v>42</v>
      </c>
      <c r="C718" s="25" t="s">
        <v>61</v>
      </c>
      <c r="D718" s="168" t="s">
        <v>49</v>
      </c>
      <c r="E718" s="38">
        <v>0</v>
      </c>
      <c r="F718" s="39">
        <v>0</v>
      </c>
      <c r="G718" s="40">
        <v>0</v>
      </c>
      <c r="H718" s="41">
        <v>0</v>
      </c>
      <c r="I718" s="42">
        <f t="shared" si="163"/>
        <v>0</v>
      </c>
      <c r="J718" s="103" t="str">
        <f t="shared" si="164"/>
        <v/>
      </c>
      <c r="K718" s="104" t="str">
        <f t="shared" si="164"/>
        <v/>
      </c>
      <c r="L718" s="105" t="str">
        <f t="shared" si="164"/>
        <v/>
      </c>
      <c r="M718" s="106" t="str">
        <f t="shared" si="151"/>
        <v/>
      </c>
    </row>
    <row r="719" spans="1:14" s="3" customFormat="1" ht="30" customHeight="1" x14ac:dyDescent="0.25">
      <c r="A719" s="14" t="s">
        <v>14</v>
      </c>
      <c r="B719" s="16" t="s">
        <v>42</v>
      </c>
      <c r="C719" s="25" t="s">
        <v>61</v>
      </c>
      <c r="D719" s="168" t="s">
        <v>50</v>
      </c>
      <c r="E719" s="38">
        <v>0</v>
      </c>
      <c r="F719" s="39">
        <v>0</v>
      </c>
      <c r="G719" s="40">
        <v>0</v>
      </c>
      <c r="H719" s="41">
        <v>0</v>
      </c>
      <c r="I719" s="42">
        <f t="shared" si="163"/>
        <v>0</v>
      </c>
      <c r="J719" s="103" t="str">
        <f t="shared" si="164"/>
        <v/>
      </c>
      <c r="K719" s="104" t="str">
        <f t="shared" si="164"/>
        <v/>
      </c>
      <c r="L719" s="105" t="str">
        <f t="shared" si="164"/>
        <v/>
      </c>
      <c r="M719" s="106" t="str">
        <f t="shared" si="151"/>
        <v/>
      </c>
    </row>
    <row r="720" spans="1:14" s="8" customFormat="1" ht="30" customHeight="1" x14ac:dyDescent="0.25">
      <c r="A720" s="14" t="s">
        <v>14</v>
      </c>
      <c r="B720" s="16" t="s">
        <v>42</v>
      </c>
      <c r="C720" s="25"/>
      <c r="D720" s="9" t="s">
        <v>29</v>
      </c>
      <c r="E720" s="38">
        <f>SUM(E710:E719)</f>
        <v>0</v>
      </c>
      <c r="F720" s="39">
        <f t="shared" ref="F720:I720" si="165">SUM(F710:F719)</f>
        <v>0</v>
      </c>
      <c r="G720" s="40">
        <f t="shared" si="165"/>
        <v>0</v>
      </c>
      <c r="H720" s="41">
        <f t="shared" si="165"/>
        <v>0</v>
      </c>
      <c r="I720" s="43">
        <f t="shared" si="165"/>
        <v>0</v>
      </c>
      <c r="J720" s="103" t="str">
        <f>IFERROR(E720/SUM($E720:$H720)*100,"")</f>
        <v/>
      </c>
      <c r="K720" s="104" t="str">
        <f>IFERROR(F720/SUM($E720:$H720)*100,"")</f>
        <v/>
      </c>
      <c r="L720" s="105" t="str">
        <f>IFERROR(G720/SUM($E720:$H720)*100,"")</f>
        <v/>
      </c>
      <c r="M720" s="106" t="str">
        <f t="shared" si="151"/>
        <v/>
      </c>
      <c r="N720" s="5" t="s">
        <v>1671</v>
      </c>
    </row>
    <row r="721" spans="1:14" ht="5.0999999999999996" customHeight="1" x14ac:dyDescent="0.25">
      <c r="A721" s="14" t="s">
        <v>14</v>
      </c>
      <c r="B721" s="16" t="s">
        <v>42</v>
      </c>
      <c r="C721"/>
      <c r="D721" s="57"/>
      <c r="E721" s="59"/>
      <c r="F721" s="59"/>
      <c r="G721" s="59"/>
      <c r="H721" s="59"/>
      <c r="I721" s="59"/>
      <c r="J721" s="103"/>
      <c r="K721" s="104"/>
      <c r="L721" s="105"/>
      <c r="M721" s="106" t="str">
        <f t="shared" si="151"/>
        <v/>
      </c>
    </row>
    <row r="722" spans="1:14" s="7" customFormat="1" ht="20.100000000000001" customHeight="1" x14ac:dyDescent="0.25">
      <c r="A722" s="14" t="s">
        <v>14</v>
      </c>
      <c r="B722" s="16" t="s">
        <v>62</v>
      </c>
      <c r="C722" s="25" t="s">
        <v>60</v>
      </c>
      <c r="D722" s="62" t="s">
        <v>63</v>
      </c>
      <c r="E722" s="63"/>
      <c r="F722" s="63"/>
      <c r="G722" s="63"/>
      <c r="H722" s="63"/>
      <c r="I722" s="64"/>
      <c r="J722" s="103"/>
      <c r="K722" s="104"/>
      <c r="L722" s="105"/>
      <c r="M722" s="106" t="str">
        <f t="shared" si="151"/>
        <v/>
      </c>
      <c r="N722" s="5" t="s">
        <v>1673</v>
      </c>
    </row>
    <row r="723" spans="1:14" s="8" customFormat="1" ht="30" customHeight="1" x14ac:dyDescent="0.25">
      <c r="A723" s="14" t="s">
        <v>14</v>
      </c>
      <c r="B723" s="16" t="s">
        <v>62</v>
      </c>
      <c r="C723" s="25"/>
      <c r="D723" s="168" t="s">
        <v>29</v>
      </c>
      <c r="E723" s="38">
        <f>SUM(E673,E662,E681,E720,E676,E684,E693,E699,E707,E696)</f>
        <v>0</v>
      </c>
      <c r="F723" s="39">
        <f>SUM(F673,F662,F681,F720,F676,F684,F693,F699,F707,F696)</f>
        <v>0</v>
      </c>
      <c r="G723" s="40">
        <f>SUM(G673,G662,G681,G720,G676,G684,G693,G699,G707,G696)</f>
        <v>0</v>
      </c>
      <c r="H723" s="41">
        <f>SUM(H673,H662,H681,H720,H676,H684,H693,H699,H707,H696)</f>
        <v>0</v>
      </c>
      <c r="I723" s="42">
        <f>SUM(I673,I662,I681,I720,I676,I684,I693,I699,I707,I696)</f>
        <v>0</v>
      </c>
      <c r="J723" s="103" t="str">
        <f>IFERROR(E723/SUM($E723:$H723)*100,"")</f>
        <v/>
      </c>
      <c r="K723" s="104" t="str">
        <f>IFERROR(F723/SUM($E723:$H723)*100,"")</f>
        <v/>
      </c>
      <c r="L723" s="105" t="str">
        <f>IFERROR(G723/SUM($E723:$H723)*100,"")</f>
        <v/>
      </c>
      <c r="M723" s="106" t="str">
        <f t="shared" si="151"/>
        <v/>
      </c>
      <c r="N723" s="5" t="s">
        <v>1671</v>
      </c>
    </row>
    <row r="724" spans="1:14" s="5" customFormat="1" ht="20.100000000000001" customHeight="1" x14ac:dyDescent="0.25">
      <c r="A724" s="14" t="s">
        <v>14</v>
      </c>
      <c r="B724" s="14"/>
      <c r="C724" s="25" t="s">
        <v>60</v>
      </c>
      <c r="D724" s="58"/>
      <c r="E724" s="60"/>
      <c r="F724" s="60"/>
      <c r="G724" s="60"/>
      <c r="H724" s="60"/>
      <c r="I724" s="60"/>
      <c r="J724" s="103"/>
      <c r="K724" s="104"/>
      <c r="L724" s="105"/>
      <c r="M724" s="106" t="str">
        <f t="shared" ref="M724:M787" si="166">IFERROR(H724/$I724*100,"")</f>
        <v/>
      </c>
    </row>
    <row r="725" spans="1:14" s="5" customFormat="1" ht="20.100000000000001" customHeight="1" x14ac:dyDescent="0.25">
      <c r="A725" s="14" t="s">
        <v>18</v>
      </c>
      <c r="B725" s="14"/>
      <c r="C725" s="25" t="s">
        <v>60</v>
      </c>
      <c r="D725" s="20" t="str">
        <f>IFERROR(A725&amp;"   ("&amp;COUNTIFS(#REF!,"="&amp;A725)&amp;")",A725)</f>
        <v>DOM</v>
      </c>
      <c r="E725" s="45"/>
      <c r="F725" s="45"/>
      <c r="G725" s="45"/>
      <c r="H725" s="45"/>
      <c r="I725" s="46"/>
      <c r="J725" s="103"/>
      <c r="K725" s="104"/>
      <c r="L725" s="105"/>
      <c r="M725" s="106" t="str">
        <f t="shared" si="166"/>
        <v/>
      </c>
      <c r="N725" s="5" t="s">
        <v>1672</v>
      </c>
    </row>
    <row r="726" spans="1:14" s="5" customFormat="1" ht="20.100000000000001" customHeight="1" x14ac:dyDescent="0.25">
      <c r="A726" s="14" t="s">
        <v>18</v>
      </c>
      <c r="B726" s="16" t="s">
        <v>20</v>
      </c>
      <c r="C726" s="25" t="s">
        <v>60</v>
      </c>
      <c r="D726" s="6" t="s">
        <v>20</v>
      </c>
      <c r="E726" s="37"/>
      <c r="F726" s="37"/>
      <c r="G726" s="37"/>
      <c r="H726" s="37"/>
      <c r="I726" s="48"/>
      <c r="J726" s="103"/>
      <c r="K726" s="104"/>
      <c r="L726" s="105"/>
      <c r="M726" s="106" t="str">
        <f t="shared" si="166"/>
        <v/>
      </c>
      <c r="N726" s="5" t="s">
        <v>1673</v>
      </c>
    </row>
    <row r="727" spans="1:14" s="5" customFormat="1" ht="30" customHeight="1" x14ac:dyDescent="0.25">
      <c r="A727" s="14" t="s">
        <v>18</v>
      </c>
      <c r="B727" s="16" t="s">
        <v>20</v>
      </c>
      <c r="C727" s="25" t="s">
        <v>61</v>
      </c>
      <c r="D727" s="168" t="s">
        <v>25</v>
      </c>
      <c r="E727" s="38">
        <v>0</v>
      </c>
      <c r="F727" s="39">
        <v>0</v>
      </c>
      <c r="G727" s="40">
        <v>0</v>
      </c>
      <c r="H727" s="41">
        <v>0</v>
      </c>
      <c r="I727" s="42">
        <f>SUM(E727:H727)</f>
        <v>0</v>
      </c>
      <c r="J727" s="103" t="str">
        <f>IFERROR(E727/$I727*100,"")</f>
        <v/>
      </c>
      <c r="K727" s="104" t="str">
        <f>IFERROR(F727/$I727*100,"")</f>
        <v/>
      </c>
      <c r="L727" s="105" t="str">
        <f>IFERROR(G727/$I727*100,"")</f>
        <v/>
      </c>
      <c r="M727" s="106" t="str">
        <f t="shared" si="166"/>
        <v/>
      </c>
      <c r="N727" s="5" t="s">
        <v>1671</v>
      </c>
    </row>
    <row r="728" spans="1:14" ht="5.0999999999999996" customHeight="1" x14ac:dyDescent="0.25">
      <c r="A728" s="14" t="s">
        <v>18</v>
      </c>
      <c r="B728" s="16" t="s">
        <v>20</v>
      </c>
      <c r="C728"/>
      <c r="J728" s="103"/>
      <c r="K728" s="104"/>
      <c r="L728" s="105"/>
      <c r="M728" s="106" t="str">
        <f t="shared" si="166"/>
        <v/>
      </c>
    </row>
    <row r="729" spans="1:14" s="5" customFormat="1" ht="20.100000000000001" customHeight="1" x14ac:dyDescent="0.25">
      <c r="A729" s="14" t="s">
        <v>18</v>
      </c>
      <c r="B729" s="16" t="s">
        <v>26</v>
      </c>
      <c r="C729" s="25" t="s">
        <v>60</v>
      </c>
      <c r="D729" s="6" t="s">
        <v>98</v>
      </c>
      <c r="E729" s="37"/>
      <c r="F729" s="37"/>
      <c r="G729" s="37"/>
      <c r="H729" s="37"/>
      <c r="I729" s="47"/>
      <c r="J729" s="103"/>
      <c r="K729" s="104"/>
      <c r="L729" s="105"/>
      <c r="M729" s="106" t="str">
        <f t="shared" si="166"/>
        <v/>
      </c>
      <c r="N729" s="5" t="s">
        <v>1673</v>
      </c>
    </row>
    <row r="730" spans="1:14" s="5" customFormat="1" ht="30" customHeight="1" x14ac:dyDescent="0.25">
      <c r="A730" s="14" t="s">
        <v>18</v>
      </c>
      <c r="B730" s="16" t="s">
        <v>26</v>
      </c>
      <c r="C730" s="25" t="s">
        <v>61</v>
      </c>
      <c r="D730" s="169" t="s">
        <v>21</v>
      </c>
      <c r="E730" s="38">
        <v>0</v>
      </c>
      <c r="F730" s="39">
        <v>0</v>
      </c>
      <c r="G730" s="40">
        <v>0</v>
      </c>
      <c r="H730" s="41">
        <v>0</v>
      </c>
      <c r="I730" s="42">
        <f t="shared" ref="I730:I737" si="167">SUM(E730:H730)</f>
        <v>0</v>
      </c>
      <c r="J730" s="103" t="str">
        <f t="shared" ref="J730:L737" si="168">IFERROR(E730/$I730*100,"")</f>
        <v/>
      </c>
      <c r="K730" s="104" t="str">
        <f t="shared" si="168"/>
        <v/>
      </c>
      <c r="L730" s="105" t="str">
        <f t="shared" si="168"/>
        <v/>
      </c>
      <c r="M730" s="106" t="str">
        <f t="shared" si="166"/>
        <v/>
      </c>
    </row>
    <row r="731" spans="1:14" s="5" customFormat="1" ht="30" customHeight="1" x14ac:dyDescent="0.25">
      <c r="A731" s="14" t="s">
        <v>18</v>
      </c>
      <c r="B731" s="16" t="s">
        <v>26</v>
      </c>
      <c r="C731" s="25" t="s">
        <v>61</v>
      </c>
      <c r="D731" s="169" t="s">
        <v>22</v>
      </c>
      <c r="E731" s="38">
        <v>0</v>
      </c>
      <c r="F731" s="39">
        <v>0</v>
      </c>
      <c r="G731" s="40">
        <v>0</v>
      </c>
      <c r="H731" s="41">
        <v>0</v>
      </c>
      <c r="I731" s="42">
        <f t="shared" si="167"/>
        <v>0</v>
      </c>
      <c r="J731" s="103" t="str">
        <f t="shared" si="168"/>
        <v/>
      </c>
      <c r="K731" s="104" t="str">
        <f t="shared" si="168"/>
        <v/>
      </c>
      <c r="L731" s="105" t="str">
        <f t="shared" si="168"/>
        <v/>
      </c>
      <c r="M731" s="106" t="str">
        <f t="shared" si="166"/>
        <v/>
      </c>
    </row>
    <row r="732" spans="1:14" s="5" customFormat="1" ht="30" customHeight="1" x14ac:dyDescent="0.25">
      <c r="A732" s="14" t="s">
        <v>18</v>
      </c>
      <c r="B732" s="16" t="s">
        <v>26</v>
      </c>
      <c r="C732" s="25" t="s">
        <v>61</v>
      </c>
      <c r="D732" s="169" t="s">
        <v>27</v>
      </c>
      <c r="E732" s="38">
        <v>0</v>
      </c>
      <c r="F732" s="39">
        <v>0</v>
      </c>
      <c r="G732" s="40">
        <v>0</v>
      </c>
      <c r="H732" s="41">
        <v>0</v>
      </c>
      <c r="I732" s="42">
        <f t="shared" si="167"/>
        <v>0</v>
      </c>
      <c r="J732" s="103" t="str">
        <f t="shared" si="168"/>
        <v/>
      </c>
      <c r="K732" s="104" t="str">
        <f t="shared" si="168"/>
        <v/>
      </c>
      <c r="L732" s="105" t="str">
        <f t="shared" si="168"/>
        <v/>
      </c>
      <c r="M732" s="106" t="str">
        <f t="shared" si="166"/>
        <v/>
      </c>
    </row>
    <row r="733" spans="1:14" s="5" customFormat="1" ht="30" customHeight="1" x14ac:dyDescent="0.25">
      <c r="A733" s="14" t="s">
        <v>18</v>
      </c>
      <c r="B733" s="16" t="s">
        <v>26</v>
      </c>
      <c r="C733" s="25" t="s">
        <v>61</v>
      </c>
      <c r="D733" s="169" t="s">
        <v>23</v>
      </c>
      <c r="E733" s="38">
        <v>0</v>
      </c>
      <c r="F733" s="39">
        <v>0</v>
      </c>
      <c r="G733" s="40">
        <v>0</v>
      </c>
      <c r="H733" s="41">
        <v>0</v>
      </c>
      <c r="I733" s="42">
        <f t="shared" si="167"/>
        <v>0</v>
      </c>
      <c r="J733" s="103" t="str">
        <f t="shared" si="168"/>
        <v/>
      </c>
      <c r="K733" s="104" t="str">
        <f t="shared" si="168"/>
        <v/>
      </c>
      <c r="L733" s="105" t="str">
        <f t="shared" si="168"/>
        <v/>
      </c>
      <c r="M733" s="106" t="str">
        <f t="shared" si="166"/>
        <v/>
      </c>
    </row>
    <row r="734" spans="1:14" s="5" customFormat="1" ht="30" customHeight="1" x14ac:dyDescent="0.25">
      <c r="A734" s="14" t="s">
        <v>18</v>
      </c>
      <c r="B734" s="16" t="s">
        <v>26</v>
      </c>
      <c r="C734" s="25" t="s">
        <v>61</v>
      </c>
      <c r="D734" s="169" t="s">
        <v>24</v>
      </c>
      <c r="E734" s="38">
        <v>0</v>
      </c>
      <c r="F734" s="39">
        <v>0</v>
      </c>
      <c r="G734" s="40">
        <v>0</v>
      </c>
      <c r="H734" s="41">
        <v>0</v>
      </c>
      <c r="I734" s="42">
        <f t="shared" si="167"/>
        <v>0</v>
      </c>
      <c r="J734" s="103" t="str">
        <f t="shared" si="168"/>
        <v/>
      </c>
      <c r="K734" s="104" t="str">
        <f t="shared" si="168"/>
        <v/>
      </c>
      <c r="L734" s="105" t="str">
        <f t="shared" si="168"/>
        <v/>
      </c>
      <c r="M734" s="106" t="str">
        <f t="shared" si="166"/>
        <v/>
      </c>
    </row>
    <row r="735" spans="1:14" s="3" customFormat="1" ht="30" customHeight="1" x14ac:dyDescent="0.25">
      <c r="A735" s="14" t="s">
        <v>18</v>
      </c>
      <c r="B735" s="16" t="s">
        <v>26</v>
      </c>
      <c r="C735" s="25" t="s">
        <v>61</v>
      </c>
      <c r="D735" s="169" t="s">
        <v>41</v>
      </c>
      <c r="E735" s="38">
        <v>0</v>
      </c>
      <c r="F735" s="39">
        <v>0</v>
      </c>
      <c r="G735" s="40">
        <v>0</v>
      </c>
      <c r="H735" s="41">
        <v>0</v>
      </c>
      <c r="I735" s="42">
        <f t="shared" si="167"/>
        <v>0</v>
      </c>
      <c r="J735" s="103" t="str">
        <f t="shared" si="168"/>
        <v/>
      </c>
      <c r="K735" s="104" t="str">
        <f t="shared" si="168"/>
        <v/>
      </c>
      <c r="L735" s="105" t="str">
        <f t="shared" si="168"/>
        <v/>
      </c>
      <c r="M735" s="106" t="str">
        <f t="shared" si="166"/>
        <v/>
      </c>
    </row>
    <row r="736" spans="1:14" s="5" customFormat="1" ht="30" customHeight="1" x14ac:dyDescent="0.25">
      <c r="A736" s="14" t="s">
        <v>18</v>
      </c>
      <c r="B736" s="16" t="s">
        <v>26</v>
      </c>
      <c r="C736" s="25" t="s">
        <v>61</v>
      </c>
      <c r="D736" s="169" t="s">
        <v>28</v>
      </c>
      <c r="E736" s="38">
        <v>0</v>
      </c>
      <c r="F736" s="39">
        <v>0</v>
      </c>
      <c r="G736" s="40">
        <v>0</v>
      </c>
      <c r="H736" s="41">
        <v>0</v>
      </c>
      <c r="I736" s="42">
        <f t="shared" si="167"/>
        <v>0</v>
      </c>
      <c r="J736" s="103" t="str">
        <f t="shared" si="168"/>
        <v/>
      </c>
      <c r="K736" s="104" t="str">
        <f t="shared" si="168"/>
        <v/>
      </c>
      <c r="L736" s="105" t="str">
        <f t="shared" si="168"/>
        <v/>
      </c>
      <c r="M736" s="106" t="str">
        <f t="shared" si="166"/>
        <v/>
      </c>
    </row>
    <row r="737" spans="1:14" s="5" customFormat="1" ht="30" customHeight="1" x14ac:dyDescent="0.25">
      <c r="A737" s="14" t="s">
        <v>18</v>
      </c>
      <c r="B737" s="16" t="s">
        <v>26</v>
      </c>
      <c r="C737" s="25" t="s">
        <v>61</v>
      </c>
      <c r="D737" s="169" t="s">
        <v>40</v>
      </c>
      <c r="E737" s="38">
        <v>0</v>
      </c>
      <c r="F737" s="39">
        <v>0</v>
      </c>
      <c r="G737" s="40">
        <v>0</v>
      </c>
      <c r="H737" s="41">
        <v>0</v>
      </c>
      <c r="I737" s="42">
        <f t="shared" si="167"/>
        <v>0</v>
      </c>
      <c r="J737" s="103" t="str">
        <f t="shared" si="168"/>
        <v/>
      </c>
      <c r="K737" s="104" t="str">
        <f t="shared" si="168"/>
        <v/>
      </c>
      <c r="L737" s="105" t="str">
        <f t="shared" si="168"/>
        <v/>
      </c>
      <c r="M737" s="106" t="str">
        <f t="shared" si="166"/>
        <v/>
      </c>
    </row>
    <row r="738" spans="1:14" s="5" customFormat="1" ht="30" customHeight="1" x14ac:dyDescent="0.25">
      <c r="A738" s="14" t="s">
        <v>18</v>
      </c>
      <c r="B738" s="16" t="s">
        <v>26</v>
      </c>
      <c r="C738" s="25"/>
      <c r="D738" s="9" t="s">
        <v>29</v>
      </c>
      <c r="E738" s="38">
        <f>SUM(E730:E737)</f>
        <v>0</v>
      </c>
      <c r="F738" s="39">
        <f t="shared" ref="F738:I738" si="169">SUM(F730:F737)</f>
        <v>0</v>
      </c>
      <c r="G738" s="40">
        <f t="shared" si="169"/>
        <v>0</v>
      </c>
      <c r="H738" s="41">
        <f t="shared" si="169"/>
        <v>0</v>
      </c>
      <c r="I738" s="43">
        <f t="shared" si="169"/>
        <v>0</v>
      </c>
      <c r="J738" s="103" t="str">
        <f>IFERROR(E738/SUM($E738:$H738)*100,"")</f>
        <v/>
      </c>
      <c r="K738" s="104" t="str">
        <f>IFERROR(F738/SUM($E738:$H738)*100,"")</f>
        <v/>
      </c>
      <c r="L738" s="105" t="str">
        <f>IFERROR(G738/SUM($E738:$H738)*100,"")</f>
        <v/>
      </c>
      <c r="M738" s="106" t="str">
        <f t="shared" si="166"/>
        <v/>
      </c>
      <c r="N738" s="5" t="s">
        <v>1671</v>
      </c>
    </row>
    <row r="739" spans="1:14" ht="5.0999999999999996" customHeight="1" x14ac:dyDescent="0.25">
      <c r="A739" s="14" t="s">
        <v>18</v>
      </c>
      <c r="B739" s="16" t="s">
        <v>26</v>
      </c>
      <c r="C739"/>
      <c r="D739" s="57"/>
      <c r="E739" s="59"/>
      <c r="F739" s="59"/>
      <c r="G739" s="59"/>
      <c r="H739" s="59"/>
      <c r="I739" s="59"/>
      <c r="J739" s="103"/>
      <c r="K739" s="104"/>
      <c r="L739" s="105"/>
      <c r="M739" s="106" t="str">
        <f t="shared" si="166"/>
        <v/>
      </c>
    </row>
    <row r="740" spans="1:14" s="5" customFormat="1" ht="20.100000000000001" customHeight="1" x14ac:dyDescent="0.25">
      <c r="A740" s="14" t="s">
        <v>18</v>
      </c>
      <c r="B740" s="16" t="s">
        <v>64</v>
      </c>
      <c r="C740" s="25" t="s">
        <v>60</v>
      </c>
      <c r="D740" s="6" t="s">
        <v>65</v>
      </c>
      <c r="E740" s="37"/>
      <c r="F740" s="37"/>
      <c r="G740" s="37"/>
      <c r="H740" s="37"/>
      <c r="I740" s="48"/>
      <c r="J740" s="103"/>
      <c r="K740" s="104"/>
      <c r="L740" s="105"/>
      <c r="M740" s="106" t="str">
        <f t="shared" si="166"/>
        <v/>
      </c>
      <c r="N740" s="5" t="s">
        <v>1673</v>
      </c>
    </row>
    <row r="741" spans="1:14" s="5" customFormat="1" ht="30" customHeight="1" x14ac:dyDescent="0.25">
      <c r="A741" s="14" t="s">
        <v>18</v>
      </c>
      <c r="B741" s="16" t="s">
        <v>64</v>
      </c>
      <c r="C741" s="25" t="s">
        <v>61</v>
      </c>
      <c r="D741" s="168" t="s">
        <v>66</v>
      </c>
      <c r="E741" s="38">
        <v>0</v>
      </c>
      <c r="F741" s="39">
        <v>0</v>
      </c>
      <c r="G741" s="40">
        <v>0</v>
      </c>
      <c r="H741" s="41">
        <v>0</v>
      </c>
      <c r="I741" s="42">
        <f>SUM(E741:H741)</f>
        <v>0</v>
      </c>
      <c r="J741" s="103" t="str">
        <f>IFERROR(E741/$I741*100,"")</f>
        <v/>
      </c>
      <c r="K741" s="104" t="str">
        <f>IFERROR(F741/$I741*100,"")</f>
        <v/>
      </c>
      <c r="L741" s="105" t="str">
        <f>IFERROR(G741/$I741*100,"")</f>
        <v/>
      </c>
      <c r="M741" s="106" t="str">
        <f t="shared" si="166"/>
        <v/>
      </c>
      <c r="N741" s="5" t="s">
        <v>1671</v>
      </c>
    </row>
    <row r="742" spans="1:14" ht="5.0999999999999996" customHeight="1" x14ac:dyDescent="0.25">
      <c r="A742" s="14" t="s">
        <v>18</v>
      </c>
      <c r="B742" s="16" t="s">
        <v>64</v>
      </c>
      <c r="C742"/>
      <c r="J742" s="103"/>
      <c r="K742" s="104"/>
      <c r="L742" s="105"/>
      <c r="M742" s="106" t="str">
        <f t="shared" si="166"/>
        <v/>
      </c>
    </row>
    <row r="743" spans="1:14" s="5" customFormat="1" ht="20.100000000000001" customHeight="1" x14ac:dyDescent="0.25">
      <c r="A743" s="14" t="s">
        <v>18</v>
      </c>
      <c r="B743" s="16" t="s">
        <v>55</v>
      </c>
      <c r="C743" s="25" t="s">
        <v>60</v>
      </c>
      <c r="D743" s="6" t="s">
        <v>55</v>
      </c>
      <c r="E743" s="37"/>
      <c r="F743" s="37"/>
      <c r="G743" s="37"/>
      <c r="H743" s="37"/>
      <c r="I743" s="48"/>
      <c r="J743" s="103"/>
      <c r="K743" s="104"/>
      <c r="L743" s="105"/>
      <c r="M743" s="106" t="str">
        <f t="shared" si="166"/>
        <v/>
      </c>
      <c r="N743" s="5" t="s">
        <v>1673</v>
      </c>
    </row>
    <row r="744" spans="1:14" s="3" customFormat="1" ht="30" customHeight="1" x14ac:dyDescent="0.25">
      <c r="A744" s="14" t="s">
        <v>18</v>
      </c>
      <c r="B744" s="16" t="s">
        <v>55</v>
      </c>
      <c r="C744" s="25" t="s">
        <v>61</v>
      </c>
      <c r="D744" s="168" t="s">
        <v>56</v>
      </c>
      <c r="E744" s="38">
        <v>0</v>
      </c>
      <c r="F744" s="39">
        <v>0</v>
      </c>
      <c r="G744" s="40">
        <v>0</v>
      </c>
      <c r="H744" s="41">
        <v>0</v>
      </c>
      <c r="I744" s="42">
        <f>SUM(E744:H744)</f>
        <v>0</v>
      </c>
      <c r="J744" s="103" t="str">
        <f t="shared" ref="J744:L746" si="170">IFERROR(E744/$I744*100,"")</f>
        <v/>
      </c>
      <c r="K744" s="104" t="str">
        <f t="shared" si="170"/>
        <v/>
      </c>
      <c r="L744" s="105" t="str">
        <f t="shared" si="170"/>
        <v/>
      </c>
      <c r="M744" s="106" t="str">
        <f t="shared" si="166"/>
        <v/>
      </c>
      <c r="N744" s="5"/>
    </row>
    <row r="745" spans="1:14" s="3" customFormat="1" ht="30" customHeight="1" x14ac:dyDescent="0.25">
      <c r="A745" s="14" t="s">
        <v>18</v>
      </c>
      <c r="B745" s="16" t="s">
        <v>55</v>
      </c>
      <c r="C745" s="25" t="s">
        <v>61</v>
      </c>
      <c r="D745" s="168" t="s">
        <v>57</v>
      </c>
      <c r="E745" s="38">
        <v>0</v>
      </c>
      <c r="F745" s="39">
        <v>0</v>
      </c>
      <c r="G745" s="40">
        <v>0</v>
      </c>
      <c r="H745" s="41">
        <v>0</v>
      </c>
      <c r="I745" s="42">
        <f>SUM(E745:H745)</f>
        <v>0</v>
      </c>
      <c r="J745" s="103" t="str">
        <f t="shared" si="170"/>
        <v/>
      </c>
      <c r="K745" s="104" t="str">
        <f t="shared" si="170"/>
        <v/>
      </c>
      <c r="L745" s="105" t="str">
        <f t="shared" si="170"/>
        <v/>
      </c>
      <c r="M745" s="106" t="str">
        <f t="shared" si="166"/>
        <v/>
      </c>
    </row>
    <row r="746" spans="1:14" s="3" customFormat="1" ht="30" customHeight="1" x14ac:dyDescent="0.25">
      <c r="A746" s="14" t="s">
        <v>18</v>
      </c>
      <c r="B746" s="16" t="s">
        <v>55</v>
      </c>
      <c r="C746" s="25"/>
      <c r="D746" s="168" t="s">
        <v>29</v>
      </c>
      <c r="E746" s="38">
        <f>SUM(E744:E745)</f>
        <v>0</v>
      </c>
      <c r="F746" s="39">
        <f t="shared" ref="F746:I746" si="171">SUM(F744:F745)</f>
        <v>0</v>
      </c>
      <c r="G746" s="40">
        <f t="shared" si="171"/>
        <v>0</v>
      </c>
      <c r="H746" s="41">
        <f t="shared" si="171"/>
        <v>0</v>
      </c>
      <c r="I746" s="42">
        <f t="shared" si="171"/>
        <v>0</v>
      </c>
      <c r="J746" s="103" t="str">
        <f t="shared" si="170"/>
        <v/>
      </c>
      <c r="K746" s="104" t="str">
        <f t="shared" si="170"/>
        <v/>
      </c>
      <c r="L746" s="105" t="str">
        <f t="shared" si="170"/>
        <v/>
      </c>
      <c r="M746" s="106" t="str">
        <f t="shared" si="166"/>
        <v/>
      </c>
      <c r="N746" s="5" t="s">
        <v>1671</v>
      </c>
    </row>
    <row r="747" spans="1:14" ht="5.0999999999999996" customHeight="1" x14ac:dyDescent="0.25">
      <c r="A747" s="14" t="s">
        <v>18</v>
      </c>
      <c r="B747" s="16" t="s">
        <v>55</v>
      </c>
      <c r="C747"/>
      <c r="D747" s="57"/>
      <c r="E747" s="59"/>
      <c r="F747" s="59"/>
      <c r="G747" s="59"/>
      <c r="H747" s="59"/>
      <c r="I747" s="59"/>
      <c r="J747" s="103"/>
      <c r="K747" s="104"/>
      <c r="L747" s="105"/>
      <c r="M747" s="106" t="str">
        <f t="shared" si="166"/>
        <v/>
      </c>
    </row>
    <row r="748" spans="1:14" s="5" customFormat="1" ht="20.100000000000001" customHeight="1" x14ac:dyDescent="0.25">
      <c r="A748" s="14" t="s">
        <v>18</v>
      </c>
      <c r="B748" s="16" t="s">
        <v>74</v>
      </c>
      <c r="C748" s="25" t="s">
        <v>60</v>
      </c>
      <c r="D748" s="6" t="s">
        <v>75</v>
      </c>
      <c r="E748" s="37"/>
      <c r="F748" s="37"/>
      <c r="G748" s="37"/>
      <c r="H748" s="37"/>
      <c r="I748" s="48"/>
      <c r="J748" s="103"/>
      <c r="K748" s="104"/>
      <c r="L748" s="105"/>
      <c r="M748" s="106" t="str">
        <f t="shared" si="166"/>
        <v/>
      </c>
      <c r="N748" s="5" t="s">
        <v>1673</v>
      </c>
    </row>
    <row r="749" spans="1:14" s="3" customFormat="1" ht="30" customHeight="1" x14ac:dyDescent="0.25">
      <c r="A749" s="14" t="s">
        <v>18</v>
      </c>
      <c r="B749" s="16" t="s">
        <v>74</v>
      </c>
      <c r="C749" s="25" t="s">
        <v>61</v>
      </c>
      <c r="D749" s="168" t="s">
        <v>77</v>
      </c>
      <c r="E749" s="38">
        <v>0</v>
      </c>
      <c r="F749" s="39">
        <v>0</v>
      </c>
      <c r="G749" s="40">
        <v>0</v>
      </c>
      <c r="H749" s="41">
        <v>0</v>
      </c>
      <c r="I749" s="42">
        <f>SUM(E749:H749)</f>
        <v>0</v>
      </c>
      <c r="J749" s="103" t="str">
        <f>IFERROR(E749/$I749*100,"")</f>
        <v/>
      </c>
      <c r="K749" s="104" t="str">
        <f>IFERROR(F749/$I749*100,"")</f>
        <v/>
      </c>
      <c r="L749" s="105" t="str">
        <f>IFERROR(G749/$I749*100,"")</f>
        <v/>
      </c>
      <c r="M749" s="106" t="str">
        <f t="shared" si="166"/>
        <v/>
      </c>
      <c r="N749" s="3" t="s">
        <v>1671</v>
      </c>
    </row>
    <row r="750" spans="1:14" ht="5.0999999999999996" customHeight="1" x14ac:dyDescent="0.25">
      <c r="A750" s="14" t="s">
        <v>18</v>
      </c>
      <c r="B750" s="16" t="s">
        <v>74</v>
      </c>
      <c r="C750"/>
      <c r="D750" s="57"/>
      <c r="E750" s="59"/>
      <c r="F750" s="59"/>
      <c r="G750" s="59"/>
      <c r="H750" s="59"/>
      <c r="I750" s="59"/>
      <c r="J750" s="103"/>
      <c r="K750" s="104"/>
      <c r="L750" s="105"/>
      <c r="M750" s="106" t="str">
        <f t="shared" si="166"/>
        <v/>
      </c>
    </row>
    <row r="751" spans="1:14" s="5" customFormat="1" ht="20.100000000000001" customHeight="1" x14ac:dyDescent="0.25">
      <c r="A751" s="14" t="s">
        <v>18</v>
      </c>
      <c r="B751" s="16" t="s">
        <v>78</v>
      </c>
      <c r="C751" s="25" t="s">
        <v>60</v>
      </c>
      <c r="D751" s="6" t="s">
        <v>80</v>
      </c>
      <c r="E751" s="37"/>
      <c r="F751" s="37"/>
      <c r="G751" s="37"/>
      <c r="H751" s="37"/>
      <c r="I751" s="48"/>
      <c r="J751" s="103"/>
      <c r="K751" s="104"/>
      <c r="L751" s="105"/>
      <c r="M751" s="106" t="str">
        <f t="shared" si="166"/>
        <v/>
      </c>
      <c r="N751" s="5" t="s">
        <v>1673</v>
      </c>
    </row>
    <row r="752" spans="1:14" s="5" customFormat="1" ht="30" customHeight="1" x14ac:dyDescent="0.25">
      <c r="A752" s="14" t="s">
        <v>18</v>
      </c>
      <c r="B752" s="16" t="s">
        <v>78</v>
      </c>
      <c r="C752" s="25" t="s">
        <v>61</v>
      </c>
      <c r="D752" s="168" t="s">
        <v>81</v>
      </c>
      <c r="E752" s="38">
        <v>0</v>
      </c>
      <c r="F752" s="39">
        <v>0</v>
      </c>
      <c r="G752" s="40">
        <v>0</v>
      </c>
      <c r="H752" s="41">
        <v>0</v>
      </c>
      <c r="I752" s="42">
        <f t="shared" ref="I752:I758" si="172">SUM(E752:H752)</f>
        <v>0</v>
      </c>
      <c r="J752" s="103" t="str">
        <f t="shared" ref="J752:L758" si="173">IFERROR(E752/$I752*100,"")</f>
        <v/>
      </c>
      <c r="K752" s="104" t="str">
        <f t="shared" si="173"/>
        <v/>
      </c>
      <c r="L752" s="105" t="str">
        <f t="shared" si="173"/>
        <v/>
      </c>
      <c r="M752" s="106" t="str">
        <f t="shared" si="166"/>
        <v/>
      </c>
    </row>
    <row r="753" spans="1:14" s="5" customFormat="1" ht="30" customHeight="1" x14ac:dyDescent="0.25">
      <c r="A753" s="14" t="s">
        <v>18</v>
      </c>
      <c r="B753" s="16" t="s">
        <v>78</v>
      </c>
      <c r="C753" s="25" t="s">
        <v>61</v>
      </c>
      <c r="D753" s="168" t="s">
        <v>82</v>
      </c>
      <c r="E753" s="38">
        <v>0</v>
      </c>
      <c r="F753" s="39">
        <v>0</v>
      </c>
      <c r="G753" s="40">
        <v>0</v>
      </c>
      <c r="H753" s="41">
        <v>0</v>
      </c>
      <c r="I753" s="42">
        <f t="shared" si="172"/>
        <v>0</v>
      </c>
      <c r="J753" s="103" t="str">
        <f t="shared" si="173"/>
        <v/>
      </c>
      <c r="K753" s="104" t="str">
        <f t="shared" si="173"/>
        <v/>
      </c>
      <c r="L753" s="105" t="str">
        <f t="shared" si="173"/>
        <v/>
      </c>
      <c r="M753" s="106" t="str">
        <f t="shared" si="166"/>
        <v/>
      </c>
    </row>
    <row r="754" spans="1:14" s="5" customFormat="1" ht="30" customHeight="1" x14ac:dyDescent="0.25">
      <c r="A754" s="14" t="s">
        <v>18</v>
      </c>
      <c r="B754" s="16" t="s">
        <v>78</v>
      </c>
      <c r="C754" s="25" t="s">
        <v>61</v>
      </c>
      <c r="D754" s="168" t="s">
        <v>83</v>
      </c>
      <c r="E754" s="38">
        <v>0</v>
      </c>
      <c r="F754" s="39">
        <v>0</v>
      </c>
      <c r="G754" s="40">
        <v>0</v>
      </c>
      <c r="H754" s="41">
        <v>0</v>
      </c>
      <c r="I754" s="42">
        <f t="shared" si="172"/>
        <v>0</v>
      </c>
      <c r="J754" s="103" t="str">
        <f t="shared" si="173"/>
        <v/>
      </c>
      <c r="K754" s="104" t="str">
        <f t="shared" si="173"/>
        <v/>
      </c>
      <c r="L754" s="105" t="str">
        <f t="shared" si="173"/>
        <v/>
      </c>
      <c r="M754" s="106" t="str">
        <f t="shared" si="166"/>
        <v/>
      </c>
    </row>
    <row r="755" spans="1:14" s="5" customFormat="1" ht="30" customHeight="1" x14ac:dyDescent="0.25">
      <c r="A755" s="14" t="s">
        <v>18</v>
      </c>
      <c r="B755" s="16" t="s">
        <v>78</v>
      </c>
      <c r="C755" s="25" t="s">
        <v>61</v>
      </c>
      <c r="D755" s="168" t="s">
        <v>88</v>
      </c>
      <c r="E755" s="38">
        <v>0</v>
      </c>
      <c r="F755" s="39">
        <v>0</v>
      </c>
      <c r="G755" s="40">
        <v>0</v>
      </c>
      <c r="H755" s="41">
        <v>0</v>
      </c>
      <c r="I755" s="42">
        <f t="shared" si="172"/>
        <v>0</v>
      </c>
      <c r="J755" s="103" t="str">
        <f t="shared" si="173"/>
        <v/>
      </c>
      <c r="K755" s="104" t="str">
        <f t="shared" si="173"/>
        <v/>
      </c>
      <c r="L755" s="105" t="str">
        <f t="shared" si="173"/>
        <v/>
      </c>
      <c r="M755" s="106" t="str">
        <f t="shared" si="166"/>
        <v/>
      </c>
    </row>
    <row r="756" spans="1:14" s="5" customFormat="1" ht="30" customHeight="1" x14ac:dyDescent="0.25">
      <c r="A756" s="14" t="s">
        <v>18</v>
      </c>
      <c r="B756" s="16" t="s">
        <v>78</v>
      </c>
      <c r="C756" s="25" t="s">
        <v>61</v>
      </c>
      <c r="D756" s="168" t="s">
        <v>87</v>
      </c>
      <c r="E756" s="38">
        <v>0</v>
      </c>
      <c r="F756" s="39">
        <v>0</v>
      </c>
      <c r="G756" s="40">
        <v>0</v>
      </c>
      <c r="H756" s="41">
        <v>0</v>
      </c>
      <c r="I756" s="42">
        <f t="shared" si="172"/>
        <v>0</v>
      </c>
      <c r="J756" s="103" t="str">
        <f t="shared" si="173"/>
        <v/>
      </c>
      <c r="K756" s="104" t="str">
        <f t="shared" si="173"/>
        <v/>
      </c>
      <c r="L756" s="105" t="str">
        <f t="shared" si="173"/>
        <v/>
      </c>
      <c r="M756" s="106" t="str">
        <f t="shared" si="166"/>
        <v/>
      </c>
    </row>
    <row r="757" spans="1:14" s="5" customFormat="1" ht="30" customHeight="1" x14ac:dyDescent="0.25">
      <c r="A757" s="14" t="s">
        <v>18</v>
      </c>
      <c r="B757" s="16" t="s">
        <v>78</v>
      </c>
      <c r="C757" s="25" t="s">
        <v>61</v>
      </c>
      <c r="D757" s="168" t="s">
        <v>84</v>
      </c>
      <c r="E757" s="38">
        <v>0</v>
      </c>
      <c r="F757" s="39">
        <v>0</v>
      </c>
      <c r="G757" s="40">
        <v>0</v>
      </c>
      <c r="H757" s="41">
        <v>0</v>
      </c>
      <c r="I757" s="42">
        <f t="shared" si="172"/>
        <v>0</v>
      </c>
      <c r="J757" s="103" t="str">
        <f t="shared" si="173"/>
        <v/>
      </c>
      <c r="K757" s="104" t="str">
        <f t="shared" si="173"/>
        <v/>
      </c>
      <c r="L757" s="105" t="str">
        <f t="shared" si="173"/>
        <v/>
      </c>
      <c r="M757" s="106" t="str">
        <f t="shared" si="166"/>
        <v/>
      </c>
    </row>
    <row r="758" spans="1:14" s="5" customFormat="1" ht="30" customHeight="1" x14ac:dyDescent="0.25">
      <c r="A758" s="14" t="s">
        <v>18</v>
      </c>
      <c r="B758" s="16" t="s">
        <v>78</v>
      </c>
      <c r="C758" s="25" t="s">
        <v>86</v>
      </c>
      <c r="D758" s="168" t="s">
        <v>79</v>
      </c>
      <c r="E758" s="38">
        <v>0</v>
      </c>
      <c r="F758" s="39">
        <v>0</v>
      </c>
      <c r="G758" s="40">
        <v>0</v>
      </c>
      <c r="H758" s="41">
        <v>0</v>
      </c>
      <c r="I758" s="42">
        <f t="shared" si="172"/>
        <v>0</v>
      </c>
      <c r="J758" s="103" t="str">
        <f t="shared" si="173"/>
        <v/>
      </c>
      <c r="K758" s="104" t="str">
        <f t="shared" si="173"/>
        <v/>
      </c>
      <c r="L758" s="105" t="str">
        <f t="shared" si="173"/>
        <v/>
      </c>
      <c r="M758" s="106" t="str">
        <f t="shared" si="166"/>
        <v/>
      </c>
      <c r="N758" s="5" t="s">
        <v>1671</v>
      </c>
    </row>
    <row r="759" spans="1:14" ht="5.0999999999999996" customHeight="1" x14ac:dyDescent="0.25">
      <c r="A759" s="14" t="s">
        <v>18</v>
      </c>
      <c r="B759" s="16" t="s">
        <v>78</v>
      </c>
      <c r="C759"/>
      <c r="D759" s="57"/>
      <c r="E759" s="59"/>
      <c r="F759" s="59"/>
      <c r="G759" s="59"/>
      <c r="H759" s="59"/>
      <c r="I759" s="59"/>
      <c r="J759" s="103"/>
      <c r="K759" s="104"/>
      <c r="L759" s="105"/>
      <c r="M759" s="106" t="str">
        <f t="shared" si="166"/>
        <v/>
      </c>
    </row>
    <row r="760" spans="1:14" s="5" customFormat="1" ht="20.100000000000001" customHeight="1" x14ac:dyDescent="0.25">
      <c r="A760" s="14" t="s">
        <v>18</v>
      </c>
      <c r="B760" s="16" t="s">
        <v>1642</v>
      </c>
      <c r="C760" s="25" t="s">
        <v>60</v>
      </c>
      <c r="D760" s="6" t="s">
        <v>1644</v>
      </c>
      <c r="E760" s="37"/>
      <c r="F760" s="37"/>
      <c r="G760" s="37"/>
      <c r="H760" s="37"/>
      <c r="I760" s="48"/>
      <c r="J760" s="103"/>
      <c r="K760" s="104"/>
      <c r="L760" s="105"/>
      <c r="M760" s="106" t="str">
        <f t="shared" si="166"/>
        <v/>
      </c>
      <c r="N760" s="5" t="s">
        <v>1673</v>
      </c>
    </row>
    <row r="761" spans="1:14" s="5" customFormat="1" ht="30" customHeight="1" x14ac:dyDescent="0.25">
      <c r="A761" s="14" t="s">
        <v>18</v>
      </c>
      <c r="B761" s="16" t="s">
        <v>1642</v>
      </c>
      <c r="C761" s="25" t="s">
        <v>61</v>
      </c>
      <c r="D761" s="168" t="s">
        <v>1643</v>
      </c>
      <c r="E761" s="38">
        <v>0</v>
      </c>
      <c r="F761" s="39">
        <v>0</v>
      </c>
      <c r="G761" s="40">
        <v>0</v>
      </c>
      <c r="H761" s="41">
        <v>0</v>
      </c>
      <c r="I761" s="42">
        <f t="shared" ref="I761" si="174">SUM(E761:H761)</f>
        <v>0</v>
      </c>
      <c r="J761" s="103" t="str">
        <f>IFERROR(E761/$I761*100,"")</f>
        <v/>
      </c>
      <c r="K761" s="104" t="str">
        <f>IFERROR(F761/$I761*100,"")</f>
        <v/>
      </c>
      <c r="L761" s="105" t="str">
        <f>IFERROR(G761/$I761*100,"")</f>
        <v/>
      </c>
      <c r="M761" s="106" t="str">
        <f t="shared" si="166"/>
        <v/>
      </c>
      <c r="N761" s="5" t="s">
        <v>1671</v>
      </c>
    </row>
    <row r="762" spans="1:14" ht="5.0999999999999996" customHeight="1" x14ac:dyDescent="0.25">
      <c r="A762" s="14" t="s">
        <v>18</v>
      </c>
      <c r="B762" s="16" t="s">
        <v>1642</v>
      </c>
      <c r="C762"/>
      <c r="D762" s="57"/>
      <c r="E762" s="59"/>
      <c r="F762" s="59"/>
      <c r="G762" s="59"/>
      <c r="H762" s="59"/>
      <c r="I762" s="59"/>
      <c r="J762" s="103"/>
      <c r="K762" s="104"/>
      <c r="L762" s="105"/>
      <c r="M762" s="106" t="str">
        <f t="shared" si="166"/>
        <v/>
      </c>
    </row>
    <row r="763" spans="1:14" s="5" customFormat="1" ht="20.100000000000001" customHeight="1" x14ac:dyDescent="0.25">
      <c r="A763" s="14" t="s">
        <v>18</v>
      </c>
      <c r="B763" s="16" t="s">
        <v>91</v>
      </c>
      <c r="C763" s="25" t="s">
        <v>60</v>
      </c>
      <c r="D763" s="6" t="s">
        <v>89</v>
      </c>
      <c r="E763" s="37"/>
      <c r="F763" s="37"/>
      <c r="G763" s="37"/>
      <c r="H763" s="37"/>
      <c r="I763" s="48"/>
      <c r="J763" s="103"/>
      <c r="K763" s="104"/>
      <c r="L763" s="105"/>
      <c r="M763" s="106" t="str">
        <f t="shared" si="166"/>
        <v/>
      </c>
      <c r="N763" s="5" t="s">
        <v>1673</v>
      </c>
    </row>
    <row r="764" spans="1:14" s="5" customFormat="1" ht="30" customHeight="1" x14ac:dyDescent="0.25">
      <c r="A764" s="14" t="s">
        <v>18</v>
      </c>
      <c r="B764" s="16" t="s">
        <v>91</v>
      </c>
      <c r="C764" s="25" t="s">
        <v>61</v>
      </c>
      <c r="D764" s="168" t="s">
        <v>90</v>
      </c>
      <c r="E764" s="38">
        <v>0</v>
      </c>
      <c r="F764" s="39">
        <v>0</v>
      </c>
      <c r="G764" s="40">
        <v>0</v>
      </c>
      <c r="H764" s="41">
        <v>0</v>
      </c>
      <c r="I764" s="42">
        <f t="shared" ref="I764" si="175">SUM(E764:H764)</f>
        <v>0</v>
      </c>
      <c r="J764" s="103" t="str">
        <f>IFERROR(E764/$I764*100,"")</f>
        <v/>
      </c>
      <c r="K764" s="104" t="str">
        <f>IFERROR(F764/$I764*100,"")</f>
        <v/>
      </c>
      <c r="L764" s="105" t="str">
        <f>IFERROR(G764/$I764*100,"")</f>
        <v/>
      </c>
      <c r="M764" s="106" t="str">
        <f t="shared" si="166"/>
        <v/>
      </c>
      <c r="N764" s="5" t="s">
        <v>1671</v>
      </c>
    </row>
    <row r="765" spans="1:14" ht="5.0999999999999996" customHeight="1" x14ac:dyDescent="0.25">
      <c r="A765" s="14" t="s">
        <v>18</v>
      </c>
      <c r="B765" s="16" t="s">
        <v>91</v>
      </c>
      <c r="C765"/>
      <c r="D765" s="57"/>
      <c r="E765" s="59"/>
      <c r="F765" s="59"/>
      <c r="G765" s="59"/>
      <c r="H765" s="59"/>
      <c r="I765" s="59"/>
      <c r="J765" s="103"/>
      <c r="K765" s="104"/>
      <c r="L765" s="105"/>
      <c r="M765" s="106" t="str">
        <f t="shared" si="166"/>
        <v/>
      </c>
    </row>
    <row r="766" spans="1:14" s="5" customFormat="1" ht="20.100000000000001" customHeight="1" x14ac:dyDescent="0.25">
      <c r="A766" s="14" t="s">
        <v>18</v>
      </c>
      <c r="B766" s="16" t="s">
        <v>1637</v>
      </c>
      <c r="C766" s="25" t="s">
        <v>60</v>
      </c>
      <c r="D766" s="6" t="s">
        <v>1636</v>
      </c>
      <c r="E766" s="37"/>
      <c r="F766" s="37"/>
      <c r="G766" s="37"/>
      <c r="H766" s="37"/>
      <c r="I766" s="48"/>
      <c r="J766" s="103"/>
      <c r="K766" s="104"/>
      <c r="L766" s="105"/>
      <c r="M766" s="106" t="str">
        <f t="shared" si="166"/>
        <v/>
      </c>
      <c r="N766" s="5" t="s">
        <v>1673</v>
      </c>
    </row>
    <row r="767" spans="1:14" s="3" customFormat="1" ht="30" customHeight="1" x14ac:dyDescent="0.25">
      <c r="A767" s="14" t="s">
        <v>18</v>
      </c>
      <c r="B767" s="16" t="s">
        <v>1637</v>
      </c>
      <c r="C767" s="25" t="s">
        <v>61</v>
      </c>
      <c r="D767" s="168" t="s">
        <v>1638</v>
      </c>
      <c r="E767" s="38">
        <v>0</v>
      </c>
      <c r="F767" s="39">
        <v>0</v>
      </c>
      <c r="G767" s="40">
        <v>0</v>
      </c>
      <c r="H767" s="41">
        <v>0</v>
      </c>
      <c r="I767" s="42">
        <f t="shared" ref="I767:I772" si="176">SUM(E767:H767)</f>
        <v>0</v>
      </c>
      <c r="J767" s="103" t="str">
        <f t="shared" ref="J767:L771" si="177">IFERROR(E767/$I767*100,"")</f>
        <v/>
      </c>
      <c r="K767" s="104" t="str">
        <f t="shared" si="177"/>
        <v/>
      </c>
      <c r="L767" s="105" t="str">
        <f t="shared" si="177"/>
        <v/>
      </c>
      <c r="M767" s="106" t="str">
        <f t="shared" si="166"/>
        <v/>
      </c>
    </row>
    <row r="768" spans="1:14" s="3" customFormat="1" ht="30" customHeight="1" x14ac:dyDescent="0.25">
      <c r="A768" s="14" t="s">
        <v>18</v>
      </c>
      <c r="B768" s="16" t="s">
        <v>1637</v>
      </c>
      <c r="C768" s="25" t="s">
        <v>61</v>
      </c>
      <c r="D768" s="168" t="s">
        <v>1669</v>
      </c>
      <c r="E768" s="38">
        <v>0</v>
      </c>
      <c r="F768" s="39">
        <v>0</v>
      </c>
      <c r="G768" s="40">
        <v>0</v>
      </c>
      <c r="H768" s="41">
        <v>0</v>
      </c>
      <c r="I768" s="42">
        <f t="shared" si="176"/>
        <v>0</v>
      </c>
      <c r="J768" s="103" t="str">
        <f t="shared" si="177"/>
        <v/>
      </c>
      <c r="K768" s="104" t="str">
        <f t="shared" si="177"/>
        <v/>
      </c>
      <c r="L768" s="105" t="str">
        <f t="shared" si="177"/>
        <v/>
      </c>
      <c r="M768" s="106" t="str">
        <f t="shared" si="166"/>
        <v/>
      </c>
    </row>
    <row r="769" spans="1:14" s="3" customFormat="1" ht="30" customHeight="1" x14ac:dyDescent="0.25">
      <c r="A769" s="14" t="s">
        <v>18</v>
      </c>
      <c r="B769" s="16" t="s">
        <v>1637</v>
      </c>
      <c r="C769" s="25" t="s">
        <v>61</v>
      </c>
      <c r="D769" s="168" t="s">
        <v>1640</v>
      </c>
      <c r="E769" s="38">
        <v>0</v>
      </c>
      <c r="F769" s="39">
        <v>0</v>
      </c>
      <c r="G769" s="40">
        <v>0</v>
      </c>
      <c r="H769" s="41">
        <v>0</v>
      </c>
      <c r="I769" s="42">
        <f t="shared" si="176"/>
        <v>0</v>
      </c>
      <c r="J769" s="103" t="str">
        <f t="shared" si="177"/>
        <v/>
      </c>
      <c r="K769" s="104" t="str">
        <f t="shared" si="177"/>
        <v/>
      </c>
      <c r="L769" s="105" t="str">
        <f t="shared" si="177"/>
        <v/>
      </c>
      <c r="M769" s="106" t="str">
        <f t="shared" si="166"/>
        <v/>
      </c>
    </row>
    <row r="770" spans="1:14" s="3" customFormat="1" ht="30" customHeight="1" x14ac:dyDescent="0.25">
      <c r="A770" s="14" t="s">
        <v>18</v>
      </c>
      <c r="B770" s="16" t="s">
        <v>1637</v>
      </c>
      <c r="C770" s="25" t="s">
        <v>61</v>
      </c>
      <c r="D770" s="168" t="s">
        <v>1639</v>
      </c>
      <c r="E770" s="38">
        <v>0</v>
      </c>
      <c r="F770" s="39">
        <v>0</v>
      </c>
      <c r="G770" s="40">
        <v>0</v>
      </c>
      <c r="H770" s="41">
        <v>0</v>
      </c>
      <c r="I770" s="42">
        <f t="shared" si="176"/>
        <v>0</v>
      </c>
      <c r="J770" s="103" t="str">
        <f t="shared" si="177"/>
        <v/>
      </c>
      <c r="K770" s="104" t="str">
        <f t="shared" si="177"/>
        <v/>
      </c>
      <c r="L770" s="105" t="str">
        <f t="shared" si="177"/>
        <v/>
      </c>
      <c r="M770" s="106" t="str">
        <f t="shared" si="166"/>
        <v/>
      </c>
    </row>
    <row r="771" spans="1:14" s="3" customFormat="1" ht="30" customHeight="1" x14ac:dyDescent="0.25">
      <c r="A771" s="14" t="s">
        <v>18</v>
      </c>
      <c r="B771" s="16" t="s">
        <v>1637</v>
      </c>
      <c r="C771" s="25" t="s">
        <v>61</v>
      </c>
      <c r="D771" s="168" t="s">
        <v>1641</v>
      </c>
      <c r="E771" s="38">
        <v>0</v>
      </c>
      <c r="F771" s="39">
        <v>0</v>
      </c>
      <c r="G771" s="40">
        <v>0</v>
      </c>
      <c r="H771" s="41">
        <v>0</v>
      </c>
      <c r="I771" s="42">
        <f t="shared" si="176"/>
        <v>0</v>
      </c>
      <c r="J771" s="103" t="str">
        <f t="shared" si="177"/>
        <v/>
      </c>
      <c r="K771" s="104" t="str">
        <f t="shared" si="177"/>
        <v/>
      </c>
      <c r="L771" s="105" t="str">
        <f t="shared" si="177"/>
        <v/>
      </c>
      <c r="M771" s="106" t="str">
        <f t="shared" si="166"/>
        <v/>
      </c>
    </row>
    <row r="772" spans="1:14" s="3" customFormat="1" ht="30" customHeight="1" x14ac:dyDescent="0.25">
      <c r="A772" s="14" t="s">
        <v>18</v>
      </c>
      <c r="B772" s="16" t="s">
        <v>1637</v>
      </c>
      <c r="C772" s="25"/>
      <c r="D772" s="168" t="s">
        <v>29</v>
      </c>
      <c r="E772" s="38">
        <f>SUM(E767:E771)</f>
        <v>0</v>
      </c>
      <c r="F772" s="39">
        <f>SUM(F767:F771)</f>
        <v>0</v>
      </c>
      <c r="G772" s="40">
        <f>SUM(G767:G771)</f>
        <v>0</v>
      </c>
      <c r="H772" s="41">
        <f>SUM(H767:H771)</f>
        <v>0</v>
      </c>
      <c r="I772" s="42">
        <f t="shared" si="176"/>
        <v>0</v>
      </c>
      <c r="J772" s="103" t="str">
        <f>IFERROR(E772/SUM($E772:$H772)*100,"")</f>
        <v/>
      </c>
      <c r="K772" s="104" t="str">
        <f>IFERROR(F772/SUM($E772:$H772)*100,"")</f>
        <v/>
      </c>
      <c r="L772" s="105" t="str">
        <f>IFERROR(G772/SUM($E772:$H772)*100,"")</f>
        <v/>
      </c>
      <c r="M772" s="106" t="str">
        <f t="shared" si="166"/>
        <v/>
      </c>
      <c r="N772" s="5" t="s">
        <v>1671</v>
      </c>
    </row>
    <row r="773" spans="1:14" ht="5.0999999999999996" customHeight="1" x14ac:dyDescent="0.25">
      <c r="A773" s="14" t="s">
        <v>18</v>
      </c>
      <c r="B773" s="16" t="s">
        <v>1637</v>
      </c>
      <c r="C773"/>
      <c r="J773" s="103"/>
      <c r="K773" s="104"/>
      <c r="L773" s="105"/>
      <c r="M773" s="106" t="str">
        <f t="shared" si="166"/>
        <v/>
      </c>
    </row>
    <row r="774" spans="1:14" s="5" customFormat="1" ht="20.100000000000001" customHeight="1" x14ac:dyDescent="0.25">
      <c r="A774" s="14" t="s">
        <v>18</v>
      </c>
      <c r="B774" s="16" t="s">
        <v>42</v>
      </c>
      <c r="C774" s="25" t="s">
        <v>60</v>
      </c>
      <c r="D774" s="6" t="s">
        <v>1744</v>
      </c>
      <c r="E774" s="37"/>
      <c r="F774" s="37"/>
      <c r="G774" s="37"/>
      <c r="H774" s="37"/>
      <c r="I774" s="48"/>
      <c r="J774" s="103"/>
      <c r="K774" s="104"/>
      <c r="L774" s="105"/>
      <c r="M774" s="106" t="str">
        <f t="shared" si="166"/>
        <v/>
      </c>
      <c r="N774" s="5" t="s">
        <v>1673</v>
      </c>
    </row>
    <row r="775" spans="1:14" s="3" customFormat="1" ht="30" customHeight="1" x14ac:dyDescent="0.25">
      <c r="A775" s="14" t="s">
        <v>18</v>
      </c>
      <c r="B775" s="16" t="s">
        <v>42</v>
      </c>
      <c r="C775" s="25" t="s">
        <v>61</v>
      </c>
      <c r="D775" s="168" t="s">
        <v>43</v>
      </c>
      <c r="E775" s="38">
        <v>0</v>
      </c>
      <c r="F775" s="39">
        <v>0</v>
      </c>
      <c r="G775" s="40">
        <v>0</v>
      </c>
      <c r="H775" s="41">
        <v>0</v>
      </c>
      <c r="I775" s="42">
        <f t="shared" ref="I775:I784" si="178">SUM(E775:H775)</f>
        <v>0</v>
      </c>
      <c r="J775" s="103" t="str">
        <f t="shared" ref="J775:L784" si="179">IFERROR(E775/$I775*100,"")</f>
        <v/>
      </c>
      <c r="K775" s="104" t="str">
        <f t="shared" si="179"/>
        <v/>
      </c>
      <c r="L775" s="105" t="str">
        <f t="shared" si="179"/>
        <v/>
      </c>
      <c r="M775" s="106" t="str">
        <f t="shared" si="166"/>
        <v/>
      </c>
    </row>
    <row r="776" spans="1:14" s="3" customFormat="1" ht="30" customHeight="1" x14ac:dyDescent="0.25">
      <c r="A776" s="14" t="s">
        <v>18</v>
      </c>
      <c r="B776" s="16" t="s">
        <v>42</v>
      </c>
      <c r="C776" s="25" t="s">
        <v>61</v>
      </c>
      <c r="D776" s="168" t="s">
        <v>44</v>
      </c>
      <c r="E776" s="38">
        <v>0</v>
      </c>
      <c r="F776" s="39">
        <v>0</v>
      </c>
      <c r="G776" s="40">
        <v>0</v>
      </c>
      <c r="H776" s="41">
        <v>0</v>
      </c>
      <c r="I776" s="42">
        <f t="shared" si="178"/>
        <v>0</v>
      </c>
      <c r="J776" s="103" t="str">
        <f t="shared" si="179"/>
        <v/>
      </c>
      <c r="K776" s="104" t="str">
        <f t="shared" si="179"/>
        <v/>
      </c>
      <c r="L776" s="105" t="str">
        <f t="shared" si="179"/>
        <v/>
      </c>
      <c r="M776" s="106" t="str">
        <f t="shared" si="166"/>
        <v/>
      </c>
    </row>
    <row r="777" spans="1:14" s="3" customFormat="1" ht="30" customHeight="1" x14ac:dyDescent="0.25">
      <c r="A777" s="14" t="s">
        <v>18</v>
      </c>
      <c r="B777" s="16" t="s">
        <v>42</v>
      </c>
      <c r="C777" s="25" t="s">
        <v>61</v>
      </c>
      <c r="D777" s="168" t="s">
        <v>45</v>
      </c>
      <c r="E777" s="38">
        <v>0</v>
      </c>
      <c r="F777" s="39">
        <v>0</v>
      </c>
      <c r="G777" s="40">
        <v>0</v>
      </c>
      <c r="H777" s="41">
        <v>0</v>
      </c>
      <c r="I777" s="42">
        <f t="shared" si="178"/>
        <v>0</v>
      </c>
      <c r="J777" s="103" t="str">
        <f t="shared" si="179"/>
        <v/>
      </c>
      <c r="K777" s="104" t="str">
        <f t="shared" si="179"/>
        <v/>
      </c>
      <c r="L777" s="105" t="str">
        <f t="shared" si="179"/>
        <v/>
      </c>
      <c r="M777" s="106" t="str">
        <f t="shared" si="166"/>
        <v/>
      </c>
    </row>
    <row r="778" spans="1:14" s="3" customFormat="1" ht="30" customHeight="1" x14ac:dyDescent="0.25">
      <c r="A778" s="14" t="s">
        <v>18</v>
      </c>
      <c r="B778" s="16" t="s">
        <v>42</v>
      </c>
      <c r="C778" s="25" t="s">
        <v>61</v>
      </c>
      <c r="D778" s="168" t="s">
        <v>46</v>
      </c>
      <c r="E778" s="38">
        <v>0</v>
      </c>
      <c r="F778" s="39">
        <v>0</v>
      </c>
      <c r="G778" s="40">
        <v>0</v>
      </c>
      <c r="H778" s="41">
        <v>0</v>
      </c>
      <c r="I778" s="42">
        <f t="shared" si="178"/>
        <v>0</v>
      </c>
      <c r="J778" s="103" t="str">
        <f t="shared" si="179"/>
        <v/>
      </c>
      <c r="K778" s="104" t="str">
        <f t="shared" si="179"/>
        <v/>
      </c>
      <c r="L778" s="105" t="str">
        <f t="shared" si="179"/>
        <v/>
      </c>
      <c r="M778" s="106" t="str">
        <f t="shared" si="166"/>
        <v/>
      </c>
    </row>
    <row r="779" spans="1:14" s="3" customFormat="1" ht="30" customHeight="1" x14ac:dyDescent="0.25">
      <c r="A779" s="14" t="s">
        <v>18</v>
      </c>
      <c r="B779" s="16" t="s">
        <v>42</v>
      </c>
      <c r="C779" s="25" t="s">
        <v>61</v>
      </c>
      <c r="D779" s="168" t="s">
        <v>51</v>
      </c>
      <c r="E779" s="38">
        <v>0</v>
      </c>
      <c r="F779" s="39">
        <v>0</v>
      </c>
      <c r="G779" s="40">
        <v>0</v>
      </c>
      <c r="H779" s="41">
        <v>0</v>
      </c>
      <c r="I779" s="42">
        <f t="shared" si="178"/>
        <v>0</v>
      </c>
      <c r="J779" s="103" t="str">
        <f t="shared" si="179"/>
        <v/>
      </c>
      <c r="K779" s="104" t="str">
        <f t="shared" si="179"/>
        <v/>
      </c>
      <c r="L779" s="105" t="str">
        <f t="shared" si="179"/>
        <v/>
      </c>
      <c r="M779" s="106" t="str">
        <f t="shared" si="166"/>
        <v/>
      </c>
    </row>
    <row r="780" spans="1:14" s="3" customFormat="1" ht="30" customHeight="1" x14ac:dyDescent="0.25">
      <c r="A780" s="14" t="s">
        <v>18</v>
      </c>
      <c r="B780" s="16" t="s">
        <v>42</v>
      </c>
      <c r="C780" s="25" t="s">
        <v>61</v>
      </c>
      <c r="D780" s="168" t="s">
        <v>52</v>
      </c>
      <c r="E780" s="38">
        <v>0</v>
      </c>
      <c r="F780" s="39">
        <v>0</v>
      </c>
      <c r="G780" s="40">
        <v>0</v>
      </c>
      <c r="H780" s="41">
        <v>0</v>
      </c>
      <c r="I780" s="42">
        <f t="shared" si="178"/>
        <v>0</v>
      </c>
      <c r="J780" s="103" t="str">
        <f t="shared" si="179"/>
        <v/>
      </c>
      <c r="K780" s="104" t="str">
        <f t="shared" si="179"/>
        <v/>
      </c>
      <c r="L780" s="105" t="str">
        <f t="shared" si="179"/>
        <v/>
      </c>
      <c r="M780" s="106" t="str">
        <f t="shared" si="166"/>
        <v/>
      </c>
    </row>
    <row r="781" spans="1:14" s="3" customFormat="1" ht="30" customHeight="1" x14ac:dyDescent="0.25">
      <c r="A781" s="14" t="s">
        <v>18</v>
      </c>
      <c r="B781" s="16" t="s">
        <v>42</v>
      </c>
      <c r="C781" s="25" t="s">
        <v>61</v>
      </c>
      <c r="D781" s="168" t="s">
        <v>47</v>
      </c>
      <c r="E781" s="38">
        <v>0</v>
      </c>
      <c r="F781" s="39">
        <v>0</v>
      </c>
      <c r="G781" s="40">
        <v>0</v>
      </c>
      <c r="H781" s="41">
        <v>0</v>
      </c>
      <c r="I781" s="42">
        <f t="shared" si="178"/>
        <v>0</v>
      </c>
      <c r="J781" s="103" t="str">
        <f t="shared" si="179"/>
        <v/>
      </c>
      <c r="K781" s="104" t="str">
        <f t="shared" si="179"/>
        <v/>
      </c>
      <c r="L781" s="105" t="str">
        <f t="shared" si="179"/>
        <v/>
      </c>
      <c r="M781" s="106" t="str">
        <f t="shared" si="166"/>
        <v/>
      </c>
    </row>
    <row r="782" spans="1:14" s="3" customFormat="1" ht="30" customHeight="1" x14ac:dyDescent="0.25">
      <c r="A782" s="14" t="s">
        <v>18</v>
      </c>
      <c r="B782" s="16" t="s">
        <v>42</v>
      </c>
      <c r="C782" s="25" t="s">
        <v>61</v>
      </c>
      <c r="D782" s="168" t="s">
        <v>48</v>
      </c>
      <c r="E782" s="38">
        <v>0</v>
      </c>
      <c r="F782" s="39">
        <v>0</v>
      </c>
      <c r="G782" s="40">
        <v>0</v>
      </c>
      <c r="H782" s="41">
        <v>0</v>
      </c>
      <c r="I782" s="42">
        <f t="shared" si="178"/>
        <v>0</v>
      </c>
      <c r="J782" s="103" t="str">
        <f t="shared" si="179"/>
        <v/>
      </c>
      <c r="K782" s="104" t="str">
        <f t="shared" si="179"/>
        <v/>
      </c>
      <c r="L782" s="105" t="str">
        <f t="shared" si="179"/>
        <v/>
      </c>
      <c r="M782" s="106" t="str">
        <f t="shared" si="166"/>
        <v/>
      </c>
    </row>
    <row r="783" spans="1:14" s="3" customFormat="1" ht="30" customHeight="1" x14ac:dyDescent="0.25">
      <c r="A783" s="14" t="s">
        <v>18</v>
      </c>
      <c r="B783" s="16" t="s">
        <v>42</v>
      </c>
      <c r="C783" s="25" t="s">
        <v>61</v>
      </c>
      <c r="D783" s="168" t="s">
        <v>49</v>
      </c>
      <c r="E783" s="38">
        <v>0</v>
      </c>
      <c r="F783" s="39">
        <v>0</v>
      </c>
      <c r="G783" s="40">
        <v>0</v>
      </c>
      <c r="H783" s="41">
        <v>0</v>
      </c>
      <c r="I783" s="42">
        <f t="shared" si="178"/>
        <v>0</v>
      </c>
      <c r="J783" s="103" t="str">
        <f t="shared" si="179"/>
        <v/>
      </c>
      <c r="K783" s="104" t="str">
        <f t="shared" si="179"/>
        <v/>
      </c>
      <c r="L783" s="105" t="str">
        <f t="shared" si="179"/>
        <v/>
      </c>
      <c r="M783" s="106" t="str">
        <f t="shared" si="166"/>
        <v/>
      </c>
    </row>
    <row r="784" spans="1:14" s="3" customFormat="1" ht="30" customHeight="1" x14ac:dyDescent="0.25">
      <c r="A784" s="14" t="s">
        <v>18</v>
      </c>
      <c r="B784" s="16" t="s">
        <v>42</v>
      </c>
      <c r="C784" s="25" t="s">
        <v>61</v>
      </c>
      <c r="D784" s="168" t="s">
        <v>50</v>
      </c>
      <c r="E784" s="38">
        <v>0</v>
      </c>
      <c r="F784" s="39">
        <v>0</v>
      </c>
      <c r="G784" s="40">
        <v>0</v>
      </c>
      <c r="H784" s="41">
        <v>0</v>
      </c>
      <c r="I784" s="42">
        <f t="shared" si="178"/>
        <v>0</v>
      </c>
      <c r="J784" s="103" t="str">
        <f t="shared" si="179"/>
        <v/>
      </c>
      <c r="K784" s="104" t="str">
        <f t="shared" si="179"/>
        <v/>
      </c>
      <c r="L784" s="105" t="str">
        <f t="shared" si="179"/>
        <v/>
      </c>
      <c r="M784" s="106" t="str">
        <f t="shared" si="166"/>
        <v/>
      </c>
    </row>
    <row r="785" spans="1:14" s="8" customFormat="1" ht="30" customHeight="1" x14ac:dyDescent="0.25">
      <c r="A785" s="14" t="s">
        <v>18</v>
      </c>
      <c r="B785" s="16" t="s">
        <v>42</v>
      </c>
      <c r="C785" s="25"/>
      <c r="D785" s="9" t="s">
        <v>29</v>
      </c>
      <c r="E785" s="38">
        <f>SUM(E775:E784)</f>
        <v>0</v>
      </c>
      <c r="F785" s="39">
        <f t="shared" ref="F785:I785" si="180">SUM(F775:F784)</f>
        <v>0</v>
      </c>
      <c r="G785" s="40">
        <f t="shared" si="180"/>
        <v>0</v>
      </c>
      <c r="H785" s="41">
        <f t="shared" si="180"/>
        <v>0</v>
      </c>
      <c r="I785" s="43">
        <f t="shared" si="180"/>
        <v>0</v>
      </c>
      <c r="J785" s="103" t="str">
        <f>IFERROR(E785/SUM($E785:$H785)*100,"")</f>
        <v/>
      </c>
      <c r="K785" s="104" t="str">
        <f>IFERROR(F785/SUM($E785:$H785)*100,"")</f>
        <v/>
      </c>
      <c r="L785" s="105" t="str">
        <f>IFERROR(G785/SUM($E785:$H785)*100,"")</f>
        <v/>
      </c>
      <c r="M785" s="106" t="str">
        <f t="shared" si="166"/>
        <v/>
      </c>
      <c r="N785" s="5" t="s">
        <v>1671</v>
      </c>
    </row>
    <row r="786" spans="1:14" ht="5.0999999999999996" customHeight="1" x14ac:dyDescent="0.25">
      <c r="A786" s="14" t="s">
        <v>18</v>
      </c>
      <c r="B786" s="16" t="s">
        <v>42</v>
      </c>
      <c r="C786"/>
      <c r="D786" s="57"/>
      <c r="E786" s="59"/>
      <c r="F786" s="59"/>
      <c r="G786" s="59"/>
      <c r="H786" s="59"/>
      <c r="I786" s="59"/>
      <c r="J786" s="103"/>
      <c r="K786" s="104"/>
      <c r="L786" s="105"/>
      <c r="M786" s="106" t="str">
        <f t="shared" si="166"/>
        <v/>
      </c>
    </row>
    <row r="787" spans="1:14" s="7" customFormat="1" ht="20.100000000000001" customHeight="1" x14ac:dyDescent="0.25">
      <c r="A787" s="14" t="s">
        <v>18</v>
      </c>
      <c r="B787" s="16" t="s">
        <v>62</v>
      </c>
      <c r="C787" s="25" t="s">
        <v>60</v>
      </c>
      <c r="D787" s="62" t="s">
        <v>63</v>
      </c>
      <c r="E787" s="63"/>
      <c r="F787" s="63"/>
      <c r="G787" s="63"/>
      <c r="H787" s="63"/>
      <c r="I787" s="64"/>
      <c r="J787" s="103"/>
      <c r="K787" s="104"/>
      <c r="L787" s="105"/>
      <c r="M787" s="106" t="str">
        <f t="shared" si="166"/>
        <v/>
      </c>
      <c r="N787" s="5" t="s">
        <v>1673</v>
      </c>
    </row>
    <row r="788" spans="1:14" s="8" customFormat="1" ht="30" customHeight="1" x14ac:dyDescent="0.25">
      <c r="A788" s="14" t="s">
        <v>18</v>
      </c>
      <c r="B788" s="16" t="s">
        <v>62</v>
      </c>
      <c r="C788" s="25"/>
      <c r="D788" s="168" t="s">
        <v>29</v>
      </c>
      <c r="E788" s="38">
        <f>SUM(E738,E727,E746,E785,E741,E749,E758,E764,E772,E761)</f>
        <v>0</v>
      </c>
      <c r="F788" s="39">
        <f>SUM(F738,F727,F746,F785,F741,F749,F758,F764,F772,F761)</f>
        <v>0</v>
      </c>
      <c r="G788" s="40">
        <f>SUM(G738,G727,G746,G785,G741,G749,G758,G764,G772,G761)</f>
        <v>0</v>
      </c>
      <c r="H788" s="41">
        <f>SUM(H738,H727,H746,H785,H741,H749,H758,H764,H772,H761)</f>
        <v>0</v>
      </c>
      <c r="I788" s="42">
        <f>SUM(I738,I727,I746,I785,I741,I749,I758,I764,I772,I761)</f>
        <v>0</v>
      </c>
      <c r="J788" s="103" t="str">
        <f>IFERROR(E788/SUM($E788:$H788)*100,"")</f>
        <v/>
      </c>
      <c r="K788" s="104" t="str">
        <f>IFERROR(F788/SUM($E788:$H788)*100,"")</f>
        <v/>
      </c>
      <c r="L788" s="105" t="str">
        <f>IFERROR(G788/SUM($E788:$H788)*100,"")</f>
        <v/>
      </c>
      <c r="M788" s="106" t="str">
        <f t="shared" ref="M788:M851" si="181">IFERROR(H788/$I788*100,"")</f>
        <v/>
      </c>
      <c r="N788" s="5" t="s">
        <v>1671</v>
      </c>
    </row>
    <row r="789" spans="1:14" s="5" customFormat="1" ht="20.100000000000001" customHeight="1" x14ac:dyDescent="0.25">
      <c r="A789" s="14" t="s">
        <v>18</v>
      </c>
      <c r="B789" s="14"/>
      <c r="C789" s="25" t="s">
        <v>60</v>
      </c>
      <c r="D789" s="58"/>
      <c r="E789" s="60"/>
      <c r="F789" s="60"/>
      <c r="G789" s="60"/>
      <c r="H789" s="60"/>
      <c r="I789" s="60"/>
      <c r="J789" s="103"/>
      <c r="K789" s="104"/>
      <c r="L789" s="105"/>
      <c r="M789" s="106" t="str">
        <f t="shared" si="181"/>
        <v/>
      </c>
    </row>
    <row r="790" spans="1:14" s="5" customFormat="1" ht="20.100000000000001" customHeight="1" x14ac:dyDescent="0.25">
      <c r="A790" s="14" t="s">
        <v>9</v>
      </c>
      <c r="B790" s="14"/>
      <c r="C790" s="25" t="s">
        <v>60</v>
      </c>
      <c r="D790" s="20" t="str">
        <f>IFERROR(A790&amp;"   ("&amp;COUNTIFS(#REF!,"="&amp;A790)&amp;")",A790)</f>
        <v>DOT</v>
      </c>
      <c r="E790" s="45"/>
      <c r="F790" s="45"/>
      <c r="G790" s="45"/>
      <c r="H790" s="45"/>
      <c r="I790" s="46"/>
      <c r="J790" s="103"/>
      <c r="K790" s="104"/>
      <c r="L790" s="105"/>
      <c r="M790" s="106" t="str">
        <f t="shared" si="181"/>
        <v/>
      </c>
      <c r="N790" s="5" t="s">
        <v>1672</v>
      </c>
    </row>
    <row r="791" spans="1:14" s="5" customFormat="1" ht="20.100000000000001" customHeight="1" x14ac:dyDescent="0.25">
      <c r="A791" s="14" t="s">
        <v>9</v>
      </c>
      <c r="B791" s="16" t="s">
        <v>20</v>
      </c>
      <c r="C791" s="25" t="s">
        <v>60</v>
      </c>
      <c r="D791" s="6" t="s">
        <v>20</v>
      </c>
      <c r="E791" s="37"/>
      <c r="F791" s="37"/>
      <c r="G791" s="37"/>
      <c r="H791" s="37"/>
      <c r="I791" s="48"/>
      <c r="J791" s="103"/>
      <c r="K791" s="104"/>
      <c r="L791" s="105"/>
      <c r="M791" s="106" t="str">
        <f t="shared" si="181"/>
        <v/>
      </c>
      <c r="N791" s="5" t="s">
        <v>1673</v>
      </c>
    </row>
    <row r="792" spans="1:14" s="5" customFormat="1" ht="30" customHeight="1" x14ac:dyDescent="0.25">
      <c r="A792" s="14" t="s">
        <v>9</v>
      </c>
      <c r="B792" s="16" t="s">
        <v>20</v>
      </c>
      <c r="C792" s="25" t="s">
        <v>61</v>
      </c>
      <c r="D792" s="168" t="s">
        <v>25</v>
      </c>
      <c r="E792" s="38">
        <v>0</v>
      </c>
      <c r="F792" s="39">
        <v>0</v>
      </c>
      <c r="G792" s="40">
        <v>0</v>
      </c>
      <c r="H792" s="41">
        <v>0</v>
      </c>
      <c r="I792" s="42">
        <f>SUM(E792:H792)</f>
        <v>0</v>
      </c>
      <c r="J792" s="103" t="str">
        <f>IFERROR(E792/$I792*100,"")</f>
        <v/>
      </c>
      <c r="K792" s="104" t="str">
        <f>IFERROR(F792/$I792*100,"")</f>
        <v/>
      </c>
      <c r="L792" s="105" t="str">
        <f>IFERROR(G792/$I792*100,"")</f>
        <v/>
      </c>
      <c r="M792" s="106" t="str">
        <f t="shared" si="181"/>
        <v/>
      </c>
      <c r="N792" s="5" t="s">
        <v>1671</v>
      </c>
    </row>
    <row r="793" spans="1:14" ht="5.0999999999999996" customHeight="1" x14ac:dyDescent="0.25">
      <c r="A793" s="14" t="s">
        <v>9</v>
      </c>
      <c r="B793" s="16" t="s">
        <v>20</v>
      </c>
      <c r="C793"/>
      <c r="D793" s="57"/>
      <c r="E793" s="59"/>
      <c r="F793" s="59"/>
      <c r="G793" s="59"/>
      <c r="H793" s="59"/>
      <c r="I793" s="59"/>
      <c r="J793" s="103"/>
      <c r="K793" s="104"/>
      <c r="L793" s="105"/>
      <c r="M793" s="106" t="str">
        <f t="shared" si="181"/>
        <v/>
      </c>
    </row>
    <row r="794" spans="1:14" s="5" customFormat="1" ht="20.100000000000001" customHeight="1" x14ac:dyDescent="0.25">
      <c r="A794" s="14" t="s">
        <v>9</v>
      </c>
      <c r="B794" s="16" t="s">
        <v>26</v>
      </c>
      <c r="C794" s="25" t="s">
        <v>60</v>
      </c>
      <c r="D794" s="6" t="s">
        <v>98</v>
      </c>
      <c r="E794" s="37"/>
      <c r="F794" s="37"/>
      <c r="G794" s="37"/>
      <c r="H794" s="37"/>
      <c r="I794" s="47"/>
      <c r="J794" s="103"/>
      <c r="K794" s="104"/>
      <c r="L794" s="105"/>
      <c r="M794" s="106" t="str">
        <f t="shared" si="181"/>
        <v/>
      </c>
      <c r="N794" s="5" t="s">
        <v>1673</v>
      </c>
    </row>
    <row r="795" spans="1:14" s="5" customFormat="1" ht="30" customHeight="1" x14ac:dyDescent="0.25">
      <c r="A795" s="14" t="s">
        <v>9</v>
      </c>
      <c r="B795" s="16" t="s">
        <v>26</v>
      </c>
      <c r="C795" s="25" t="s">
        <v>61</v>
      </c>
      <c r="D795" s="169" t="s">
        <v>21</v>
      </c>
      <c r="E795" s="38">
        <v>0</v>
      </c>
      <c r="F795" s="39">
        <v>0</v>
      </c>
      <c r="G795" s="40">
        <v>0</v>
      </c>
      <c r="H795" s="41">
        <v>0</v>
      </c>
      <c r="I795" s="42">
        <f t="shared" ref="I795:I802" si="182">SUM(E795:H795)</f>
        <v>0</v>
      </c>
      <c r="J795" s="103" t="str">
        <f t="shared" ref="J795:L802" si="183">IFERROR(E795/$I795*100,"")</f>
        <v/>
      </c>
      <c r="K795" s="104" t="str">
        <f t="shared" si="183"/>
        <v/>
      </c>
      <c r="L795" s="105" t="str">
        <f t="shared" si="183"/>
        <v/>
      </c>
      <c r="M795" s="106" t="str">
        <f t="shared" si="181"/>
        <v/>
      </c>
    </row>
    <row r="796" spans="1:14" s="5" customFormat="1" ht="30" customHeight="1" x14ac:dyDescent="0.25">
      <c r="A796" s="14" t="s">
        <v>9</v>
      </c>
      <c r="B796" s="16" t="s">
        <v>26</v>
      </c>
      <c r="C796" s="25" t="s">
        <v>61</v>
      </c>
      <c r="D796" s="169" t="s">
        <v>22</v>
      </c>
      <c r="E796" s="38">
        <v>0</v>
      </c>
      <c r="F796" s="39">
        <v>0</v>
      </c>
      <c r="G796" s="40">
        <v>0</v>
      </c>
      <c r="H796" s="41">
        <v>0</v>
      </c>
      <c r="I796" s="42">
        <f t="shared" si="182"/>
        <v>0</v>
      </c>
      <c r="J796" s="103" t="str">
        <f t="shared" si="183"/>
        <v/>
      </c>
      <c r="K796" s="104" t="str">
        <f t="shared" si="183"/>
        <v/>
      </c>
      <c r="L796" s="105" t="str">
        <f t="shared" si="183"/>
        <v/>
      </c>
      <c r="M796" s="106" t="str">
        <f t="shared" si="181"/>
        <v/>
      </c>
    </row>
    <row r="797" spans="1:14" s="5" customFormat="1" ht="30" customHeight="1" x14ac:dyDescent="0.25">
      <c r="A797" s="14" t="s">
        <v>9</v>
      </c>
      <c r="B797" s="16" t="s">
        <v>26</v>
      </c>
      <c r="C797" s="25" t="s">
        <v>61</v>
      </c>
      <c r="D797" s="169" t="s">
        <v>27</v>
      </c>
      <c r="E797" s="38">
        <v>0</v>
      </c>
      <c r="F797" s="39">
        <v>0</v>
      </c>
      <c r="G797" s="40">
        <v>0</v>
      </c>
      <c r="H797" s="41">
        <v>0</v>
      </c>
      <c r="I797" s="42">
        <f t="shared" si="182"/>
        <v>0</v>
      </c>
      <c r="J797" s="103" t="str">
        <f t="shared" si="183"/>
        <v/>
      </c>
      <c r="K797" s="104" t="str">
        <f t="shared" si="183"/>
        <v/>
      </c>
      <c r="L797" s="105" t="str">
        <f t="shared" si="183"/>
        <v/>
      </c>
      <c r="M797" s="106" t="str">
        <f t="shared" si="181"/>
        <v/>
      </c>
    </row>
    <row r="798" spans="1:14" s="5" customFormat="1" ht="30" customHeight="1" x14ac:dyDescent="0.25">
      <c r="A798" s="14" t="s">
        <v>9</v>
      </c>
      <c r="B798" s="16" t="s">
        <v>26</v>
      </c>
      <c r="C798" s="25" t="s">
        <v>61</v>
      </c>
      <c r="D798" s="169" t="s">
        <v>23</v>
      </c>
      <c r="E798" s="38">
        <v>0</v>
      </c>
      <c r="F798" s="39">
        <v>0</v>
      </c>
      <c r="G798" s="40">
        <v>0</v>
      </c>
      <c r="H798" s="41">
        <v>0</v>
      </c>
      <c r="I798" s="42">
        <f t="shared" si="182"/>
        <v>0</v>
      </c>
      <c r="J798" s="103" t="str">
        <f t="shared" si="183"/>
        <v/>
      </c>
      <c r="K798" s="104" t="str">
        <f t="shared" si="183"/>
        <v/>
      </c>
      <c r="L798" s="105" t="str">
        <f t="shared" si="183"/>
        <v/>
      </c>
      <c r="M798" s="106" t="str">
        <f t="shared" si="181"/>
        <v/>
      </c>
    </row>
    <row r="799" spans="1:14" s="5" customFormat="1" ht="30" customHeight="1" x14ac:dyDescent="0.25">
      <c r="A799" s="14" t="s">
        <v>9</v>
      </c>
      <c r="B799" s="16" t="s">
        <v>26</v>
      </c>
      <c r="C799" s="25" t="s">
        <v>61</v>
      </c>
      <c r="D799" s="169" t="s">
        <v>24</v>
      </c>
      <c r="E799" s="38">
        <v>0</v>
      </c>
      <c r="F799" s="39">
        <v>0</v>
      </c>
      <c r="G799" s="40">
        <v>0</v>
      </c>
      <c r="H799" s="41">
        <v>0</v>
      </c>
      <c r="I799" s="42">
        <f t="shared" si="182"/>
        <v>0</v>
      </c>
      <c r="J799" s="103" t="str">
        <f t="shared" si="183"/>
        <v/>
      </c>
      <c r="K799" s="104" t="str">
        <f t="shared" si="183"/>
        <v/>
      </c>
      <c r="L799" s="105" t="str">
        <f t="shared" si="183"/>
        <v/>
      </c>
      <c r="M799" s="106" t="str">
        <f t="shared" si="181"/>
        <v/>
      </c>
    </row>
    <row r="800" spans="1:14" s="3" customFormat="1" ht="30" customHeight="1" x14ac:dyDescent="0.25">
      <c r="A800" s="14" t="s">
        <v>9</v>
      </c>
      <c r="B800" s="16" t="s">
        <v>26</v>
      </c>
      <c r="C800" s="25" t="s">
        <v>61</v>
      </c>
      <c r="D800" s="169" t="s">
        <v>41</v>
      </c>
      <c r="E800" s="38">
        <v>0</v>
      </c>
      <c r="F800" s="39">
        <v>0</v>
      </c>
      <c r="G800" s="40">
        <v>0</v>
      </c>
      <c r="H800" s="41">
        <v>0</v>
      </c>
      <c r="I800" s="42">
        <f t="shared" si="182"/>
        <v>0</v>
      </c>
      <c r="J800" s="103" t="str">
        <f t="shared" si="183"/>
        <v/>
      </c>
      <c r="K800" s="104" t="str">
        <f t="shared" si="183"/>
        <v/>
      </c>
      <c r="L800" s="105" t="str">
        <f t="shared" si="183"/>
        <v/>
      </c>
      <c r="M800" s="106" t="str">
        <f t="shared" si="181"/>
        <v/>
      </c>
    </row>
    <row r="801" spans="1:14" s="5" customFormat="1" ht="30" customHeight="1" x14ac:dyDescent="0.25">
      <c r="A801" s="14" t="s">
        <v>9</v>
      </c>
      <c r="B801" s="16" t="s">
        <v>26</v>
      </c>
      <c r="C801" s="25" t="s">
        <v>61</v>
      </c>
      <c r="D801" s="169" t="s">
        <v>28</v>
      </c>
      <c r="E801" s="38">
        <v>0</v>
      </c>
      <c r="F801" s="39">
        <v>0</v>
      </c>
      <c r="G801" s="40">
        <v>0</v>
      </c>
      <c r="H801" s="41">
        <v>0</v>
      </c>
      <c r="I801" s="42">
        <f t="shared" si="182"/>
        <v>0</v>
      </c>
      <c r="J801" s="103" t="str">
        <f t="shared" si="183"/>
        <v/>
      </c>
      <c r="K801" s="104" t="str">
        <f t="shared" si="183"/>
        <v/>
      </c>
      <c r="L801" s="105" t="str">
        <f t="shared" si="183"/>
        <v/>
      </c>
      <c r="M801" s="106" t="str">
        <f t="shared" si="181"/>
        <v/>
      </c>
    </row>
    <row r="802" spans="1:14" s="5" customFormat="1" ht="30" customHeight="1" x14ac:dyDescent="0.25">
      <c r="A802" s="14" t="s">
        <v>9</v>
      </c>
      <c r="B802" s="16" t="s">
        <v>26</v>
      </c>
      <c r="C802" s="25" t="s">
        <v>61</v>
      </c>
      <c r="D802" s="169" t="s">
        <v>40</v>
      </c>
      <c r="E802" s="38">
        <v>0</v>
      </c>
      <c r="F802" s="39">
        <v>0</v>
      </c>
      <c r="G802" s="40">
        <v>0</v>
      </c>
      <c r="H802" s="41">
        <v>0</v>
      </c>
      <c r="I802" s="42">
        <f t="shared" si="182"/>
        <v>0</v>
      </c>
      <c r="J802" s="103" t="str">
        <f t="shared" si="183"/>
        <v/>
      </c>
      <c r="K802" s="104" t="str">
        <f t="shared" si="183"/>
        <v/>
      </c>
      <c r="L802" s="105" t="str">
        <f t="shared" si="183"/>
        <v/>
      </c>
      <c r="M802" s="106" t="str">
        <f t="shared" si="181"/>
        <v/>
      </c>
    </row>
    <row r="803" spans="1:14" s="5" customFormat="1" ht="30" customHeight="1" x14ac:dyDescent="0.25">
      <c r="A803" s="14" t="s">
        <v>9</v>
      </c>
      <c r="B803" s="16" t="s">
        <v>26</v>
      </c>
      <c r="C803" s="25"/>
      <c r="D803" s="9" t="s">
        <v>29</v>
      </c>
      <c r="E803" s="38">
        <f>SUM(E795:E802)</f>
        <v>0</v>
      </c>
      <c r="F803" s="39">
        <f t="shared" ref="F803:I803" si="184">SUM(F795:F802)</f>
        <v>0</v>
      </c>
      <c r="G803" s="40">
        <f t="shared" si="184"/>
        <v>0</v>
      </c>
      <c r="H803" s="41">
        <f t="shared" si="184"/>
        <v>0</v>
      </c>
      <c r="I803" s="43">
        <f t="shared" si="184"/>
        <v>0</v>
      </c>
      <c r="J803" s="103" t="str">
        <f>IFERROR(E803/SUM($E803:$H803)*100,"")</f>
        <v/>
      </c>
      <c r="K803" s="104" t="str">
        <f>IFERROR(F803/SUM($E803:$H803)*100,"")</f>
        <v/>
      </c>
      <c r="L803" s="105" t="str">
        <f>IFERROR(G803/SUM($E803:$H803)*100,"")</f>
        <v/>
      </c>
      <c r="M803" s="106" t="str">
        <f t="shared" si="181"/>
        <v/>
      </c>
      <c r="N803" s="5" t="s">
        <v>1671</v>
      </c>
    </row>
    <row r="804" spans="1:14" ht="5.0999999999999996" customHeight="1" x14ac:dyDescent="0.25">
      <c r="A804" s="14" t="s">
        <v>9</v>
      </c>
      <c r="B804" s="16" t="s">
        <v>26</v>
      </c>
      <c r="C804"/>
      <c r="J804" s="103"/>
      <c r="K804" s="104"/>
      <c r="L804" s="105"/>
      <c r="M804" s="106" t="str">
        <f t="shared" si="181"/>
        <v/>
      </c>
    </row>
    <row r="805" spans="1:14" s="5" customFormat="1" ht="20.100000000000001" customHeight="1" x14ac:dyDescent="0.25">
      <c r="A805" s="14" t="s">
        <v>9</v>
      </c>
      <c r="B805" s="16" t="s">
        <v>64</v>
      </c>
      <c r="C805" s="25" t="s">
        <v>60</v>
      </c>
      <c r="D805" s="6" t="s">
        <v>65</v>
      </c>
      <c r="E805" s="37"/>
      <c r="F805" s="37"/>
      <c r="G805" s="37"/>
      <c r="H805" s="37"/>
      <c r="I805" s="48"/>
      <c r="J805" s="103"/>
      <c r="K805" s="104"/>
      <c r="L805" s="105"/>
      <c r="M805" s="106" t="str">
        <f t="shared" si="181"/>
        <v/>
      </c>
      <c r="N805" s="5" t="s">
        <v>1673</v>
      </c>
    </row>
    <row r="806" spans="1:14" s="5" customFormat="1" ht="30" customHeight="1" x14ac:dyDescent="0.25">
      <c r="A806" s="14" t="s">
        <v>9</v>
      </c>
      <c r="B806" s="16" t="s">
        <v>64</v>
      </c>
      <c r="C806" s="25" t="s">
        <v>61</v>
      </c>
      <c r="D806" s="168" t="s">
        <v>66</v>
      </c>
      <c r="E806" s="38">
        <v>0</v>
      </c>
      <c r="F806" s="39">
        <v>0</v>
      </c>
      <c r="G806" s="40">
        <v>0</v>
      </c>
      <c r="H806" s="41">
        <v>0</v>
      </c>
      <c r="I806" s="42">
        <f>SUM(E806:H806)</f>
        <v>0</v>
      </c>
      <c r="J806" s="103" t="str">
        <f>IFERROR(E806/$I806*100,"")</f>
        <v/>
      </c>
      <c r="K806" s="104" t="str">
        <f>IFERROR(F806/$I806*100,"")</f>
        <v/>
      </c>
      <c r="L806" s="105" t="str">
        <f>IFERROR(G806/$I806*100,"")</f>
        <v/>
      </c>
      <c r="M806" s="106" t="str">
        <f t="shared" si="181"/>
        <v/>
      </c>
      <c r="N806" s="5" t="s">
        <v>1671</v>
      </c>
    </row>
    <row r="807" spans="1:14" ht="5.0999999999999996" customHeight="1" x14ac:dyDescent="0.25">
      <c r="A807" s="14" t="s">
        <v>9</v>
      </c>
      <c r="B807" s="16" t="s">
        <v>64</v>
      </c>
      <c r="C807"/>
      <c r="D807" s="57"/>
      <c r="E807" s="59"/>
      <c r="F807" s="59"/>
      <c r="G807" s="59"/>
      <c r="H807" s="59"/>
      <c r="I807" s="59"/>
      <c r="J807" s="103"/>
      <c r="K807" s="104"/>
      <c r="L807" s="105"/>
      <c r="M807" s="106" t="str">
        <f t="shared" si="181"/>
        <v/>
      </c>
    </row>
    <row r="808" spans="1:14" s="5" customFormat="1" ht="20.100000000000001" customHeight="1" x14ac:dyDescent="0.25">
      <c r="A808" s="14" t="s">
        <v>9</v>
      </c>
      <c r="B808" s="16" t="s">
        <v>55</v>
      </c>
      <c r="C808" s="25" t="s">
        <v>60</v>
      </c>
      <c r="D808" s="6" t="s">
        <v>55</v>
      </c>
      <c r="E808" s="37"/>
      <c r="F808" s="37"/>
      <c r="G808" s="37"/>
      <c r="H808" s="37"/>
      <c r="I808" s="48"/>
      <c r="J808" s="103"/>
      <c r="K808" s="104"/>
      <c r="L808" s="105"/>
      <c r="M808" s="106" t="str">
        <f t="shared" si="181"/>
        <v/>
      </c>
      <c r="N808" s="5" t="s">
        <v>1673</v>
      </c>
    </row>
    <row r="809" spans="1:14" s="3" customFormat="1" ht="30" customHeight="1" x14ac:dyDescent="0.25">
      <c r="A809" s="14" t="s">
        <v>9</v>
      </c>
      <c r="B809" s="16" t="s">
        <v>55</v>
      </c>
      <c r="C809" s="25" t="s">
        <v>61</v>
      </c>
      <c r="D809" s="168" t="s">
        <v>56</v>
      </c>
      <c r="E809" s="38">
        <v>0</v>
      </c>
      <c r="F809" s="39">
        <v>0</v>
      </c>
      <c r="G809" s="40">
        <v>0</v>
      </c>
      <c r="H809" s="41">
        <v>0</v>
      </c>
      <c r="I809" s="42">
        <f>SUM(E809:H809)</f>
        <v>0</v>
      </c>
      <c r="J809" s="103" t="str">
        <f t="shared" ref="J809:L811" si="185">IFERROR(E809/$I809*100,"")</f>
        <v/>
      </c>
      <c r="K809" s="104" t="str">
        <f t="shared" si="185"/>
        <v/>
      </c>
      <c r="L809" s="105" t="str">
        <f t="shared" si="185"/>
        <v/>
      </c>
      <c r="M809" s="106" t="str">
        <f t="shared" si="181"/>
        <v/>
      </c>
      <c r="N809" s="5"/>
    </row>
    <row r="810" spans="1:14" s="3" customFormat="1" ht="30" customHeight="1" x14ac:dyDescent="0.25">
      <c r="A810" s="14" t="s">
        <v>9</v>
      </c>
      <c r="B810" s="16" t="s">
        <v>55</v>
      </c>
      <c r="C810" s="25" t="s">
        <v>61</v>
      </c>
      <c r="D810" s="168" t="s">
        <v>57</v>
      </c>
      <c r="E810" s="38">
        <v>0</v>
      </c>
      <c r="F810" s="39">
        <v>0</v>
      </c>
      <c r="G810" s="40">
        <v>0</v>
      </c>
      <c r="H810" s="41">
        <v>0</v>
      </c>
      <c r="I810" s="42">
        <f>SUM(E810:H810)</f>
        <v>0</v>
      </c>
      <c r="J810" s="103" t="str">
        <f t="shared" si="185"/>
        <v/>
      </c>
      <c r="K810" s="104" t="str">
        <f t="shared" si="185"/>
        <v/>
      </c>
      <c r="L810" s="105" t="str">
        <f t="shared" si="185"/>
        <v/>
      </c>
      <c r="M810" s="106" t="str">
        <f t="shared" si="181"/>
        <v/>
      </c>
    </row>
    <row r="811" spans="1:14" s="3" customFormat="1" ht="30" customHeight="1" x14ac:dyDescent="0.25">
      <c r="A811" s="14" t="s">
        <v>9</v>
      </c>
      <c r="B811" s="16" t="s">
        <v>55</v>
      </c>
      <c r="C811" s="25"/>
      <c r="D811" s="168" t="s">
        <v>29</v>
      </c>
      <c r="E811" s="38">
        <f>SUM(E809:E810)</f>
        <v>0</v>
      </c>
      <c r="F811" s="39">
        <f t="shared" ref="F811:I811" si="186">SUM(F809:F810)</f>
        <v>0</v>
      </c>
      <c r="G811" s="40">
        <f t="shared" si="186"/>
        <v>0</v>
      </c>
      <c r="H811" s="41">
        <f t="shared" si="186"/>
        <v>0</v>
      </c>
      <c r="I811" s="42">
        <f t="shared" si="186"/>
        <v>0</v>
      </c>
      <c r="J811" s="103" t="str">
        <f t="shared" si="185"/>
        <v/>
      </c>
      <c r="K811" s="104" t="str">
        <f t="shared" si="185"/>
        <v/>
      </c>
      <c r="L811" s="105" t="str">
        <f t="shared" si="185"/>
        <v/>
      </c>
      <c r="M811" s="106" t="str">
        <f t="shared" si="181"/>
        <v/>
      </c>
      <c r="N811" s="5" t="s">
        <v>1671</v>
      </c>
    </row>
    <row r="812" spans="1:14" ht="5.0999999999999996" customHeight="1" x14ac:dyDescent="0.25">
      <c r="A812" s="14" t="s">
        <v>9</v>
      </c>
      <c r="B812" s="16" t="s">
        <v>55</v>
      </c>
      <c r="C812"/>
      <c r="D812" s="57"/>
      <c r="E812" s="59"/>
      <c r="F812" s="59"/>
      <c r="G812" s="59"/>
      <c r="H812" s="59"/>
      <c r="I812" s="59"/>
      <c r="J812" s="103"/>
      <c r="K812" s="104"/>
      <c r="L812" s="105"/>
      <c r="M812" s="106" t="str">
        <f t="shared" si="181"/>
        <v/>
      </c>
    </row>
    <row r="813" spans="1:14" s="5" customFormat="1" ht="20.100000000000001" customHeight="1" x14ac:dyDescent="0.25">
      <c r="A813" s="14" t="s">
        <v>9</v>
      </c>
      <c r="B813" s="16" t="s">
        <v>74</v>
      </c>
      <c r="C813" s="25" t="s">
        <v>60</v>
      </c>
      <c r="D813" s="6" t="s">
        <v>75</v>
      </c>
      <c r="E813" s="37"/>
      <c r="F813" s="37"/>
      <c r="G813" s="37"/>
      <c r="H813" s="37"/>
      <c r="I813" s="48"/>
      <c r="J813" s="103"/>
      <c r="K813" s="104"/>
      <c r="L813" s="105"/>
      <c r="M813" s="106" t="str">
        <f t="shared" si="181"/>
        <v/>
      </c>
      <c r="N813" s="5" t="s">
        <v>1673</v>
      </c>
    </row>
    <row r="814" spans="1:14" s="3" customFormat="1" ht="30" customHeight="1" x14ac:dyDescent="0.25">
      <c r="A814" s="14" t="s">
        <v>9</v>
      </c>
      <c r="B814" s="16" t="s">
        <v>74</v>
      </c>
      <c r="C814" s="25" t="s">
        <v>61</v>
      </c>
      <c r="D814" s="168" t="s">
        <v>77</v>
      </c>
      <c r="E814" s="38">
        <v>0</v>
      </c>
      <c r="F814" s="39">
        <v>0</v>
      </c>
      <c r="G814" s="40">
        <v>0</v>
      </c>
      <c r="H814" s="41">
        <v>0</v>
      </c>
      <c r="I814" s="42">
        <f>SUM(E814:H814)</f>
        <v>0</v>
      </c>
      <c r="J814" s="103" t="str">
        <f>IFERROR(E814/$I814*100,"")</f>
        <v/>
      </c>
      <c r="K814" s="104" t="str">
        <f>IFERROR(F814/$I814*100,"")</f>
        <v/>
      </c>
      <c r="L814" s="105" t="str">
        <f>IFERROR(G814/$I814*100,"")</f>
        <v/>
      </c>
      <c r="M814" s="106" t="str">
        <f t="shared" si="181"/>
        <v/>
      </c>
      <c r="N814" s="3" t="s">
        <v>1671</v>
      </c>
    </row>
    <row r="815" spans="1:14" ht="5.0999999999999996" customHeight="1" x14ac:dyDescent="0.25">
      <c r="A815" s="14" t="s">
        <v>9</v>
      </c>
      <c r="B815" s="16" t="s">
        <v>74</v>
      </c>
      <c r="C815"/>
      <c r="D815" s="57"/>
      <c r="E815" s="59"/>
      <c r="F815" s="59"/>
      <c r="G815" s="59"/>
      <c r="H815" s="59"/>
      <c r="I815" s="59"/>
      <c r="J815" s="103"/>
      <c r="K815" s="104"/>
      <c r="L815" s="105"/>
      <c r="M815" s="106" t="str">
        <f t="shared" si="181"/>
        <v/>
      </c>
    </row>
    <row r="816" spans="1:14" s="5" customFormat="1" ht="20.100000000000001" customHeight="1" x14ac:dyDescent="0.25">
      <c r="A816" s="14" t="s">
        <v>9</v>
      </c>
      <c r="B816" s="16" t="s">
        <v>78</v>
      </c>
      <c r="C816" s="25" t="s">
        <v>60</v>
      </c>
      <c r="D816" s="6" t="s">
        <v>80</v>
      </c>
      <c r="E816" s="37"/>
      <c r="F816" s="37"/>
      <c r="G816" s="37"/>
      <c r="H816" s="37"/>
      <c r="I816" s="48"/>
      <c r="J816" s="103"/>
      <c r="K816" s="104"/>
      <c r="L816" s="105"/>
      <c r="M816" s="106" t="str">
        <f t="shared" si="181"/>
        <v/>
      </c>
      <c r="N816" s="5" t="s">
        <v>1673</v>
      </c>
    </row>
    <row r="817" spans="1:14" s="5" customFormat="1" ht="30" customHeight="1" x14ac:dyDescent="0.25">
      <c r="A817" s="14" t="s">
        <v>9</v>
      </c>
      <c r="B817" s="16" t="s">
        <v>78</v>
      </c>
      <c r="C817" s="25" t="s">
        <v>61</v>
      </c>
      <c r="D817" s="168" t="s">
        <v>81</v>
      </c>
      <c r="E817" s="38">
        <v>0</v>
      </c>
      <c r="F817" s="39">
        <v>0</v>
      </c>
      <c r="G817" s="40">
        <v>0</v>
      </c>
      <c r="H817" s="41">
        <v>0</v>
      </c>
      <c r="I817" s="42">
        <f t="shared" ref="I817:I823" si="187">SUM(E817:H817)</f>
        <v>0</v>
      </c>
      <c r="J817" s="103" t="str">
        <f t="shared" ref="J817:L823" si="188">IFERROR(E817/$I817*100,"")</f>
        <v/>
      </c>
      <c r="K817" s="104" t="str">
        <f t="shared" si="188"/>
        <v/>
      </c>
      <c r="L817" s="105" t="str">
        <f t="shared" si="188"/>
        <v/>
      </c>
      <c r="M817" s="106" t="str">
        <f t="shared" si="181"/>
        <v/>
      </c>
    </row>
    <row r="818" spans="1:14" s="5" customFormat="1" ht="30" customHeight="1" x14ac:dyDescent="0.25">
      <c r="A818" s="14" t="s">
        <v>9</v>
      </c>
      <c r="B818" s="16" t="s">
        <v>78</v>
      </c>
      <c r="C818" s="25" t="s">
        <v>61</v>
      </c>
      <c r="D818" s="168" t="s">
        <v>82</v>
      </c>
      <c r="E818" s="38">
        <v>0</v>
      </c>
      <c r="F818" s="39">
        <v>0</v>
      </c>
      <c r="G818" s="40">
        <v>0</v>
      </c>
      <c r="H818" s="41">
        <v>0</v>
      </c>
      <c r="I818" s="42">
        <f t="shared" si="187"/>
        <v>0</v>
      </c>
      <c r="J818" s="103" t="str">
        <f t="shared" si="188"/>
        <v/>
      </c>
      <c r="K818" s="104" t="str">
        <f t="shared" si="188"/>
        <v/>
      </c>
      <c r="L818" s="105" t="str">
        <f t="shared" si="188"/>
        <v/>
      </c>
      <c r="M818" s="106" t="str">
        <f t="shared" si="181"/>
        <v/>
      </c>
    </row>
    <row r="819" spans="1:14" s="5" customFormat="1" ht="30" customHeight="1" x14ac:dyDescent="0.25">
      <c r="A819" s="14" t="s">
        <v>9</v>
      </c>
      <c r="B819" s="16" t="s">
        <v>78</v>
      </c>
      <c r="C819" s="25" t="s">
        <v>61</v>
      </c>
      <c r="D819" s="168" t="s">
        <v>83</v>
      </c>
      <c r="E819" s="38">
        <v>0</v>
      </c>
      <c r="F819" s="39">
        <v>0</v>
      </c>
      <c r="G819" s="40">
        <v>0</v>
      </c>
      <c r="H819" s="41">
        <v>0</v>
      </c>
      <c r="I819" s="42">
        <f t="shared" si="187"/>
        <v>0</v>
      </c>
      <c r="J819" s="103" t="str">
        <f t="shared" si="188"/>
        <v/>
      </c>
      <c r="K819" s="104" t="str">
        <f t="shared" si="188"/>
        <v/>
      </c>
      <c r="L819" s="105" t="str">
        <f t="shared" si="188"/>
        <v/>
      </c>
      <c r="M819" s="106" t="str">
        <f t="shared" si="181"/>
        <v/>
      </c>
    </row>
    <row r="820" spans="1:14" s="5" customFormat="1" ht="30" customHeight="1" x14ac:dyDescent="0.25">
      <c r="A820" s="14" t="s">
        <v>9</v>
      </c>
      <c r="B820" s="16" t="s">
        <v>78</v>
      </c>
      <c r="C820" s="25" t="s">
        <v>61</v>
      </c>
      <c r="D820" s="168" t="s">
        <v>88</v>
      </c>
      <c r="E820" s="38">
        <v>0</v>
      </c>
      <c r="F820" s="39">
        <v>0</v>
      </c>
      <c r="G820" s="40">
        <v>0</v>
      </c>
      <c r="H820" s="41">
        <v>0</v>
      </c>
      <c r="I820" s="42">
        <f t="shared" si="187"/>
        <v>0</v>
      </c>
      <c r="J820" s="103" t="str">
        <f t="shared" si="188"/>
        <v/>
      </c>
      <c r="K820" s="104" t="str">
        <f t="shared" si="188"/>
        <v/>
      </c>
      <c r="L820" s="105" t="str">
        <f t="shared" si="188"/>
        <v/>
      </c>
      <c r="M820" s="106" t="str">
        <f t="shared" si="181"/>
        <v/>
      </c>
    </row>
    <row r="821" spans="1:14" s="5" customFormat="1" ht="30" customHeight="1" x14ac:dyDescent="0.25">
      <c r="A821" s="14" t="s">
        <v>9</v>
      </c>
      <c r="B821" s="16" t="s">
        <v>78</v>
      </c>
      <c r="C821" s="25" t="s">
        <v>61</v>
      </c>
      <c r="D821" s="168" t="s">
        <v>87</v>
      </c>
      <c r="E821" s="38">
        <v>0</v>
      </c>
      <c r="F821" s="39">
        <v>0</v>
      </c>
      <c r="G821" s="40">
        <v>0</v>
      </c>
      <c r="H821" s="41">
        <v>0</v>
      </c>
      <c r="I821" s="42">
        <f t="shared" si="187"/>
        <v>0</v>
      </c>
      <c r="J821" s="103" t="str">
        <f t="shared" si="188"/>
        <v/>
      </c>
      <c r="K821" s="104" t="str">
        <f t="shared" si="188"/>
        <v/>
      </c>
      <c r="L821" s="105" t="str">
        <f t="shared" si="188"/>
        <v/>
      </c>
      <c r="M821" s="106" t="str">
        <f t="shared" si="181"/>
        <v/>
      </c>
    </row>
    <row r="822" spans="1:14" s="5" customFormat="1" ht="30" customHeight="1" x14ac:dyDescent="0.25">
      <c r="A822" s="14" t="s">
        <v>9</v>
      </c>
      <c r="B822" s="16" t="s">
        <v>78</v>
      </c>
      <c r="C822" s="25" t="s">
        <v>61</v>
      </c>
      <c r="D822" s="168" t="s">
        <v>84</v>
      </c>
      <c r="E822" s="38">
        <v>0</v>
      </c>
      <c r="F822" s="39">
        <v>0</v>
      </c>
      <c r="G822" s="40">
        <v>0</v>
      </c>
      <c r="H822" s="41">
        <v>0</v>
      </c>
      <c r="I822" s="42">
        <f t="shared" si="187"/>
        <v>0</v>
      </c>
      <c r="J822" s="103" t="str">
        <f t="shared" si="188"/>
        <v/>
      </c>
      <c r="K822" s="104" t="str">
        <f t="shared" si="188"/>
        <v/>
      </c>
      <c r="L822" s="105" t="str">
        <f t="shared" si="188"/>
        <v/>
      </c>
      <c r="M822" s="106" t="str">
        <f t="shared" si="181"/>
        <v/>
      </c>
    </row>
    <row r="823" spans="1:14" s="5" customFormat="1" ht="30" customHeight="1" x14ac:dyDescent="0.25">
      <c r="A823" s="14" t="s">
        <v>9</v>
      </c>
      <c r="B823" s="16" t="s">
        <v>78</v>
      </c>
      <c r="C823" s="25" t="s">
        <v>86</v>
      </c>
      <c r="D823" s="168" t="s">
        <v>79</v>
      </c>
      <c r="E823" s="38">
        <v>0</v>
      </c>
      <c r="F823" s="39">
        <v>0</v>
      </c>
      <c r="G823" s="40">
        <v>0</v>
      </c>
      <c r="H823" s="41">
        <v>0</v>
      </c>
      <c r="I823" s="42">
        <f t="shared" si="187"/>
        <v>0</v>
      </c>
      <c r="J823" s="103" t="str">
        <f t="shared" si="188"/>
        <v/>
      </c>
      <c r="K823" s="104" t="str">
        <f t="shared" si="188"/>
        <v/>
      </c>
      <c r="L823" s="105" t="str">
        <f t="shared" si="188"/>
        <v/>
      </c>
      <c r="M823" s="106" t="str">
        <f t="shared" si="181"/>
        <v/>
      </c>
      <c r="N823" s="5" t="s">
        <v>1671</v>
      </c>
    </row>
    <row r="824" spans="1:14" ht="5.0999999999999996" customHeight="1" x14ac:dyDescent="0.25">
      <c r="A824" s="14" t="s">
        <v>9</v>
      </c>
      <c r="B824" s="16" t="s">
        <v>78</v>
      </c>
      <c r="C824"/>
      <c r="D824" s="57"/>
      <c r="E824" s="59"/>
      <c r="F824" s="59"/>
      <c r="G824" s="59"/>
      <c r="H824" s="59"/>
      <c r="I824" s="59"/>
      <c r="J824" s="103"/>
      <c r="K824" s="104"/>
      <c r="L824" s="105"/>
      <c r="M824" s="106" t="str">
        <f t="shared" si="181"/>
        <v/>
      </c>
    </row>
    <row r="825" spans="1:14" s="5" customFormat="1" ht="20.100000000000001" customHeight="1" x14ac:dyDescent="0.25">
      <c r="A825" s="14" t="s">
        <v>9</v>
      </c>
      <c r="B825" s="16" t="s">
        <v>1642</v>
      </c>
      <c r="C825" s="25" t="s">
        <v>60</v>
      </c>
      <c r="D825" s="6" t="s">
        <v>1644</v>
      </c>
      <c r="E825" s="37"/>
      <c r="F825" s="37"/>
      <c r="G825" s="37"/>
      <c r="H825" s="37"/>
      <c r="I825" s="48"/>
      <c r="J825" s="103"/>
      <c r="K825" s="104"/>
      <c r="L825" s="105"/>
      <c r="M825" s="106" t="str">
        <f t="shared" si="181"/>
        <v/>
      </c>
      <c r="N825" s="5" t="s">
        <v>1673</v>
      </c>
    </row>
    <row r="826" spans="1:14" s="5" customFormat="1" ht="30" customHeight="1" x14ac:dyDescent="0.25">
      <c r="A826" s="14" t="s">
        <v>9</v>
      </c>
      <c r="B826" s="16" t="s">
        <v>1642</v>
      </c>
      <c r="C826" s="25" t="s">
        <v>61</v>
      </c>
      <c r="D826" s="168" t="s">
        <v>1643</v>
      </c>
      <c r="E826" s="38">
        <v>0</v>
      </c>
      <c r="F826" s="39">
        <v>0</v>
      </c>
      <c r="G826" s="40">
        <v>0</v>
      </c>
      <c r="H826" s="41">
        <v>0</v>
      </c>
      <c r="I826" s="42">
        <f t="shared" ref="I826" si="189">SUM(E826:H826)</f>
        <v>0</v>
      </c>
      <c r="J826" s="103" t="str">
        <f>IFERROR(E826/$I826*100,"")</f>
        <v/>
      </c>
      <c r="K826" s="104" t="str">
        <f>IFERROR(F826/$I826*100,"")</f>
        <v/>
      </c>
      <c r="L826" s="105" t="str">
        <f>IFERROR(G826/$I826*100,"")</f>
        <v/>
      </c>
      <c r="M826" s="106" t="str">
        <f t="shared" si="181"/>
        <v/>
      </c>
      <c r="N826" s="5" t="s">
        <v>1671</v>
      </c>
    </row>
    <row r="827" spans="1:14" ht="5.0999999999999996" customHeight="1" x14ac:dyDescent="0.25">
      <c r="A827" s="14" t="s">
        <v>9</v>
      </c>
      <c r="B827" s="16" t="s">
        <v>1642</v>
      </c>
      <c r="C827"/>
      <c r="D827" s="57"/>
      <c r="E827" s="59"/>
      <c r="F827" s="59"/>
      <c r="G827" s="59"/>
      <c r="H827" s="59"/>
      <c r="I827" s="59"/>
      <c r="J827" s="103"/>
      <c r="K827" s="104"/>
      <c r="L827" s="105"/>
      <c r="M827" s="106" t="str">
        <f t="shared" si="181"/>
        <v/>
      </c>
    </row>
    <row r="828" spans="1:14" s="5" customFormat="1" ht="20.100000000000001" customHeight="1" x14ac:dyDescent="0.25">
      <c r="A828" s="14" t="s">
        <v>9</v>
      </c>
      <c r="B828" s="16" t="s">
        <v>91</v>
      </c>
      <c r="C828" s="25" t="s">
        <v>60</v>
      </c>
      <c r="D828" s="6" t="s">
        <v>89</v>
      </c>
      <c r="E828" s="37"/>
      <c r="F828" s="37"/>
      <c r="G828" s="37"/>
      <c r="H828" s="37"/>
      <c r="I828" s="48"/>
      <c r="J828" s="103"/>
      <c r="K828" s="104"/>
      <c r="L828" s="105"/>
      <c r="M828" s="106" t="str">
        <f t="shared" si="181"/>
        <v/>
      </c>
      <c r="N828" s="5" t="s">
        <v>1673</v>
      </c>
    </row>
    <row r="829" spans="1:14" s="5" customFormat="1" ht="30" customHeight="1" x14ac:dyDescent="0.25">
      <c r="A829" s="14" t="s">
        <v>9</v>
      </c>
      <c r="B829" s="16" t="s">
        <v>91</v>
      </c>
      <c r="C829" s="25" t="s">
        <v>61</v>
      </c>
      <c r="D829" s="168" t="s">
        <v>90</v>
      </c>
      <c r="E829" s="38">
        <v>0</v>
      </c>
      <c r="F829" s="39">
        <v>0</v>
      </c>
      <c r="G829" s="40">
        <v>0</v>
      </c>
      <c r="H829" s="41">
        <v>0</v>
      </c>
      <c r="I829" s="42">
        <f t="shared" ref="I829" si="190">SUM(E829:H829)</f>
        <v>0</v>
      </c>
      <c r="J829" s="103" t="str">
        <f>IFERROR(E829/$I829*100,"")</f>
        <v/>
      </c>
      <c r="K829" s="104" t="str">
        <f>IFERROR(F829/$I829*100,"")</f>
        <v/>
      </c>
      <c r="L829" s="105" t="str">
        <f>IFERROR(G829/$I829*100,"")</f>
        <v/>
      </c>
      <c r="M829" s="106" t="str">
        <f t="shared" si="181"/>
        <v/>
      </c>
      <c r="N829" s="5" t="s">
        <v>1671</v>
      </c>
    </row>
    <row r="830" spans="1:14" ht="5.0999999999999996" customHeight="1" x14ac:dyDescent="0.25">
      <c r="A830" s="14" t="s">
        <v>9</v>
      </c>
      <c r="B830" s="16" t="s">
        <v>91</v>
      </c>
      <c r="C830"/>
      <c r="D830" s="57"/>
      <c r="E830" s="59"/>
      <c r="F830" s="59"/>
      <c r="G830" s="59"/>
      <c r="H830" s="59"/>
      <c r="I830" s="59"/>
      <c r="J830" s="103"/>
      <c r="K830" s="104"/>
      <c r="L830" s="105"/>
      <c r="M830" s="106" t="str">
        <f t="shared" si="181"/>
        <v/>
      </c>
    </row>
    <row r="831" spans="1:14" s="5" customFormat="1" ht="20.100000000000001" customHeight="1" x14ac:dyDescent="0.25">
      <c r="A831" s="14" t="s">
        <v>9</v>
      </c>
      <c r="B831" s="16" t="s">
        <v>1637</v>
      </c>
      <c r="C831" s="25" t="s">
        <v>60</v>
      </c>
      <c r="D831" s="6" t="s">
        <v>1636</v>
      </c>
      <c r="E831" s="37"/>
      <c r="F831" s="37"/>
      <c r="G831" s="37"/>
      <c r="H831" s="37"/>
      <c r="I831" s="48"/>
      <c r="J831" s="103"/>
      <c r="K831" s="104"/>
      <c r="L831" s="105"/>
      <c r="M831" s="106" t="str">
        <f t="shared" si="181"/>
        <v/>
      </c>
      <c r="N831" s="5" t="s">
        <v>1673</v>
      </c>
    </row>
    <row r="832" spans="1:14" s="3" customFormat="1" ht="30" customHeight="1" x14ac:dyDescent="0.25">
      <c r="A832" s="14" t="s">
        <v>9</v>
      </c>
      <c r="B832" s="16" t="s">
        <v>1637</v>
      </c>
      <c r="C832" s="25" t="s">
        <v>61</v>
      </c>
      <c r="D832" s="168" t="s">
        <v>1638</v>
      </c>
      <c r="E832" s="38">
        <v>0</v>
      </c>
      <c r="F832" s="39">
        <v>0</v>
      </c>
      <c r="G832" s="40">
        <v>0</v>
      </c>
      <c r="H832" s="41">
        <v>0</v>
      </c>
      <c r="I832" s="42">
        <f t="shared" ref="I832:I837" si="191">SUM(E832:H832)</f>
        <v>0</v>
      </c>
      <c r="J832" s="103" t="str">
        <f t="shared" ref="J832:L836" si="192">IFERROR(E832/$I832*100,"")</f>
        <v/>
      </c>
      <c r="K832" s="104" t="str">
        <f t="shared" si="192"/>
        <v/>
      </c>
      <c r="L832" s="105" t="str">
        <f t="shared" si="192"/>
        <v/>
      </c>
      <c r="M832" s="106" t="str">
        <f t="shared" si="181"/>
        <v/>
      </c>
    </row>
    <row r="833" spans="1:14" s="3" customFormat="1" ht="30" customHeight="1" x14ac:dyDescent="0.25">
      <c r="A833" s="14" t="s">
        <v>9</v>
      </c>
      <c r="B833" s="16" t="s">
        <v>1637</v>
      </c>
      <c r="C833" s="25" t="s">
        <v>61</v>
      </c>
      <c r="D833" s="168" t="s">
        <v>1669</v>
      </c>
      <c r="E833" s="38">
        <v>0</v>
      </c>
      <c r="F833" s="39">
        <v>0</v>
      </c>
      <c r="G833" s="40">
        <v>0</v>
      </c>
      <c r="H833" s="41">
        <v>0</v>
      </c>
      <c r="I833" s="42">
        <f t="shared" si="191"/>
        <v>0</v>
      </c>
      <c r="J833" s="103" t="str">
        <f t="shared" si="192"/>
        <v/>
      </c>
      <c r="K833" s="104" t="str">
        <f t="shared" si="192"/>
        <v/>
      </c>
      <c r="L833" s="105" t="str">
        <f t="shared" si="192"/>
        <v/>
      </c>
      <c r="M833" s="106" t="str">
        <f t="shared" si="181"/>
        <v/>
      </c>
    </row>
    <row r="834" spans="1:14" s="3" customFormat="1" ht="30" customHeight="1" x14ac:dyDescent="0.25">
      <c r="A834" s="14" t="s">
        <v>9</v>
      </c>
      <c r="B834" s="16" t="s">
        <v>1637</v>
      </c>
      <c r="C834" s="25" t="s">
        <v>61</v>
      </c>
      <c r="D834" s="168" t="s">
        <v>1640</v>
      </c>
      <c r="E834" s="38">
        <v>0</v>
      </c>
      <c r="F834" s="39">
        <v>0</v>
      </c>
      <c r="G834" s="40">
        <v>0</v>
      </c>
      <c r="H834" s="41">
        <v>0</v>
      </c>
      <c r="I834" s="42">
        <f t="shared" si="191"/>
        <v>0</v>
      </c>
      <c r="J834" s="103" t="str">
        <f t="shared" si="192"/>
        <v/>
      </c>
      <c r="K834" s="104" t="str">
        <f t="shared" si="192"/>
        <v/>
      </c>
      <c r="L834" s="105" t="str">
        <f t="shared" si="192"/>
        <v/>
      </c>
      <c r="M834" s="106" t="str">
        <f t="shared" si="181"/>
        <v/>
      </c>
    </row>
    <row r="835" spans="1:14" s="3" customFormat="1" ht="30" customHeight="1" x14ac:dyDescent="0.25">
      <c r="A835" s="14" t="s">
        <v>9</v>
      </c>
      <c r="B835" s="16" t="s">
        <v>1637</v>
      </c>
      <c r="C835" s="25" t="s">
        <v>61</v>
      </c>
      <c r="D835" s="168" t="s">
        <v>1639</v>
      </c>
      <c r="E835" s="38">
        <v>0</v>
      </c>
      <c r="F835" s="39">
        <v>0</v>
      </c>
      <c r="G835" s="40">
        <v>0</v>
      </c>
      <c r="H835" s="41">
        <v>0</v>
      </c>
      <c r="I835" s="42">
        <f t="shared" si="191"/>
        <v>0</v>
      </c>
      <c r="J835" s="103" t="str">
        <f t="shared" si="192"/>
        <v/>
      </c>
      <c r="K835" s="104" t="str">
        <f t="shared" si="192"/>
        <v/>
      </c>
      <c r="L835" s="105" t="str">
        <f t="shared" si="192"/>
        <v/>
      </c>
      <c r="M835" s="106" t="str">
        <f t="shared" si="181"/>
        <v/>
      </c>
    </row>
    <row r="836" spans="1:14" s="3" customFormat="1" ht="30" customHeight="1" x14ac:dyDescent="0.25">
      <c r="A836" s="14" t="s">
        <v>9</v>
      </c>
      <c r="B836" s="16" t="s">
        <v>1637</v>
      </c>
      <c r="C836" s="25" t="s">
        <v>61</v>
      </c>
      <c r="D836" s="168" t="s">
        <v>1641</v>
      </c>
      <c r="E836" s="38">
        <v>0</v>
      </c>
      <c r="F836" s="39">
        <v>0</v>
      </c>
      <c r="G836" s="40">
        <v>0</v>
      </c>
      <c r="H836" s="41">
        <v>0</v>
      </c>
      <c r="I836" s="42">
        <f t="shared" si="191"/>
        <v>0</v>
      </c>
      <c r="J836" s="103" t="str">
        <f t="shared" si="192"/>
        <v/>
      </c>
      <c r="K836" s="104" t="str">
        <f t="shared" si="192"/>
        <v/>
      </c>
      <c r="L836" s="105" t="str">
        <f t="shared" si="192"/>
        <v/>
      </c>
      <c r="M836" s="106" t="str">
        <f t="shared" si="181"/>
        <v/>
      </c>
    </row>
    <row r="837" spans="1:14" s="3" customFormat="1" ht="30" customHeight="1" x14ac:dyDescent="0.25">
      <c r="A837" s="14" t="s">
        <v>9</v>
      </c>
      <c r="B837" s="16" t="s">
        <v>1637</v>
      </c>
      <c r="C837" s="25"/>
      <c r="D837" s="168" t="s">
        <v>29</v>
      </c>
      <c r="E837" s="38">
        <f>SUM(E832:E836)</f>
        <v>0</v>
      </c>
      <c r="F837" s="39">
        <f>SUM(F832:F836)</f>
        <v>0</v>
      </c>
      <c r="G837" s="40">
        <f>SUM(G832:G836)</f>
        <v>0</v>
      </c>
      <c r="H837" s="41">
        <f>SUM(H832:H836)</f>
        <v>0</v>
      </c>
      <c r="I837" s="42">
        <f t="shared" si="191"/>
        <v>0</v>
      </c>
      <c r="J837" s="103" t="str">
        <f>IFERROR(E837/SUM($E837:$H837)*100,"")</f>
        <v/>
      </c>
      <c r="K837" s="104" t="str">
        <f>IFERROR(F837/SUM($E837:$H837)*100,"")</f>
        <v/>
      </c>
      <c r="L837" s="105" t="str">
        <f>IFERROR(G837/SUM($E837:$H837)*100,"")</f>
        <v/>
      </c>
      <c r="M837" s="106" t="str">
        <f t="shared" si="181"/>
        <v/>
      </c>
      <c r="N837" s="5" t="s">
        <v>1671</v>
      </c>
    </row>
    <row r="838" spans="1:14" ht="5.0999999999999996" customHeight="1" x14ac:dyDescent="0.25">
      <c r="A838" s="14" t="s">
        <v>9</v>
      </c>
      <c r="B838" s="16" t="s">
        <v>1637</v>
      </c>
      <c r="C838"/>
      <c r="J838" s="103"/>
      <c r="K838" s="104"/>
      <c r="L838" s="105"/>
      <c r="M838" s="106" t="str">
        <f t="shared" si="181"/>
        <v/>
      </c>
    </row>
    <row r="839" spans="1:14" s="5" customFormat="1" ht="20.100000000000001" customHeight="1" x14ac:dyDescent="0.25">
      <c r="A839" s="14" t="s">
        <v>9</v>
      </c>
      <c r="B839" s="16" t="s">
        <v>42</v>
      </c>
      <c r="C839" s="25" t="s">
        <v>60</v>
      </c>
      <c r="D839" s="6" t="s">
        <v>1744</v>
      </c>
      <c r="E839" s="37"/>
      <c r="F839" s="37"/>
      <c r="G839" s="37"/>
      <c r="H839" s="37"/>
      <c r="I839" s="48"/>
      <c r="J839" s="103"/>
      <c r="K839" s="104"/>
      <c r="L839" s="105"/>
      <c r="M839" s="106" t="str">
        <f t="shared" si="181"/>
        <v/>
      </c>
      <c r="N839" s="5" t="s">
        <v>1673</v>
      </c>
    </row>
    <row r="840" spans="1:14" s="3" customFormat="1" ht="30" customHeight="1" x14ac:dyDescent="0.25">
      <c r="A840" s="14" t="s">
        <v>9</v>
      </c>
      <c r="B840" s="16" t="s">
        <v>42</v>
      </c>
      <c r="C840" s="25" t="s">
        <v>61</v>
      </c>
      <c r="D840" s="168" t="s">
        <v>43</v>
      </c>
      <c r="E840" s="38">
        <v>0</v>
      </c>
      <c r="F840" s="39">
        <v>0</v>
      </c>
      <c r="G840" s="40">
        <v>0</v>
      </c>
      <c r="H840" s="41">
        <v>0</v>
      </c>
      <c r="I840" s="42">
        <f t="shared" ref="I840:I849" si="193">SUM(E840:H840)</f>
        <v>0</v>
      </c>
      <c r="J840" s="103" t="str">
        <f t="shared" ref="J840:L849" si="194">IFERROR(E840/$I840*100,"")</f>
        <v/>
      </c>
      <c r="K840" s="104" t="str">
        <f t="shared" si="194"/>
        <v/>
      </c>
      <c r="L840" s="105" t="str">
        <f t="shared" si="194"/>
        <v/>
      </c>
      <c r="M840" s="106" t="str">
        <f t="shared" si="181"/>
        <v/>
      </c>
    </row>
    <row r="841" spans="1:14" s="3" customFormat="1" ht="30" customHeight="1" x14ac:dyDescent="0.25">
      <c r="A841" s="14" t="s">
        <v>9</v>
      </c>
      <c r="B841" s="16" t="s">
        <v>42</v>
      </c>
      <c r="C841" s="25" t="s">
        <v>61</v>
      </c>
      <c r="D841" s="168" t="s">
        <v>44</v>
      </c>
      <c r="E841" s="38">
        <v>0</v>
      </c>
      <c r="F841" s="39">
        <v>0</v>
      </c>
      <c r="G841" s="40">
        <v>0</v>
      </c>
      <c r="H841" s="41">
        <v>0</v>
      </c>
      <c r="I841" s="42">
        <f t="shared" si="193"/>
        <v>0</v>
      </c>
      <c r="J841" s="103" t="str">
        <f t="shared" si="194"/>
        <v/>
      </c>
      <c r="K841" s="104" t="str">
        <f t="shared" si="194"/>
        <v/>
      </c>
      <c r="L841" s="105" t="str">
        <f t="shared" si="194"/>
        <v/>
      </c>
      <c r="M841" s="106" t="str">
        <f t="shared" si="181"/>
        <v/>
      </c>
    </row>
    <row r="842" spans="1:14" s="3" customFormat="1" ht="30" customHeight="1" x14ac:dyDescent="0.25">
      <c r="A842" s="14" t="s">
        <v>9</v>
      </c>
      <c r="B842" s="16" t="s">
        <v>42</v>
      </c>
      <c r="C842" s="25" t="s">
        <v>61</v>
      </c>
      <c r="D842" s="168" t="s">
        <v>45</v>
      </c>
      <c r="E842" s="38">
        <v>0</v>
      </c>
      <c r="F842" s="39">
        <v>0</v>
      </c>
      <c r="G842" s="40">
        <v>0</v>
      </c>
      <c r="H842" s="41">
        <v>0</v>
      </c>
      <c r="I842" s="42">
        <f t="shared" si="193"/>
        <v>0</v>
      </c>
      <c r="J842" s="103" t="str">
        <f t="shared" si="194"/>
        <v/>
      </c>
      <c r="K842" s="104" t="str">
        <f t="shared" si="194"/>
        <v/>
      </c>
      <c r="L842" s="105" t="str">
        <f t="shared" si="194"/>
        <v/>
      </c>
      <c r="M842" s="106" t="str">
        <f t="shared" si="181"/>
        <v/>
      </c>
    </row>
    <row r="843" spans="1:14" s="3" customFormat="1" ht="30" customHeight="1" x14ac:dyDescent="0.25">
      <c r="A843" s="14" t="s">
        <v>9</v>
      </c>
      <c r="B843" s="16" t="s">
        <v>42</v>
      </c>
      <c r="C843" s="25" t="s">
        <v>61</v>
      </c>
      <c r="D843" s="168" t="s">
        <v>46</v>
      </c>
      <c r="E843" s="38">
        <v>0</v>
      </c>
      <c r="F843" s="39">
        <v>0</v>
      </c>
      <c r="G843" s="40">
        <v>0</v>
      </c>
      <c r="H843" s="41">
        <v>0</v>
      </c>
      <c r="I843" s="42">
        <f t="shared" si="193"/>
        <v>0</v>
      </c>
      <c r="J843" s="103" t="str">
        <f t="shared" si="194"/>
        <v/>
      </c>
      <c r="K843" s="104" t="str">
        <f t="shared" si="194"/>
        <v/>
      </c>
      <c r="L843" s="105" t="str">
        <f t="shared" si="194"/>
        <v/>
      </c>
      <c r="M843" s="106" t="str">
        <f t="shared" si="181"/>
        <v/>
      </c>
    </row>
    <row r="844" spans="1:14" s="3" customFormat="1" ht="30" customHeight="1" x14ac:dyDescent="0.25">
      <c r="A844" s="14" t="s">
        <v>9</v>
      </c>
      <c r="B844" s="16" t="s">
        <v>42</v>
      </c>
      <c r="C844" s="25" t="s">
        <v>61</v>
      </c>
      <c r="D844" s="168" t="s">
        <v>51</v>
      </c>
      <c r="E844" s="38">
        <v>0</v>
      </c>
      <c r="F844" s="39">
        <v>0</v>
      </c>
      <c r="G844" s="40">
        <v>0</v>
      </c>
      <c r="H844" s="41">
        <v>0</v>
      </c>
      <c r="I844" s="42">
        <f t="shared" si="193"/>
        <v>0</v>
      </c>
      <c r="J844" s="103" t="str">
        <f t="shared" si="194"/>
        <v/>
      </c>
      <c r="K844" s="104" t="str">
        <f t="shared" si="194"/>
        <v/>
      </c>
      <c r="L844" s="105" t="str">
        <f t="shared" si="194"/>
        <v/>
      </c>
      <c r="M844" s="106" t="str">
        <f t="shared" si="181"/>
        <v/>
      </c>
    </row>
    <row r="845" spans="1:14" s="3" customFormat="1" ht="30" customHeight="1" x14ac:dyDescent="0.25">
      <c r="A845" s="14" t="s">
        <v>9</v>
      </c>
      <c r="B845" s="16" t="s">
        <v>42</v>
      </c>
      <c r="C845" s="25" t="s">
        <v>61</v>
      </c>
      <c r="D845" s="168" t="s">
        <v>52</v>
      </c>
      <c r="E845" s="38">
        <v>0</v>
      </c>
      <c r="F845" s="39">
        <v>0</v>
      </c>
      <c r="G845" s="40">
        <v>0</v>
      </c>
      <c r="H845" s="41">
        <v>0</v>
      </c>
      <c r="I845" s="42">
        <f t="shared" si="193"/>
        <v>0</v>
      </c>
      <c r="J845" s="103" t="str">
        <f t="shared" si="194"/>
        <v/>
      </c>
      <c r="K845" s="104" t="str">
        <f t="shared" si="194"/>
        <v/>
      </c>
      <c r="L845" s="105" t="str">
        <f t="shared" si="194"/>
        <v/>
      </c>
      <c r="M845" s="106" t="str">
        <f t="shared" si="181"/>
        <v/>
      </c>
    </row>
    <row r="846" spans="1:14" s="3" customFormat="1" ht="30" customHeight="1" x14ac:dyDescent="0.25">
      <c r="A846" s="14" t="s">
        <v>9</v>
      </c>
      <c r="B846" s="16" t="s">
        <v>42</v>
      </c>
      <c r="C846" s="25" t="s">
        <v>61</v>
      </c>
      <c r="D846" s="168" t="s">
        <v>47</v>
      </c>
      <c r="E846" s="38">
        <v>0</v>
      </c>
      <c r="F846" s="39">
        <v>0</v>
      </c>
      <c r="G846" s="40">
        <v>0</v>
      </c>
      <c r="H846" s="41">
        <v>0</v>
      </c>
      <c r="I846" s="42">
        <f t="shared" si="193"/>
        <v>0</v>
      </c>
      <c r="J846" s="103" t="str">
        <f t="shared" si="194"/>
        <v/>
      </c>
      <c r="K846" s="104" t="str">
        <f t="shared" si="194"/>
        <v/>
      </c>
      <c r="L846" s="105" t="str">
        <f t="shared" si="194"/>
        <v/>
      </c>
      <c r="M846" s="106" t="str">
        <f t="shared" si="181"/>
        <v/>
      </c>
    </row>
    <row r="847" spans="1:14" s="3" customFormat="1" ht="30" customHeight="1" x14ac:dyDescent="0.25">
      <c r="A847" s="14" t="s">
        <v>9</v>
      </c>
      <c r="B847" s="16" t="s">
        <v>42</v>
      </c>
      <c r="C847" s="25" t="s">
        <v>61</v>
      </c>
      <c r="D847" s="168" t="s">
        <v>48</v>
      </c>
      <c r="E847" s="38">
        <v>0</v>
      </c>
      <c r="F847" s="39">
        <v>0</v>
      </c>
      <c r="G847" s="40">
        <v>0</v>
      </c>
      <c r="H847" s="41">
        <v>0</v>
      </c>
      <c r="I847" s="42">
        <f t="shared" si="193"/>
        <v>0</v>
      </c>
      <c r="J847" s="103" t="str">
        <f t="shared" si="194"/>
        <v/>
      </c>
      <c r="K847" s="104" t="str">
        <f t="shared" si="194"/>
        <v/>
      </c>
      <c r="L847" s="105" t="str">
        <f t="shared" si="194"/>
        <v/>
      </c>
      <c r="M847" s="106" t="str">
        <f t="shared" si="181"/>
        <v/>
      </c>
    </row>
    <row r="848" spans="1:14" s="3" customFormat="1" ht="30" customHeight="1" x14ac:dyDescent="0.25">
      <c r="A848" s="14" t="s">
        <v>9</v>
      </c>
      <c r="B848" s="16" t="s">
        <v>42</v>
      </c>
      <c r="C848" s="25" t="s">
        <v>61</v>
      </c>
      <c r="D848" s="168" t="s">
        <v>49</v>
      </c>
      <c r="E848" s="38">
        <v>0</v>
      </c>
      <c r="F848" s="39">
        <v>0</v>
      </c>
      <c r="G848" s="40">
        <v>0</v>
      </c>
      <c r="H848" s="41">
        <v>0</v>
      </c>
      <c r="I848" s="42">
        <f t="shared" si="193"/>
        <v>0</v>
      </c>
      <c r="J848" s="103" t="str">
        <f t="shared" si="194"/>
        <v/>
      </c>
      <c r="K848" s="104" t="str">
        <f t="shared" si="194"/>
        <v/>
      </c>
      <c r="L848" s="105" t="str">
        <f t="shared" si="194"/>
        <v/>
      </c>
      <c r="M848" s="106" t="str">
        <f t="shared" si="181"/>
        <v/>
      </c>
    </row>
    <row r="849" spans="1:14" s="3" customFormat="1" ht="30" customHeight="1" x14ac:dyDescent="0.25">
      <c r="A849" s="14" t="s">
        <v>9</v>
      </c>
      <c r="B849" s="16" t="s">
        <v>42</v>
      </c>
      <c r="C849" s="25" t="s">
        <v>61</v>
      </c>
      <c r="D849" s="168" t="s">
        <v>50</v>
      </c>
      <c r="E849" s="38">
        <v>0</v>
      </c>
      <c r="F849" s="39">
        <v>0</v>
      </c>
      <c r="G849" s="40">
        <v>0</v>
      </c>
      <c r="H849" s="41">
        <v>0</v>
      </c>
      <c r="I849" s="42">
        <f t="shared" si="193"/>
        <v>0</v>
      </c>
      <c r="J849" s="103" t="str">
        <f t="shared" si="194"/>
        <v/>
      </c>
      <c r="K849" s="104" t="str">
        <f t="shared" si="194"/>
        <v/>
      </c>
      <c r="L849" s="105" t="str">
        <f t="shared" si="194"/>
        <v/>
      </c>
      <c r="M849" s="106" t="str">
        <f t="shared" si="181"/>
        <v/>
      </c>
    </row>
    <row r="850" spans="1:14" s="8" customFormat="1" ht="30" customHeight="1" x14ac:dyDescent="0.25">
      <c r="A850" s="14" t="s">
        <v>9</v>
      </c>
      <c r="B850" s="16" t="s">
        <v>42</v>
      </c>
      <c r="C850" s="25"/>
      <c r="D850" s="9" t="s">
        <v>29</v>
      </c>
      <c r="E850" s="38">
        <f>SUM(E840:E849)</f>
        <v>0</v>
      </c>
      <c r="F850" s="39">
        <f t="shared" ref="F850:I850" si="195">SUM(F840:F849)</f>
        <v>0</v>
      </c>
      <c r="G850" s="40">
        <f t="shared" si="195"/>
        <v>0</v>
      </c>
      <c r="H850" s="41">
        <f t="shared" si="195"/>
        <v>0</v>
      </c>
      <c r="I850" s="43">
        <f t="shared" si="195"/>
        <v>0</v>
      </c>
      <c r="J850" s="103" t="str">
        <f>IFERROR(E850/SUM($E850:$H850)*100,"")</f>
        <v/>
      </c>
      <c r="K850" s="104" t="str">
        <f>IFERROR(F850/SUM($E850:$H850)*100,"")</f>
        <v/>
      </c>
      <c r="L850" s="105" t="str">
        <f>IFERROR(G850/SUM($E850:$H850)*100,"")</f>
        <v/>
      </c>
      <c r="M850" s="106" t="str">
        <f t="shared" si="181"/>
        <v/>
      </c>
      <c r="N850" s="5" t="s">
        <v>1671</v>
      </c>
    </row>
    <row r="851" spans="1:14" ht="5.0999999999999996" customHeight="1" x14ac:dyDescent="0.25">
      <c r="A851" s="14" t="s">
        <v>9</v>
      </c>
      <c r="B851" s="16" t="s">
        <v>42</v>
      </c>
      <c r="C851"/>
      <c r="D851" s="57"/>
      <c r="E851" s="59"/>
      <c r="F851" s="59"/>
      <c r="G851" s="59"/>
      <c r="H851" s="59"/>
      <c r="I851" s="59"/>
      <c r="J851" s="103"/>
      <c r="K851" s="104"/>
      <c r="L851" s="105"/>
      <c r="M851" s="106" t="str">
        <f t="shared" si="181"/>
        <v/>
      </c>
    </row>
    <row r="852" spans="1:14" s="7" customFormat="1" ht="20.100000000000001" customHeight="1" x14ac:dyDescent="0.25">
      <c r="A852" s="14" t="s">
        <v>9</v>
      </c>
      <c r="B852" s="16" t="s">
        <v>62</v>
      </c>
      <c r="C852" s="25" t="s">
        <v>60</v>
      </c>
      <c r="D852" s="62" t="s">
        <v>63</v>
      </c>
      <c r="E852" s="63"/>
      <c r="F852" s="63"/>
      <c r="G852" s="63"/>
      <c r="H852" s="63"/>
      <c r="I852" s="64"/>
      <c r="J852" s="103"/>
      <c r="K852" s="104"/>
      <c r="L852" s="105"/>
      <c r="M852" s="106" t="str">
        <f t="shared" ref="M852:M915" si="196">IFERROR(H852/$I852*100,"")</f>
        <v/>
      </c>
      <c r="N852" s="5" t="s">
        <v>1673</v>
      </c>
    </row>
    <row r="853" spans="1:14" s="8" customFormat="1" ht="30" customHeight="1" x14ac:dyDescent="0.25">
      <c r="A853" s="14" t="s">
        <v>9</v>
      </c>
      <c r="B853" s="16" t="s">
        <v>62</v>
      </c>
      <c r="C853" s="25"/>
      <c r="D853" s="168" t="s">
        <v>29</v>
      </c>
      <c r="E853" s="38">
        <f>SUM(E803,E792,E811,E850,E806,E814,E823,E829,E837,E826)</f>
        <v>0</v>
      </c>
      <c r="F853" s="39">
        <f>SUM(F803,F792,F811,F850,F806,F814,F823,F829,F837,F826)</f>
        <v>0</v>
      </c>
      <c r="G853" s="40">
        <f>SUM(G803,G792,G811,G850,G806,G814,G823,G829,G837,G826)</f>
        <v>0</v>
      </c>
      <c r="H853" s="41">
        <f>SUM(H803,H792,H811,H850,H806,H814,H823,H829,H837,H826)</f>
        <v>0</v>
      </c>
      <c r="I853" s="42">
        <f>SUM(I803,I792,I811,I850,I806,I814,I823,I829,I837,I826)</f>
        <v>0</v>
      </c>
      <c r="J853" s="103" t="str">
        <f>IFERROR(E853/SUM($E853:$H853)*100,"")</f>
        <v/>
      </c>
      <c r="K853" s="104" t="str">
        <f>IFERROR(F853/SUM($E853:$H853)*100,"")</f>
        <v/>
      </c>
      <c r="L853" s="105" t="str">
        <f>IFERROR(G853/SUM($E853:$H853)*100,"")</f>
        <v/>
      </c>
      <c r="M853" s="106" t="str">
        <f t="shared" si="196"/>
        <v/>
      </c>
      <c r="N853" s="5" t="s">
        <v>1671</v>
      </c>
    </row>
    <row r="854" spans="1:14" s="5" customFormat="1" ht="20.100000000000001" customHeight="1" x14ac:dyDescent="0.25">
      <c r="A854" s="14" t="s">
        <v>9</v>
      </c>
      <c r="B854" s="14"/>
      <c r="C854" s="25" t="s">
        <v>60</v>
      </c>
      <c r="D854" s="58"/>
      <c r="E854" s="60"/>
      <c r="F854" s="60"/>
      <c r="G854" s="60"/>
      <c r="H854" s="60"/>
      <c r="I854" s="60"/>
      <c r="J854" s="103"/>
      <c r="K854" s="104"/>
      <c r="L854" s="105"/>
      <c r="M854" s="106" t="str">
        <f t="shared" si="196"/>
        <v/>
      </c>
    </row>
    <row r="855" spans="1:14" s="5" customFormat="1" ht="20.100000000000001" customHeight="1" x14ac:dyDescent="0.25">
      <c r="A855" s="14" t="s">
        <v>15</v>
      </c>
      <c r="B855" s="14"/>
      <c r="C855" s="25" t="s">
        <v>60</v>
      </c>
      <c r="D855" s="20" t="str">
        <f>IFERROR(A855&amp;"   ("&amp;COUNTIFS(#REF!,"="&amp;A855)&amp;")",A855)</f>
        <v>DOX</v>
      </c>
      <c r="E855" s="45"/>
      <c r="F855" s="45"/>
      <c r="G855" s="45"/>
      <c r="H855" s="45"/>
      <c r="I855" s="46"/>
      <c r="J855" s="103"/>
      <c r="K855" s="104"/>
      <c r="L855" s="105"/>
      <c r="M855" s="106" t="str">
        <f t="shared" si="196"/>
        <v/>
      </c>
      <c r="N855" s="5" t="s">
        <v>1672</v>
      </c>
    </row>
    <row r="856" spans="1:14" s="5" customFormat="1" ht="20.100000000000001" customHeight="1" x14ac:dyDescent="0.25">
      <c r="A856" s="14" t="s">
        <v>15</v>
      </c>
      <c r="B856" s="16" t="s">
        <v>20</v>
      </c>
      <c r="C856" s="25" t="s">
        <v>60</v>
      </c>
      <c r="D856" s="6" t="s">
        <v>20</v>
      </c>
      <c r="E856" s="37"/>
      <c r="F856" s="37"/>
      <c r="G856" s="37"/>
      <c r="H856" s="37"/>
      <c r="I856" s="48"/>
      <c r="J856" s="103"/>
      <c r="K856" s="104"/>
      <c r="L856" s="105"/>
      <c r="M856" s="106" t="str">
        <f t="shared" si="196"/>
        <v/>
      </c>
      <c r="N856" s="5" t="s">
        <v>1673</v>
      </c>
    </row>
    <row r="857" spans="1:14" s="5" customFormat="1" ht="30" customHeight="1" x14ac:dyDescent="0.25">
      <c r="A857" s="14" t="s">
        <v>15</v>
      </c>
      <c r="B857" s="16" t="s">
        <v>20</v>
      </c>
      <c r="C857" s="25" t="s">
        <v>61</v>
      </c>
      <c r="D857" s="168" t="s">
        <v>25</v>
      </c>
      <c r="E857" s="38">
        <v>0</v>
      </c>
      <c r="F857" s="39">
        <v>0</v>
      </c>
      <c r="G857" s="40">
        <v>0</v>
      </c>
      <c r="H857" s="41">
        <v>0</v>
      </c>
      <c r="I857" s="42">
        <f>SUM(E857:H857)</f>
        <v>0</v>
      </c>
      <c r="J857" s="103" t="str">
        <f>IFERROR(E857/$I857*100,"")</f>
        <v/>
      </c>
      <c r="K857" s="104" t="str">
        <f>IFERROR(F857/$I857*100,"")</f>
        <v/>
      </c>
      <c r="L857" s="105" t="str">
        <f>IFERROR(G857/$I857*100,"")</f>
        <v/>
      </c>
      <c r="M857" s="106" t="str">
        <f t="shared" si="196"/>
        <v/>
      </c>
      <c r="N857" s="5" t="s">
        <v>1671</v>
      </c>
    </row>
    <row r="858" spans="1:14" ht="5.0999999999999996" customHeight="1" x14ac:dyDescent="0.25">
      <c r="A858" s="14" t="s">
        <v>15</v>
      </c>
      <c r="B858" s="16" t="s">
        <v>20</v>
      </c>
      <c r="C858"/>
      <c r="D858" s="57"/>
      <c r="E858" s="59"/>
      <c r="F858" s="59"/>
      <c r="G858" s="59"/>
      <c r="H858" s="59"/>
      <c r="I858" s="59"/>
      <c r="J858" s="103"/>
      <c r="K858" s="104"/>
      <c r="L858" s="105"/>
      <c r="M858" s="106" t="str">
        <f t="shared" si="196"/>
        <v/>
      </c>
    </row>
    <row r="859" spans="1:14" s="5" customFormat="1" ht="20.100000000000001" customHeight="1" x14ac:dyDescent="0.25">
      <c r="A859" s="14" t="s">
        <v>15</v>
      </c>
      <c r="B859" s="16" t="s">
        <v>26</v>
      </c>
      <c r="C859" s="25" t="s">
        <v>60</v>
      </c>
      <c r="D859" s="6" t="s">
        <v>98</v>
      </c>
      <c r="E859" s="37"/>
      <c r="F859" s="37"/>
      <c r="G859" s="37"/>
      <c r="H859" s="37"/>
      <c r="I859" s="47"/>
      <c r="J859" s="103"/>
      <c r="K859" s="104"/>
      <c r="L859" s="105"/>
      <c r="M859" s="106" t="str">
        <f t="shared" si="196"/>
        <v/>
      </c>
      <c r="N859" s="5" t="s">
        <v>1673</v>
      </c>
    </row>
    <row r="860" spans="1:14" s="5" customFormat="1" ht="30" customHeight="1" x14ac:dyDescent="0.25">
      <c r="A860" s="14" t="s">
        <v>15</v>
      </c>
      <c r="B860" s="16" t="s">
        <v>26</v>
      </c>
      <c r="C860" s="25" t="s">
        <v>61</v>
      </c>
      <c r="D860" s="169" t="s">
        <v>21</v>
      </c>
      <c r="E860" s="38">
        <v>0</v>
      </c>
      <c r="F860" s="39">
        <v>0</v>
      </c>
      <c r="G860" s="40">
        <v>0</v>
      </c>
      <c r="H860" s="41">
        <v>0</v>
      </c>
      <c r="I860" s="42">
        <f t="shared" ref="I860:I867" si="197">SUM(E860:H860)</f>
        <v>0</v>
      </c>
      <c r="J860" s="103" t="str">
        <f t="shared" ref="J860:L867" si="198">IFERROR(E860/$I860*100,"")</f>
        <v/>
      </c>
      <c r="K860" s="104" t="str">
        <f t="shared" si="198"/>
        <v/>
      </c>
      <c r="L860" s="105" t="str">
        <f t="shared" si="198"/>
        <v/>
      </c>
      <c r="M860" s="106" t="str">
        <f t="shared" si="196"/>
        <v/>
      </c>
    </row>
    <row r="861" spans="1:14" s="5" customFormat="1" ht="30" customHeight="1" x14ac:dyDescent="0.25">
      <c r="A861" s="14" t="s">
        <v>15</v>
      </c>
      <c r="B861" s="16" t="s">
        <v>26</v>
      </c>
      <c r="C861" s="25" t="s">
        <v>61</v>
      </c>
      <c r="D861" s="169" t="s">
        <v>22</v>
      </c>
      <c r="E861" s="38">
        <v>0</v>
      </c>
      <c r="F861" s="39">
        <v>0</v>
      </c>
      <c r="G861" s="40">
        <v>0</v>
      </c>
      <c r="H861" s="41">
        <v>0</v>
      </c>
      <c r="I861" s="42">
        <f t="shared" si="197"/>
        <v>0</v>
      </c>
      <c r="J861" s="103" t="str">
        <f t="shared" si="198"/>
        <v/>
      </c>
      <c r="K861" s="104" t="str">
        <f t="shared" si="198"/>
        <v/>
      </c>
      <c r="L861" s="105" t="str">
        <f t="shared" si="198"/>
        <v/>
      </c>
      <c r="M861" s="106" t="str">
        <f t="shared" si="196"/>
        <v/>
      </c>
    </row>
    <row r="862" spans="1:14" s="5" customFormat="1" ht="30" customHeight="1" x14ac:dyDescent="0.25">
      <c r="A862" s="14" t="s">
        <v>15</v>
      </c>
      <c r="B862" s="16" t="s">
        <v>26</v>
      </c>
      <c r="C862" s="25" t="s">
        <v>61</v>
      </c>
      <c r="D862" s="169" t="s">
        <v>27</v>
      </c>
      <c r="E862" s="38">
        <v>0</v>
      </c>
      <c r="F862" s="39">
        <v>0</v>
      </c>
      <c r="G862" s="40">
        <v>0</v>
      </c>
      <c r="H862" s="41">
        <v>0</v>
      </c>
      <c r="I862" s="42">
        <f t="shared" si="197"/>
        <v>0</v>
      </c>
      <c r="J862" s="103" t="str">
        <f t="shared" si="198"/>
        <v/>
      </c>
      <c r="K862" s="104" t="str">
        <f t="shared" si="198"/>
        <v/>
      </c>
      <c r="L862" s="105" t="str">
        <f t="shared" si="198"/>
        <v/>
      </c>
      <c r="M862" s="106" t="str">
        <f t="shared" si="196"/>
        <v/>
      </c>
    </row>
    <row r="863" spans="1:14" s="5" customFormat="1" ht="30" customHeight="1" x14ac:dyDescent="0.25">
      <c r="A863" s="14" t="s">
        <v>15</v>
      </c>
      <c r="B863" s="16" t="s">
        <v>26</v>
      </c>
      <c r="C863" s="25" t="s">
        <v>61</v>
      </c>
      <c r="D863" s="169" t="s">
        <v>23</v>
      </c>
      <c r="E863" s="38">
        <v>0</v>
      </c>
      <c r="F863" s="39">
        <v>0</v>
      </c>
      <c r="G863" s="40">
        <v>0</v>
      </c>
      <c r="H863" s="41">
        <v>0</v>
      </c>
      <c r="I863" s="42">
        <f t="shared" si="197"/>
        <v>0</v>
      </c>
      <c r="J863" s="103" t="str">
        <f t="shared" si="198"/>
        <v/>
      </c>
      <c r="K863" s="104" t="str">
        <f t="shared" si="198"/>
        <v/>
      </c>
      <c r="L863" s="105" t="str">
        <f t="shared" si="198"/>
        <v/>
      </c>
      <c r="M863" s="106" t="str">
        <f t="shared" si="196"/>
        <v/>
      </c>
    </row>
    <row r="864" spans="1:14" s="5" customFormat="1" ht="30" customHeight="1" x14ac:dyDescent="0.25">
      <c r="A864" s="14" t="s">
        <v>15</v>
      </c>
      <c r="B864" s="16" t="s">
        <v>26</v>
      </c>
      <c r="C864" s="25" t="s">
        <v>61</v>
      </c>
      <c r="D864" s="169" t="s">
        <v>24</v>
      </c>
      <c r="E864" s="38">
        <v>0</v>
      </c>
      <c r="F864" s="39">
        <v>0</v>
      </c>
      <c r="G864" s="40">
        <v>0</v>
      </c>
      <c r="H864" s="41">
        <v>0</v>
      </c>
      <c r="I864" s="42">
        <f t="shared" si="197"/>
        <v>0</v>
      </c>
      <c r="J864" s="103" t="str">
        <f t="shared" si="198"/>
        <v/>
      </c>
      <c r="K864" s="104" t="str">
        <f t="shared" si="198"/>
        <v/>
      </c>
      <c r="L864" s="105" t="str">
        <f t="shared" si="198"/>
        <v/>
      </c>
      <c r="M864" s="106" t="str">
        <f t="shared" si="196"/>
        <v/>
      </c>
    </row>
    <row r="865" spans="1:14" s="3" customFormat="1" ht="30" customHeight="1" x14ac:dyDescent="0.25">
      <c r="A865" s="14" t="s">
        <v>15</v>
      </c>
      <c r="B865" s="16" t="s">
        <v>26</v>
      </c>
      <c r="C865" s="25" t="s">
        <v>61</v>
      </c>
      <c r="D865" s="169" t="s">
        <v>41</v>
      </c>
      <c r="E865" s="38">
        <v>0</v>
      </c>
      <c r="F865" s="39">
        <v>0</v>
      </c>
      <c r="G865" s="40">
        <v>0</v>
      </c>
      <c r="H865" s="41">
        <v>0</v>
      </c>
      <c r="I865" s="42">
        <f t="shared" si="197"/>
        <v>0</v>
      </c>
      <c r="J865" s="103" t="str">
        <f t="shared" si="198"/>
        <v/>
      </c>
      <c r="K865" s="104" t="str">
        <f t="shared" si="198"/>
        <v/>
      </c>
      <c r="L865" s="105" t="str">
        <f t="shared" si="198"/>
        <v/>
      </c>
      <c r="M865" s="106" t="str">
        <f t="shared" si="196"/>
        <v/>
      </c>
    </row>
    <row r="866" spans="1:14" s="5" customFormat="1" ht="30" customHeight="1" x14ac:dyDescent="0.25">
      <c r="A866" s="14" t="s">
        <v>15</v>
      </c>
      <c r="B866" s="16" t="s">
        <v>26</v>
      </c>
      <c r="C866" s="25" t="s">
        <v>61</v>
      </c>
      <c r="D866" s="169" t="s">
        <v>28</v>
      </c>
      <c r="E866" s="38">
        <v>0</v>
      </c>
      <c r="F866" s="39">
        <v>0</v>
      </c>
      <c r="G866" s="40">
        <v>0</v>
      </c>
      <c r="H866" s="41">
        <v>0</v>
      </c>
      <c r="I866" s="42">
        <f t="shared" si="197"/>
        <v>0</v>
      </c>
      <c r="J866" s="103" t="str">
        <f t="shared" si="198"/>
        <v/>
      </c>
      <c r="K866" s="104" t="str">
        <f t="shared" si="198"/>
        <v/>
      </c>
      <c r="L866" s="105" t="str">
        <f t="shared" si="198"/>
        <v/>
      </c>
      <c r="M866" s="106" t="str">
        <f t="shared" si="196"/>
        <v/>
      </c>
    </row>
    <row r="867" spans="1:14" s="5" customFormat="1" ht="30" customHeight="1" x14ac:dyDescent="0.25">
      <c r="A867" s="14" t="s">
        <v>15</v>
      </c>
      <c r="B867" s="16" t="s">
        <v>26</v>
      </c>
      <c r="C867" s="25" t="s">
        <v>61</v>
      </c>
      <c r="D867" s="169" t="s">
        <v>40</v>
      </c>
      <c r="E867" s="38">
        <v>0</v>
      </c>
      <c r="F867" s="39">
        <v>0</v>
      </c>
      <c r="G867" s="40">
        <v>0</v>
      </c>
      <c r="H867" s="41">
        <v>0</v>
      </c>
      <c r="I867" s="42">
        <f t="shared" si="197"/>
        <v>0</v>
      </c>
      <c r="J867" s="103" t="str">
        <f t="shared" si="198"/>
        <v/>
      </c>
      <c r="K867" s="104" t="str">
        <f t="shared" si="198"/>
        <v/>
      </c>
      <c r="L867" s="105" t="str">
        <f t="shared" si="198"/>
        <v/>
      </c>
      <c r="M867" s="106" t="str">
        <f t="shared" si="196"/>
        <v/>
      </c>
    </row>
    <row r="868" spans="1:14" s="5" customFormat="1" ht="30" customHeight="1" x14ac:dyDescent="0.25">
      <c r="A868" s="14" t="s">
        <v>15</v>
      </c>
      <c r="B868" s="16" t="s">
        <v>26</v>
      </c>
      <c r="C868" s="25"/>
      <c r="D868" s="9" t="s">
        <v>29</v>
      </c>
      <c r="E868" s="38">
        <f>SUM(E860:E867)</f>
        <v>0</v>
      </c>
      <c r="F868" s="39">
        <f t="shared" ref="F868:I868" si="199">SUM(F860:F867)</f>
        <v>0</v>
      </c>
      <c r="G868" s="40">
        <f t="shared" si="199"/>
        <v>0</v>
      </c>
      <c r="H868" s="41">
        <f t="shared" si="199"/>
        <v>0</v>
      </c>
      <c r="I868" s="43">
        <f t="shared" si="199"/>
        <v>0</v>
      </c>
      <c r="J868" s="103" t="str">
        <f>IFERROR(E868/SUM($E868:$H868)*100,"")</f>
        <v/>
      </c>
      <c r="K868" s="104" t="str">
        <f>IFERROR(F868/SUM($E868:$H868)*100,"")</f>
        <v/>
      </c>
      <c r="L868" s="105" t="str">
        <f>IFERROR(G868/SUM($E868:$H868)*100,"")</f>
        <v/>
      </c>
      <c r="M868" s="106" t="str">
        <f t="shared" si="196"/>
        <v/>
      </c>
      <c r="N868" s="5" t="s">
        <v>1671</v>
      </c>
    </row>
    <row r="869" spans="1:14" ht="5.0999999999999996" customHeight="1" x14ac:dyDescent="0.25">
      <c r="A869" s="14" t="s">
        <v>15</v>
      </c>
      <c r="B869" s="16" t="s">
        <v>26</v>
      </c>
      <c r="C869"/>
      <c r="D869" s="57"/>
      <c r="E869" s="59"/>
      <c r="F869" s="59"/>
      <c r="G869" s="59"/>
      <c r="H869" s="59"/>
      <c r="I869" s="59"/>
      <c r="J869" s="103"/>
      <c r="K869" s="104"/>
      <c r="L869" s="105"/>
      <c r="M869" s="106" t="str">
        <f t="shared" si="196"/>
        <v/>
      </c>
    </row>
    <row r="870" spans="1:14" s="5" customFormat="1" ht="20.100000000000001" customHeight="1" x14ac:dyDescent="0.25">
      <c r="A870" s="14" t="s">
        <v>15</v>
      </c>
      <c r="B870" s="16" t="s">
        <v>64</v>
      </c>
      <c r="C870" s="25" t="s">
        <v>60</v>
      </c>
      <c r="D870" s="6" t="s">
        <v>65</v>
      </c>
      <c r="E870" s="37"/>
      <c r="F870" s="37"/>
      <c r="G870" s="37"/>
      <c r="H870" s="37"/>
      <c r="I870" s="48"/>
      <c r="J870" s="103"/>
      <c r="K870" s="104"/>
      <c r="L870" s="105"/>
      <c r="M870" s="106" t="str">
        <f t="shared" si="196"/>
        <v/>
      </c>
      <c r="N870" s="5" t="s">
        <v>1673</v>
      </c>
    </row>
    <row r="871" spans="1:14" s="5" customFormat="1" ht="30" customHeight="1" x14ac:dyDescent="0.25">
      <c r="A871" s="14" t="s">
        <v>15</v>
      </c>
      <c r="B871" s="16" t="s">
        <v>64</v>
      </c>
      <c r="C871" s="25" t="s">
        <v>61</v>
      </c>
      <c r="D871" s="168" t="s">
        <v>66</v>
      </c>
      <c r="E871" s="38">
        <v>0</v>
      </c>
      <c r="F871" s="39">
        <v>0</v>
      </c>
      <c r="G871" s="40">
        <v>0</v>
      </c>
      <c r="H871" s="41">
        <v>0</v>
      </c>
      <c r="I871" s="42">
        <f>SUM(E871:H871)</f>
        <v>0</v>
      </c>
      <c r="J871" s="103" t="str">
        <f>IFERROR(E871/$I871*100,"")</f>
        <v/>
      </c>
      <c r="K871" s="104" t="str">
        <f>IFERROR(F871/$I871*100,"")</f>
        <v/>
      </c>
      <c r="L871" s="105" t="str">
        <f>IFERROR(G871/$I871*100,"")</f>
        <v/>
      </c>
      <c r="M871" s="106" t="str">
        <f t="shared" si="196"/>
        <v/>
      </c>
      <c r="N871" s="5" t="s">
        <v>1671</v>
      </c>
    </row>
    <row r="872" spans="1:14" ht="5.0999999999999996" customHeight="1" x14ac:dyDescent="0.25">
      <c r="A872" s="14" t="s">
        <v>15</v>
      </c>
      <c r="B872" s="16" t="s">
        <v>64</v>
      </c>
      <c r="C872"/>
      <c r="D872" s="57"/>
      <c r="E872" s="59"/>
      <c r="F872" s="59"/>
      <c r="G872" s="59"/>
      <c r="H872" s="59"/>
      <c r="I872" s="59"/>
      <c r="J872" s="103"/>
      <c r="K872" s="104"/>
      <c r="L872" s="105"/>
      <c r="M872" s="106" t="str">
        <f t="shared" si="196"/>
        <v/>
      </c>
    </row>
    <row r="873" spans="1:14" s="5" customFormat="1" ht="20.100000000000001" customHeight="1" x14ac:dyDescent="0.25">
      <c r="A873" s="14" t="s">
        <v>15</v>
      </c>
      <c r="B873" s="16" t="s">
        <v>55</v>
      </c>
      <c r="C873" s="25" t="s">
        <v>60</v>
      </c>
      <c r="D873" s="6" t="s">
        <v>55</v>
      </c>
      <c r="E873" s="37"/>
      <c r="F873" s="37"/>
      <c r="G873" s="37"/>
      <c r="H873" s="37"/>
      <c r="I873" s="48"/>
      <c r="J873" s="103"/>
      <c r="K873" s="104"/>
      <c r="L873" s="105"/>
      <c r="M873" s="106" t="str">
        <f t="shared" si="196"/>
        <v/>
      </c>
      <c r="N873" s="5" t="s">
        <v>1673</v>
      </c>
    </row>
    <row r="874" spans="1:14" s="3" customFormat="1" ht="30" customHeight="1" x14ac:dyDescent="0.25">
      <c r="A874" s="14" t="s">
        <v>15</v>
      </c>
      <c r="B874" s="16" t="s">
        <v>55</v>
      </c>
      <c r="C874" s="25" t="s">
        <v>61</v>
      </c>
      <c r="D874" s="168" t="s">
        <v>56</v>
      </c>
      <c r="E874" s="38">
        <v>0</v>
      </c>
      <c r="F874" s="39">
        <v>0</v>
      </c>
      <c r="G874" s="40">
        <v>0</v>
      </c>
      <c r="H874" s="41">
        <v>0</v>
      </c>
      <c r="I874" s="42">
        <f>SUM(E874:H874)</f>
        <v>0</v>
      </c>
      <c r="J874" s="103" t="str">
        <f t="shared" ref="J874:L876" si="200">IFERROR(E874/$I874*100,"")</f>
        <v/>
      </c>
      <c r="K874" s="104" t="str">
        <f t="shared" si="200"/>
        <v/>
      </c>
      <c r="L874" s="105" t="str">
        <f t="shared" si="200"/>
        <v/>
      </c>
      <c r="M874" s="106" t="str">
        <f t="shared" si="196"/>
        <v/>
      </c>
      <c r="N874" s="5"/>
    </row>
    <row r="875" spans="1:14" s="3" customFormat="1" ht="30" customHeight="1" x14ac:dyDescent="0.25">
      <c r="A875" s="14" t="s">
        <v>15</v>
      </c>
      <c r="B875" s="16" t="s">
        <v>55</v>
      </c>
      <c r="C875" s="25" t="s">
        <v>61</v>
      </c>
      <c r="D875" s="168" t="s">
        <v>57</v>
      </c>
      <c r="E875" s="38">
        <v>0</v>
      </c>
      <c r="F875" s="39">
        <v>0</v>
      </c>
      <c r="G875" s="40">
        <v>0</v>
      </c>
      <c r="H875" s="41">
        <v>0</v>
      </c>
      <c r="I875" s="42">
        <f>SUM(E875:H875)</f>
        <v>0</v>
      </c>
      <c r="J875" s="103" t="str">
        <f t="shared" si="200"/>
        <v/>
      </c>
      <c r="K875" s="104" t="str">
        <f t="shared" si="200"/>
        <v/>
      </c>
      <c r="L875" s="105" t="str">
        <f t="shared" si="200"/>
        <v/>
      </c>
      <c r="M875" s="106" t="str">
        <f t="shared" si="196"/>
        <v/>
      </c>
    </row>
    <row r="876" spans="1:14" s="3" customFormat="1" ht="30" customHeight="1" x14ac:dyDescent="0.25">
      <c r="A876" s="14" t="s">
        <v>15</v>
      </c>
      <c r="B876" s="16" t="s">
        <v>55</v>
      </c>
      <c r="C876" s="25"/>
      <c r="D876" s="168" t="s">
        <v>29</v>
      </c>
      <c r="E876" s="38">
        <f>SUM(E874:E875)</f>
        <v>0</v>
      </c>
      <c r="F876" s="39">
        <f t="shared" ref="F876:I876" si="201">SUM(F874:F875)</f>
        <v>0</v>
      </c>
      <c r="G876" s="40">
        <f t="shared" si="201"/>
        <v>0</v>
      </c>
      <c r="H876" s="41">
        <f t="shared" si="201"/>
        <v>0</v>
      </c>
      <c r="I876" s="42">
        <f t="shared" si="201"/>
        <v>0</v>
      </c>
      <c r="J876" s="103" t="str">
        <f t="shared" si="200"/>
        <v/>
      </c>
      <c r="K876" s="104" t="str">
        <f t="shared" si="200"/>
        <v/>
      </c>
      <c r="L876" s="105" t="str">
        <f t="shared" si="200"/>
        <v/>
      </c>
      <c r="M876" s="106" t="str">
        <f t="shared" si="196"/>
        <v/>
      </c>
      <c r="N876" s="5" t="s">
        <v>1671</v>
      </c>
    </row>
    <row r="877" spans="1:14" ht="5.0999999999999996" customHeight="1" x14ac:dyDescent="0.25">
      <c r="A877" s="14" t="s">
        <v>15</v>
      </c>
      <c r="B877" s="16" t="s">
        <v>55</v>
      </c>
      <c r="C877"/>
      <c r="D877" s="57"/>
      <c r="E877" s="59"/>
      <c r="F877" s="59"/>
      <c r="G877" s="59"/>
      <c r="H877" s="59"/>
      <c r="I877" s="59"/>
      <c r="J877" s="103"/>
      <c r="K877" s="104"/>
      <c r="L877" s="105"/>
      <c r="M877" s="106" t="str">
        <f t="shared" si="196"/>
        <v/>
      </c>
    </row>
    <row r="878" spans="1:14" s="5" customFormat="1" ht="20.100000000000001" customHeight="1" x14ac:dyDescent="0.25">
      <c r="A878" s="14" t="s">
        <v>15</v>
      </c>
      <c r="B878" s="16" t="s">
        <v>74</v>
      </c>
      <c r="C878" s="25" t="s">
        <v>60</v>
      </c>
      <c r="D878" s="6" t="s">
        <v>75</v>
      </c>
      <c r="E878" s="37"/>
      <c r="F878" s="37"/>
      <c r="G878" s="37"/>
      <c r="H878" s="37"/>
      <c r="I878" s="48"/>
      <c r="J878" s="103"/>
      <c r="K878" s="104"/>
      <c r="L878" s="105"/>
      <c r="M878" s="106" t="str">
        <f t="shared" si="196"/>
        <v/>
      </c>
      <c r="N878" s="5" t="s">
        <v>1673</v>
      </c>
    </row>
    <row r="879" spans="1:14" s="3" customFormat="1" ht="30" customHeight="1" x14ac:dyDescent="0.25">
      <c r="A879" s="14" t="s">
        <v>15</v>
      </c>
      <c r="B879" s="16" t="s">
        <v>74</v>
      </c>
      <c r="C879" s="25" t="s">
        <v>61</v>
      </c>
      <c r="D879" s="168" t="s">
        <v>77</v>
      </c>
      <c r="E879" s="38">
        <v>0</v>
      </c>
      <c r="F879" s="39">
        <v>0</v>
      </c>
      <c r="G879" s="40">
        <v>0</v>
      </c>
      <c r="H879" s="41">
        <v>0</v>
      </c>
      <c r="I879" s="42">
        <f>SUM(E879:H879)</f>
        <v>0</v>
      </c>
      <c r="J879" s="103" t="str">
        <f>IFERROR(E879/$I879*100,"")</f>
        <v/>
      </c>
      <c r="K879" s="104" t="str">
        <f>IFERROR(F879/$I879*100,"")</f>
        <v/>
      </c>
      <c r="L879" s="105" t="str">
        <f>IFERROR(G879/$I879*100,"")</f>
        <v/>
      </c>
      <c r="M879" s="106" t="str">
        <f t="shared" si="196"/>
        <v/>
      </c>
      <c r="N879" s="3" t="s">
        <v>1671</v>
      </c>
    </row>
    <row r="880" spans="1:14" ht="5.0999999999999996" customHeight="1" x14ac:dyDescent="0.25">
      <c r="A880" s="14" t="s">
        <v>15</v>
      </c>
      <c r="B880" s="16" t="s">
        <v>74</v>
      </c>
      <c r="C880"/>
      <c r="D880" s="57"/>
      <c r="E880" s="59"/>
      <c r="F880" s="59"/>
      <c r="G880" s="59"/>
      <c r="H880" s="59"/>
      <c r="I880" s="59"/>
      <c r="J880" s="103"/>
      <c r="K880" s="104"/>
      <c r="L880" s="105"/>
      <c r="M880" s="106" t="str">
        <f t="shared" si="196"/>
        <v/>
      </c>
    </row>
    <row r="881" spans="1:14" s="5" customFormat="1" ht="20.100000000000001" customHeight="1" x14ac:dyDescent="0.25">
      <c r="A881" s="14" t="s">
        <v>15</v>
      </c>
      <c r="B881" s="16" t="s">
        <v>78</v>
      </c>
      <c r="C881" s="25" t="s">
        <v>60</v>
      </c>
      <c r="D881" s="6" t="s">
        <v>80</v>
      </c>
      <c r="E881" s="37"/>
      <c r="F881" s="37"/>
      <c r="G881" s="37"/>
      <c r="H881" s="37"/>
      <c r="I881" s="48"/>
      <c r="J881" s="103"/>
      <c r="K881" s="104"/>
      <c r="L881" s="105"/>
      <c r="M881" s="106" t="str">
        <f t="shared" si="196"/>
        <v/>
      </c>
      <c r="N881" s="5" t="s">
        <v>1673</v>
      </c>
    </row>
    <row r="882" spans="1:14" s="5" customFormat="1" ht="30" customHeight="1" x14ac:dyDescent="0.25">
      <c r="A882" s="14" t="s">
        <v>15</v>
      </c>
      <c r="B882" s="16" t="s">
        <v>78</v>
      </c>
      <c r="C882" s="25" t="s">
        <v>61</v>
      </c>
      <c r="D882" s="168" t="s">
        <v>81</v>
      </c>
      <c r="E882" s="38">
        <v>0</v>
      </c>
      <c r="F882" s="39">
        <v>0</v>
      </c>
      <c r="G882" s="40">
        <v>0</v>
      </c>
      <c r="H882" s="41">
        <v>0</v>
      </c>
      <c r="I882" s="42">
        <f t="shared" ref="I882:I888" si="202">SUM(E882:H882)</f>
        <v>0</v>
      </c>
      <c r="J882" s="103" t="str">
        <f t="shared" ref="J882:L888" si="203">IFERROR(E882/$I882*100,"")</f>
        <v/>
      </c>
      <c r="K882" s="104" t="str">
        <f t="shared" si="203"/>
        <v/>
      </c>
      <c r="L882" s="105" t="str">
        <f t="shared" si="203"/>
        <v/>
      </c>
      <c r="M882" s="106" t="str">
        <f t="shared" si="196"/>
        <v/>
      </c>
    </row>
    <row r="883" spans="1:14" s="5" customFormat="1" ht="30" customHeight="1" x14ac:dyDescent="0.25">
      <c r="A883" s="14" t="s">
        <v>15</v>
      </c>
      <c r="B883" s="16" t="s">
        <v>78</v>
      </c>
      <c r="C883" s="25" t="s">
        <v>61</v>
      </c>
      <c r="D883" s="168" t="s">
        <v>82</v>
      </c>
      <c r="E883" s="38">
        <v>0</v>
      </c>
      <c r="F883" s="39">
        <v>0</v>
      </c>
      <c r="G883" s="40">
        <v>0</v>
      </c>
      <c r="H883" s="41">
        <v>0</v>
      </c>
      <c r="I883" s="42">
        <f t="shared" si="202"/>
        <v>0</v>
      </c>
      <c r="J883" s="103" t="str">
        <f t="shared" si="203"/>
        <v/>
      </c>
      <c r="K883" s="104" t="str">
        <f t="shared" si="203"/>
        <v/>
      </c>
      <c r="L883" s="105" t="str">
        <f t="shared" si="203"/>
        <v/>
      </c>
      <c r="M883" s="106" t="str">
        <f t="shared" si="196"/>
        <v/>
      </c>
    </row>
    <row r="884" spans="1:14" s="5" customFormat="1" ht="30" customHeight="1" x14ac:dyDescent="0.25">
      <c r="A884" s="14" t="s">
        <v>15</v>
      </c>
      <c r="B884" s="16" t="s">
        <v>78</v>
      </c>
      <c r="C884" s="25" t="s">
        <v>61</v>
      </c>
      <c r="D884" s="168" t="s">
        <v>83</v>
      </c>
      <c r="E884" s="38">
        <v>0</v>
      </c>
      <c r="F884" s="39">
        <v>0</v>
      </c>
      <c r="G884" s="40">
        <v>0</v>
      </c>
      <c r="H884" s="41">
        <v>0</v>
      </c>
      <c r="I884" s="42">
        <f t="shared" si="202"/>
        <v>0</v>
      </c>
      <c r="J884" s="103" t="str">
        <f t="shared" si="203"/>
        <v/>
      </c>
      <c r="K884" s="104" t="str">
        <f t="shared" si="203"/>
        <v/>
      </c>
      <c r="L884" s="105" t="str">
        <f t="shared" si="203"/>
        <v/>
      </c>
      <c r="M884" s="106" t="str">
        <f t="shared" si="196"/>
        <v/>
      </c>
    </row>
    <row r="885" spans="1:14" s="5" customFormat="1" ht="30" customHeight="1" x14ac:dyDescent="0.25">
      <c r="A885" s="14" t="s">
        <v>15</v>
      </c>
      <c r="B885" s="16" t="s">
        <v>78</v>
      </c>
      <c r="C885" s="25" t="s">
        <v>61</v>
      </c>
      <c r="D885" s="168" t="s">
        <v>88</v>
      </c>
      <c r="E885" s="38">
        <v>0</v>
      </c>
      <c r="F885" s="39">
        <v>0</v>
      </c>
      <c r="G885" s="40">
        <v>0</v>
      </c>
      <c r="H885" s="41">
        <v>0</v>
      </c>
      <c r="I885" s="42">
        <f t="shared" si="202"/>
        <v>0</v>
      </c>
      <c r="J885" s="103" t="str">
        <f t="shared" si="203"/>
        <v/>
      </c>
      <c r="K885" s="104" t="str">
        <f t="shared" si="203"/>
        <v/>
      </c>
      <c r="L885" s="105" t="str">
        <f t="shared" si="203"/>
        <v/>
      </c>
      <c r="M885" s="106" t="str">
        <f t="shared" si="196"/>
        <v/>
      </c>
    </row>
    <row r="886" spans="1:14" s="5" customFormat="1" ht="30" customHeight="1" x14ac:dyDescent="0.25">
      <c r="A886" s="14" t="s">
        <v>15</v>
      </c>
      <c r="B886" s="16" t="s">
        <v>78</v>
      </c>
      <c r="C886" s="25" t="s">
        <v>61</v>
      </c>
      <c r="D886" s="168" t="s">
        <v>87</v>
      </c>
      <c r="E886" s="38">
        <v>0</v>
      </c>
      <c r="F886" s="39">
        <v>0</v>
      </c>
      <c r="G886" s="40">
        <v>0</v>
      </c>
      <c r="H886" s="41">
        <v>0</v>
      </c>
      <c r="I886" s="42">
        <f t="shared" si="202"/>
        <v>0</v>
      </c>
      <c r="J886" s="103" t="str">
        <f t="shared" si="203"/>
        <v/>
      </c>
      <c r="K886" s="104" t="str">
        <f t="shared" si="203"/>
        <v/>
      </c>
      <c r="L886" s="105" t="str">
        <f t="shared" si="203"/>
        <v/>
      </c>
      <c r="M886" s="106" t="str">
        <f t="shared" si="196"/>
        <v/>
      </c>
    </row>
    <row r="887" spans="1:14" s="5" customFormat="1" ht="30" customHeight="1" x14ac:dyDescent="0.25">
      <c r="A887" s="14" t="s">
        <v>15</v>
      </c>
      <c r="B887" s="16" t="s">
        <v>78</v>
      </c>
      <c r="C887" s="25" t="s">
        <v>61</v>
      </c>
      <c r="D887" s="168" t="s">
        <v>84</v>
      </c>
      <c r="E887" s="38">
        <v>0</v>
      </c>
      <c r="F887" s="39">
        <v>0</v>
      </c>
      <c r="G887" s="40">
        <v>0</v>
      </c>
      <c r="H887" s="41">
        <v>0</v>
      </c>
      <c r="I887" s="42">
        <f t="shared" si="202"/>
        <v>0</v>
      </c>
      <c r="J887" s="103" t="str">
        <f t="shared" si="203"/>
        <v/>
      </c>
      <c r="K887" s="104" t="str">
        <f t="shared" si="203"/>
        <v/>
      </c>
      <c r="L887" s="105" t="str">
        <f t="shared" si="203"/>
        <v/>
      </c>
      <c r="M887" s="106" t="str">
        <f t="shared" si="196"/>
        <v/>
      </c>
    </row>
    <row r="888" spans="1:14" s="5" customFormat="1" ht="30" customHeight="1" x14ac:dyDescent="0.25">
      <c r="A888" s="14" t="s">
        <v>15</v>
      </c>
      <c r="B888" s="16" t="s">
        <v>78</v>
      </c>
      <c r="C888" s="25" t="s">
        <v>86</v>
      </c>
      <c r="D888" s="168" t="s">
        <v>79</v>
      </c>
      <c r="E888" s="38">
        <v>0</v>
      </c>
      <c r="F888" s="39">
        <v>0</v>
      </c>
      <c r="G888" s="40">
        <v>0</v>
      </c>
      <c r="H888" s="41">
        <v>0</v>
      </c>
      <c r="I888" s="42">
        <f t="shared" si="202"/>
        <v>0</v>
      </c>
      <c r="J888" s="103" t="str">
        <f t="shared" si="203"/>
        <v/>
      </c>
      <c r="K888" s="104" t="str">
        <f t="shared" si="203"/>
        <v/>
      </c>
      <c r="L888" s="105" t="str">
        <f t="shared" si="203"/>
        <v/>
      </c>
      <c r="M888" s="106" t="str">
        <f t="shared" si="196"/>
        <v/>
      </c>
      <c r="N888" s="5" t="s">
        <v>1671</v>
      </c>
    </row>
    <row r="889" spans="1:14" ht="5.0999999999999996" customHeight="1" x14ac:dyDescent="0.25">
      <c r="A889" s="14" t="s">
        <v>15</v>
      </c>
      <c r="B889" s="16" t="s">
        <v>78</v>
      </c>
      <c r="C889"/>
      <c r="D889" s="57"/>
      <c r="E889" s="59"/>
      <c r="F889" s="59"/>
      <c r="G889" s="59"/>
      <c r="H889" s="59"/>
      <c r="I889" s="59"/>
      <c r="J889" s="103"/>
      <c r="K889" s="104"/>
      <c r="L889" s="105"/>
      <c r="M889" s="106" t="str">
        <f t="shared" si="196"/>
        <v/>
      </c>
    </row>
    <row r="890" spans="1:14" s="5" customFormat="1" ht="20.100000000000001" customHeight="1" x14ac:dyDescent="0.25">
      <c r="A890" s="14" t="s">
        <v>15</v>
      </c>
      <c r="B890" s="16" t="s">
        <v>1642</v>
      </c>
      <c r="C890" s="25" t="s">
        <v>60</v>
      </c>
      <c r="D890" s="6" t="s">
        <v>1644</v>
      </c>
      <c r="E890" s="37"/>
      <c r="F890" s="37"/>
      <c r="G890" s="37"/>
      <c r="H890" s="37"/>
      <c r="I890" s="48"/>
      <c r="J890" s="103"/>
      <c r="K890" s="104"/>
      <c r="L890" s="105"/>
      <c r="M890" s="106" t="str">
        <f t="shared" si="196"/>
        <v/>
      </c>
      <c r="N890" s="5" t="s">
        <v>1673</v>
      </c>
    </row>
    <row r="891" spans="1:14" s="5" customFormat="1" ht="30" customHeight="1" x14ac:dyDescent="0.25">
      <c r="A891" s="14" t="s">
        <v>15</v>
      </c>
      <c r="B891" s="16" t="s">
        <v>1642</v>
      </c>
      <c r="C891" s="25" t="s">
        <v>61</v>
      </c>
      <c r="D891" s="168" t="s">
        <v>1643</v>
      </c>
      <c r="E891" s="38">
        <v>0</v>
      </c>
      <c r="F891" s="39">
        <v>0</v>
      </c>
      <c r="G891" s="40">
        <v>0</v>
      </c>
      <c r="H891" s="41">
        <v>0</v>
      </c>
      <c r="I891" s="42">
        <f t="shared" ref="I891" si="204">SUM(E891:H891)</f>
        <v>0</v>
      </c>
      <c r="J891" s="103" t="str">
        <f>IFERROR(E891/$I891*100,"")</f>
        <v/>
      </c>
      <c r="K891" s="104" t="str">
        <f>IFERROR(F891/$I891*100,"")</f>
        <v/>
      </c>
      <c r="L891" s="105" t="str">
        <f>IFERROR(G891/$I891*100,"")</f>
        <v/>
      </c>
      <c r="M891" s="106" t="str">
        <f t="shared" si="196"/>
        <v/>
      </c>
      <c r="N891" s="5" t="s">
        <v>1671</v>
      </c>
    </row>
    <row r="892" spans="1:14" ht="5.0999999999999996" customHeight="1" x14ac:dyDescent="0.25">
      <c r="A892" s="14" t="s">
        <v>15</v>
      </c>
      <c r="B892" s="16" t="s">
        <v>1642</v>
      </c>
      <c r="C892"/>
      <c r="D892" s="57"/>
      <c r="E892" s="59"/>
      <c r="F892" s="59"/>
      <c r="G892" s="59"/>
      <c r="H892" s="59"/>
      <c r="I892" s="59"/>
      <c r="J892" s="103"/>
      <c r="K892" s="104"/>
      <c r="L892" s="105"/>
      <c r="M892" s="106" t="str">
        <f t="shared" si="196"/>
        <v/>
      </c>
    </row>
    <row r="893" spans="1:14" s="5" customFormat="1" ht="20.100000000000001" customHeight="1" x14ac:dyDescent="0.25">
      <c r="A893" s="14" t="s">
        <v>15</v>
      </c>
      <c r="B893" s="16" t="s">
        <v>91</v>
      </c>
      <c r="C893" s="25" t="s">
        <v>60</v>
      </c>
      <c r="D893" s="6" t="s">
        <v>89</v>
      </c>
      <c r="E893" s="37"/>
      <c r="F893" s="37"/>
      <c r="G893" s="37"/>
      <c r="H893" s="37"/>
      <c r="I893" s="48"/>
      <c r="J893" s="103"/>
      <c r="K893" s="104"/>
      <c r="L893" s="105"/>
      <c r="M893" s="106" t="str">
        <f t="shared" si="196"/>
        <v/>
      </c>
      <c r="N893" s="5" t="s">
        <v>1673</v>
      </c>
    </row>
    <row r="894" spans="1:14" s="5" customFormat="1" ht="30" customHeight="1" x14ac:dyDescent="0.25">
      <c r="A894" s="14" t="s">
        <v>15</v>
      </c>
      <c r="B894" s="16" t="s">
        <v>91</v>
      </c>
      <c r="C894" s="25" t="s">
        <v>61</v>
      </c>
      <c r="D894" s="168" t="s">
        <v>90</v>
      </c>
      <c r="E894" s="38">
        <v>0</v>
      </c>
      <c r="F894" s="39">
        <v>0</v>
      </c>
      <c r="G894" s="40">
        <v>0</v>
      </c>
      <c r="H894" s="41">
        <v>0</v>
      </c>
      <c r="I894" s="42">
        <f t="shared" ref="I894" si="205">SUM(E894:H894)</f>
        <v>0</v>
      </c>
      <c r="J894" s="103" t="str">
        <f>IFERROR(E894/$I894*100,"")</f>
        <v/>
      </c>
      <c r="K894" s="104" t="str">
        <f>IFERROR(F894/$I894*100,"")</f>
        <v/>
      </c>
      <c r="L894" s="105" t="str">
        <f>IFERROR(G894/$I894*100,"")</f>
        <v/>
      </c>
      <c r="M894" s="106" t="str">
        <f t="shared" si="196"/>
        <v/>
      </c>
      <c r="N894" s="5" t="s">
        <v>1671</v>
      </c>
    </row>
    <row r="895" spans="1:14" ht="5.0999999999999996" customHeight="1" x14ac:dyDescent="0.25">
      <c r="A895" s="14" t="s">
        <v>15</v>
      </c>
      <c r="B895" s="16" t="s">
        <v>91</v>
      </c>
      <c r="C895"/>
      <c r="D895" s="57"/>
      <c r="E895" s="59"/>
      <c r="F895" s="59"/>
      <c r="G895" s="59"/>
      <c r="H895" s="59"/>
      <c r="I895" s="59"/>
      <c r="J895" s="103"/>
      <c r="K895" s="104"/>
      <c r="L895" s="105"/>
      <c r="M895" s="106" t="str">
        <f t="shared" si="196"/>
        <v/>
      </c>
    </row>
    <row r="896" spans="1:14" s="5" customFormat="1" ht="20.100000000000001" customHeight="1" x14ac:dyDescent="0.25">
      <c r="A896" s="14" t="s">
        <v>15</v>
      </c>
      <c r="B896" s="16" t="s">
        <v>1637</v>
      </c>
      <c r="C896" s="25" t="s">
        <v>60</v>
      </c>
      <c r="D896" s="6" t="s">
        <v>1636</v>
      </c>
      <c r="E896" s="37"/>
      <c r="F896" s="37"/>
      <c r="G896" s="37"/>
      <c r="H896" s="37"/>
      <c r="I896" s="48"/>
      <c r="J896" s="103"/>
      <c r="K896" s="104"/>
      <c r="L896" s="105"/>
      <c r="M896" s="106" t="str">
        <f t="shared" si="196"/>
        <v/>
      </c>
      <c r="N896" s="5" t="s">
        <v>1673</v>
      </c>
    </row>
    <row r="897" spans="1:14" s="3" customFormat="1" ht="30" customHeight="1" x14ac:dyDescent="0.25">
      <c r="A897" s="14" t="s">
        <v>15</v>
      </c>
      <c r="B897" s="16" t="s">
        <v>1637</v>
      </c>
      <c r="C897" s="25" t="s">
        <v>61</v>
      </c>
      <c r="D897" s="168" t="s">
        <v>1638</v>
      </c>
      <c r="E897" s="38">
        <v>0</v>
      </c>
      <c r="F897" s="39">
        <v>0</v>
      </c>
      <c r="G897" s="40">
        <v>0</v>
      </c>
      <c r="H897" s="41">
        <v>0</v>
      </c>
      <c r="I897" s="42">
        <f t="shared" ref="I897:I902" si="206">SUM(E897:H897)</f>
        <v>0</v>
      </c>
      <c r="J897" s="103" t="str">
        <f t="shared" ref="J897:L901" si="207">IFERROR(E897/$I897*100,"")</f>
        <v/>
      </c>
      <c r="K897" s="104" t="str">
        <f t="shared" si="207"/>
        <v/>
      </c>
      <c r="L897" s="105" t="str">
        <f t="shared" si="207"/>
        <v/>
      </c>
      <c r="M897" s="106" t="str">
        <f t="shared" si="196"/>
        <v/>
      </c>
    </row>
    <row r="898" spans="1:14" s="3" customFormat="1" ht="30" customHeight="1" x14ac:dyDescent="0.25">
      <c r="A898" s="14" t="s">
        <v>15</v>
      </c>
      <c r="B898" s="16" t="s">
        <v>1637</v>
      </c>
      <c r="C898" s="25" t="s">
        <v>61</v>
      </c>
      <c r="D898" s="168" t="s">
        <v>1669</v>
      </c>
      <c r="E898" s="38">
        <v>0</v>
      </c>
      <c r="F898" s="39">
        <v>0</v>
      </c>
      <c r="G898" s="40">
        <v>0</v>
      </c>
      <c r="H898" s="41">
        <v>0</v>
      </c>
      <c r="I898" s="42">
        <f t="shared" si="206"/>
        <v>0</v>
      </c>
      <c r="J898" s="103" t="str">
        <f t="shared" si="207"/>
        <v/>
      </c>
      <c r="K898" s="104" t="str">
        <f t="shared" si="207"/>
        <v/>
      </c>
      <c r="L898" s="105" t="str">
        <f t="shared" si="207"/>
        <v/>
      </c>
      <c r="M898" s="106" t="str">
        <f t="shared" si="196"/>
        <v/>
      </c>
    </row>
    <row r="899" spans="1:14" s="3" customFormat="1" ht="30" customHeight="1" x14ac:dyDescent="0.25">
      <c r="A899" s="14" t="s">
        <v>15</v>
      </c>
      <c r="B899" s="16" t="s">
        <v>1637</v>
      </c>
      <c r="C899" s="25" t="s">
        <v>61</v>
      </c>
      <c r="D899" s="168" t="s">
        <v>1640</v>
      </c>
      <c r="E899" s="38">
        <v>0</v>
      </c>
      <c r="F899" s="39">
        <v>0</v>
      </c>
      <c r="G899" s="40">
        <v>0</v>
      </c>
      <c r="H899" s="41">
        <v>0</v>
      </c>
      <c r="I899" s="42">
        <f t="shared" si="206"/>
        <v>0</v>
      </c>
      <c r="J899" s="103" t="str">
        <f t="shared" si="207"/>
        <v/>
      </c>
      <c r="K899" s="104" t="str">
        <f t="shared" si="207"/>
        <v/>
      </c>
      <c r="L899" s="105" t="str">
        <f t="shared" si="207"/>
        <v/>
      </c>
      <c r="M899" s="106" t="str">
        <f t="shared" si="196"/>
        <v/>
      </c>
    </row>
    <row r="900" spans="1:14" s="3" customFormat="1" ht="30" customHeight="1" x14ac:dyDescent="0.25">
      <c r="A900" s="14" t="s">
        <v>15</v>
      </c>
      <c r="B900" s="16" t="s">
        <v>1637</v>
      </c>
      <c r="C900" s="25" t="s">
        <v>61</v>
      </c>
      <c r="D900" s="168" t="s">
        <v>1639</v>
      </c>
      <c r="E900" s="38">
        <v>0</v>
      </c>
      <c r="F900" s="39">
        <v>0</v>
      </c>
      <c r="G900" s="40">
        <v>0</v>
      </c>
      <c r="H900" s="41">
        <v>0</v>
      </c>
      <c r="I900" s="42">
        <f t="shared" si="206"/>
        <v>0</v>
      </c>
      <c r="J900" s="103" t="str">
        <f t="shared" si="207"/>
        <v/>
      </c>
      <c r="K900" s="104" t="str">
        <f t="shared" si="207"/>
        <v/>
      </c>
      <c r="L900" s="105" t="str">
        <f t="shared" si="207"/>
        <v/>
      </c>
      <c r="M900" s="106" t="str">
        <f t="shared" si="196"/>
        <v/>
      </c>
    </row>
    <row r="901" spans="1:14" s="3" customFormat="1" ht="30" customHeight="1" x14ac:dyDescent="0.25">
      <c r="A901" s="14" t="s">
        <v>15</v>
      </c>
      <c r="B901" s="16" t="s">
        <v>1637</v>
      </c>
      <c r="C901" s="25" t="s">
        <v>61</v>
      </c>
      <c r="D901" s="168" t="s">
        <v>1641</v>
      </c>
      <c r="E901" s="38">
        <v>0</v>
      </c>
      <c r="F901" s="39">
        <v>0</v>
      </c>
      <c r="G901" s="40">
        <v>0</v>
      </c>
      <c r="H901" s="41">
        <v>0</v>
      </c>
      <c r="I901" s="42">
        <f t="shared" si="206"/>
        <v>0</v>
      </c>
      <c r="J901" s="103" t="str">
        <f t="shared" si="207"/>
        <v/>
      </c>
      <c r="K901" s="104" t="str">
        <f t="shared" si="207"/>
        <v/>
      </c>
      <c r="L901" s="105" t="str">
        <f t="shared" si="207"/>
        <v/>
      </c>
      <c r="M901" s="106" t="str">
        <f t="shared" si="196"/>
        <v/>
      </c>
    </row>
    <row r="902" spans="1:14" s="3" customFormat="1" ht="30" customHeight="1" x14ac:dyDescent="0.25">
      <c r="A902" s="14" t="s">
        <v>15</v>
      </c>
      <c r="B902" s="16" t="s">
        <v>1637</v>
      </c>
      <c r="C902" s="25"/>
      <c r="D902" s="168" t="s">
        <v>29</v>
      </c>
      <c r="E902" s="38">
        <f>SUM(E897:E901)</f>
        <v>0</v>
      </c>
      <c r="F902" s="39">
        <f>SUM(F897:F901)</f>
        <v>0</v>
      </c>
      <c r="G902" s="40">
        <f>SUM(G897:G901)</f>
        <v>0</v>
      </c>
      <c r="H902" s="41">
        <f>SUM(H897:H901)</f>
        <v>0</v>
      </c>
      <c r="I902" s="42">
        <f t="shared" si="206"/>
        <v>0</v>
      </c>
      <c r="J902" s="103" t="str">
        <f>IFERROR(E902/SUM($E902:$H902)*100,"")</f>
        <v/>
      </c>
      <c r="K902" s="104" t="str">
        <f>IFERROR(F902/SUM($E902:$H902)*100,"")</f>
        <v/>
      </c>
      <c r="L902" s="105" t="str">
        <f>IFERROR(G902/SUM($E902:$H902)*100,"")</f>
        <v/>
      </c>
      <c r="M902" s="106" t="str">
        <f t="shared" si="196"/>
        <v/>
      </c>
      <c r="N902" s="5" t="s">
        <v>1671</v>
      </c>
    </row>
    <row r="903" spans="1:14" ht="5.0999999999999996" customHeight="1" x14ac:dyDescent="0.25">
      <c r="A903" s="14" t="s">
        <v>15</v>
      </c>
      <c r="B903" s="16" t="s">
        <v>1637</v>
      </c>
      <c r="C903"/>
      <c r="J903" s="103"/>
      <c r="K903" s="104"/>
      <c r="L903" s="105"/>
      <c r="M903" s="106" t="str">
        <f t="shared" si="196"/>
        <v/>
      </c>
    </row>
    <row r="904" spans="1:14" s="5" customFormat="1" ht="20.100000000000001" customHeight="1" x14ac:dyDescent="0.25">
      <c r="A904" s="14" t="s">
        <v>15</v>
      </c>
      <c r="B904" s="16" t="s">
        <v>42</v>
      </c>
      <c r="C904" s="25" t="s">
        <v>60</v>
      </c>
      <c r="D904" s="6" t="s">
        <v>1744</v>
      </c>
      <c r="E904" s="37"/>
      <c r="F904" s="37"/>
      <c r="G904" s="37"/>
      <c r="H904" s="37"/>
      <c r="I904" s="48"/>
      <c r="J904" s="103"/>
      <c r="K904" s="104"/>
      <c r="L904" s="105"/>
      <c r="M904" s="106" t="str">
        <f t="shared" si="196"/>
        <v/>
      </c>
      <c r="N904" s="5" t="s">
        <v>1673</v>
      </c>
    </row>
    <row r="905" spans="1:14" s="3" customFormat="1" ht="30" customHeight="1" x14ac:dyDescent="0.25">
      <c r="A905" s="14" t="s">
        <v>15</v>
      </c>
      <c r="B905" s="16" t="s">
        <v>42</v>
      </c>
      <c r="C905" s="25" t="s">
        <v>61</v>
      </c>
      <c r="D905" s="168" t="s">
        <v>43</v>
      </c>
      <c r="E905" s="38">
        <v>0</v>
      </c>
      <c r="F905" s="39">
        <v>0</v>
      </c>
      <c r="G905" s="40">
        <v>0</v>
      </c>
      <c r="H905" s="41">
        <v>0</v>
      </c>
      <c r="I905" s="42">
        <f t="shared" ref="I905:I914" si="208">SUM(E905:H905)</f>
        <v>0</v>
      </c>
      <c r="J905" s="103" t="str">
        <f t="shared" ref="J905:L914" si="209">IFERROR(E905/$I905*100,"")</f>
        <v/>
      </c>
      <c r="K905" s="104" t="str">
        <f t="shared" si="209"/>
        <v/>
      </c>
      <c r="L905" s="105" t="str">
        <f t="shared" si="209"/>
        <v/>
      </c>
      <c r="M905" s="106" t="str">
        <f t="shared" si="196"/>
        <v/>
      </c>
    </row>
    <row r="906" spans="1:14" s="3" customFormat="1" ht="30" customHeight="1" x14ac:dyDescent="0.25">
      <c r="A906" s="14" t="s">
        <v>15</v>
      </c>
      <c r="B906" s="16" t="s">
        <v>42</v>
      </c>
      <c r="C906" s="25" t="s">
        <v>61</v>
      </c>
      <c r="D906" s="168" t="s">
        <v>44</v>
      </c>
      <c r="E906" s="38">
        <v>0</v>
      </c>
      <c r="F906" s="39">
        <v>0</v>
      </c>
      <c r="G906" s="40">
        <v>0</v>
      </c>
      <c r="H906" s="41">
        <v>0</v>
      </c>
      <c r="I906" s="42">
        <f t="shared" si="208"/>
        <v>0</v>
      </c>
      <c r="J906" s="103" t="str">
        <f t="shared" si="209"/>
        <v/>
      </c>
      <c r="K906" s="104" t="str">
        <f t="shared" si="209"/>
        <v/>
      </c>
      <c r="L906" s="105" t="str">
        <f t="shared" si="209"/>
        <v/>
      </c>
      <c r="M906" s="106" t="str">
        <f t="shared" si="196"/>
        <v/>
      </c>
    </row>
    <row r="907" spans="1:14" s="3" customFormat="1" ht="30" customHeight="1" x14ac:dyDescent="0.25">
      <c r="A907" s="14" t="s">
        <v>15</v>
      </c>
      <c r="B907" s="16" t="s">
        <v>42</v>
      </c>
      <c r="C907" s="25" t="s">
        <v>61</v>
      </c>
      <c r="D907" s="168" t="s">
        <v>45</v>
      </c>
      <c r="E907" s="38">
        <v>0</v>
      </c>
      <c r="F907" s="39">
        <v>0</v>
      </c>
      <c r="G907" s="40">
        <v>0</v>
      </c>
      <c r="H907" s="41">
        <v>0</v>
      </c>
      <c r="I907" s="42">
        <f t="shared" si="208"/>
        <v>0</v>
      </c>
      <c r="J907" s="103" t="str">
        <f t="shared" si="209"/>
        <v/>
      </c>
      <c r="K907" s="104" t="str">
        <f t="shared" si="209"/>
        <v/>
      </c>
      <c r="L907" s="105" t="str">
        <f t="shared" si="209"/>
        <v/>
      </c>
      <c r="M907" s="106" t="str">
        <f t="shared" si="196"/>
        <v/>
      </c>
    </row>
    <row r="908" spans="1:14" s="3" customFormat="1" ht="30" customHeight="1" x14ac:dyDescent="0.25">
      <c r="A908" s="14" t="s">
        <v>15</v>
      </c>
      <c r="B908" s="16" t="s">
        <v>42</v>
      </c>
      <c r="C908" s="25" t="s">
        <v>61</v>
      </c>
      <c r="D908" s="168" t="s">
        <v>46</v>
      </c>
      <c r="E908" s="38">
        <v>0</v>
      </c>
      <c r="F908" s="39">
        <v>0</v>
      </c>
      <c r="G908" s="40">
        <v>0</v>
      </c>
      <c r="H908" s="41">
        <v>0</v>
      </c>
      <c r="I908" s="42">
        <f t="shared" si="208"/>
        <v>0</v>
      </c>
      <c r="J908" s="103" t="str">
        <f t="shared" si="209"/>
        <v/>
      </c>
      <c r="K908" s="104" t="str">
        <f t="shared" si="209"/>
        <v/>
      </c>
      <c r="L908" s="105" t="str">
        <f t="shared" si="209"/>
        <v/>
      </c>
      <c r="M908" s="106" t="str">
        <f t="shared" si="196"/>
        <v/>
      </c>
    </row>
    <row r="909" spans="1:14" s="3" customFormat="1" ht="30" customHeight="1" x14ac:dyDescent="0.25">
      <c r="A909" s="14" t="s">
        <v>15</v>
      </c>
      <c r="B909" s="16" t="s">
        <v>42</v>
      </c>
      <c r="C909" s="25" t="s">
        <v>61</v>
      </c>
      <c r="D909" s="168" t="s">
        <v>51</v>
      </c>
      <c r="E909" s="38">
        <v>0</v>
      </c>
      <c r="F909" s="39">
        <v>0</v>
      </c>
      <c r="G909" s="40">
        <v>0</v>
      </c>
      <c r="H909" s="41">
        <v>0</v>
      </c>
      <c r="I909" s="42">
        <f t="shared" si="208"/>
        <v>0</v>
      </c>
      <c r="J909" s="103" t="str">
        <f t="shared" si="209"/>
        <v/>
      </c>
      <c r="K909" s="104" t="str">
        <f t="shared" si="209"/>
        <v/>
      </c>
      <c r="L909" s="105" t="str">
        <f t="shared" si="209"/>
        <v/>
      </c>
      <c r="M909" s="106" t="str">
        <f t="shared" si="196"/>
        <v/>
      </c>
    </row>
    <row r="910" spans="1:14" s="3" customFormat="1" ht="30" customHeight="1" x14ac:dyDescent="0.25">
      <c r="A910" s="14" t="s">
        <v>15</v>
      </c>
      <c r="B910" s="16" t="s">
        <v>42</v>
      </c>
      <c r="C910" s="25" t="s">
        <v>61</v>
      </c>
      <c r="D910" s="168" t="s">
        <v>52</v>
      </c>
      <c r="E910" s="38">
        <v>0</v>
      </c>
      <c r="F910" s="39">
        <v>0</v>
      </c>
      <c r="G910" s="40">
        <v>0</v>
      </c>
      <c r="H910" s="41">
        <v>0</v>
      </c>
      <c r="I910" s="42">
        <f t="shared" si="208"/>
        <v>0</v>
      </c>
      <c r="J910" s="103" t="str">
        <f t="shared" si="209"/>
        <v/>
      </c>
      <c r="K910" s="104" t="str">
        <f t="shared" si="209"/>
        <v/>
      </c>
      <c r="L910" s="105" t="str">
        <f t="shared" si="209"/>
        <v/>
      </c>
      <c r="M910" s="106" t="str">
        <f t="shared" si="196"/>
        <v/>
      </c>
    </row>
    <row r="911" spans="1:14" s="3" customFormat="1" ht="30" customHeight="1" x14ac:dyDescent="0.25">
      <c r="A911" s="14" t="s">
        <v>15</v>
      </c>
      <c r="B911" s="16" t="s">
        <v>42</v>
      </c>
      <c r="C911" s="25" t="s">
        <v>61</v>
      </c>
      <c r="D911" s="168" t="s">
        <v>47</v>
      </c>
      <c r="E911" s="38">
        <v>0</v>
      </c>
      <c r="F911" s="39">
        <v>0</v>
      </c>
      <c r="G911" s="40">
        <v>0</v>
      </c>
      <c r="H911" s="41">
        <v>0</v>
      </c>
      <c r="I911" s="42">
        <f t="shared" si="208"/>
        <v>0</v>
      </c>
      <c r="J911" s="103" t="str">
        <f t="shared" si="209"/>
        <v/>
      </c>
      <c r="K911" s="104" t="str">
        <f t="shared" si="209"/>
        <v/>
      </c>
      <c r="L911" s="105" t="str">
        <f t="shared" si="209"/>
        <v/>
      </c>
      <c r="M911" s="106" t="str">
        <f t="shared" si="196"/>
        <v/>
      </c>
    </row>
    <row r="912" spans="1:14" s="3" customFormat="1" ht="30" customHeight="1" x14ac:dyDescent="0.25">
      <c r="A912" s="14" t="s">
        <v>15</v>
      </c>
      <c r="B912" s="16" t="s">
        <v>42</v>
      </c>
      <c r="C912" s="25" t="s">
        <v>61</v>
      </c>
      <c r="D912" s="168" t="s">
        <v>48</v>
      </c>
      <c r="E912" s="38">
        <v>0</v>
      </c>
      <c r="F912" s="39">
        <v>0</v>
      </c>
      <c r="G912" s="40">
        <v>0</v>
      </c>
      <c r="H912" s="41">
        <v>0</v>
      </c>
      <c r="I912" s="42">
        <f t="shared" si="208"/>
        <v>0</v>
      </c>
      <c r="J912" s="103" t="str">
        <f t="shared" si="209"/>
        <v/>
      </c>
      <c r="K912" s="104" t="str">
        <f t="shared" si="209"/>
        <v/>
      </c>
      <c r="L912" s="105" t="str">
        <f t="shared" si="209"/>
        <v/>
      </c>
      <c r="M912" s="106" t="str">
        <f t="shared" si="196"/>
        <v/>
      </c>
    </row>
    <row r="913" spans="1:14" s="3" customFormat="1" ht="30" customHeight="1" x14ac:dyDescent="0.25">
      <c r="A913" s="14" t="s">
        <v>15</v>
      </c>
      <c r="B913" s="16" t="s">
        <v>42</v>
      </c>
      <c r="C913" s="25" t="s">
        <v>61</v>
      </c>
      <c r="D913" s="168" t="s">
        <v>49</v>
      </c>
      <c r="E913" s="38">
        <v>0</v>
      </c>
      <c r="F913" s="39">
        <v>0</v>
      </c>
      <c r="G913" s="40">
        <v>0</v>
      </c>
      <c r="H913" s="41">
        <v>0</v>
      </c>
      <c r="I913" s="42">
        <f t="shared" si="208"/>
        <v>0</v>
      </c>
      <c r="J913" s="103" t="str">
        <f t="shared" si="209"/>
        <v/>
      </c>
      <c r="K913" s="104" t="str">
        <f t="shared" si="209"/>
        <v/>
      </c>
      <c r="L913" s="105" t="str">
        <f t="shared" si="209"/>
        <v/>
      </c>
      <c r="M913" s="106" t="str">
        <f t="shared" si="196"/>
        <v/>
      </c>
    </row>
    <row r="914" spans="1:14" s="3" customFormat="1" ht="30" customHeight="1" x14ac:dyDescent="0.25">
      <c r="A914" s="14" t="s">
        <v>15</v>
      </c>
      <c r="B914" s="16" t="s">
        <v>42</v>
      </c>
      <c r="C914" s="25" t="s">
        <v>61</v>
      </c>
      <c r="D914" s="168" t="s">
        <v>50</v>
      </c>
      <c r="E914" s="38">
        <v>0</v>
      </c>
      <c r="F914" s="39">
        <v>0</v>
      </c>
      <c r="G914" s="40">
        <v>0</v>
      </c>
      <c r="H914" s="41">
        <v>0</v>
      </c>
      <c r="I914" s="42">
        <f t="shared" si="208"/>
        <v>0</v>
      </c>
      <c r="J914" s="103" t="str">
        <f t="shared" si="209"/>
        <v/>
      </c>
      <c r="K914" s="104" t="str">
        <f t="shared" si="209"/>
        <v/>
      </c>
      <c r="L914" s="105" t="str">
        <f t="shared" si="209"/>
        <v/>
      </c>
      <c r="M914" s="106" t="str">
        <f t="shared" si="196"/>
        <v/>
      </c>
    </row>
    <row r="915" spans="1:14" s="8" customFormat="1" ht="30" customHeight="1" x14ac:dyDescent="0.25">
      <c r="A915" s="14" t="s">
        <v>15</v>
      </c>
      <c r="B915" s="16" t="s">
        <v>42</v>
      </c>
      <c r="C915" s="25"/>
      <c r="D915" s="9" t="s">
        <v>29</v>
      </c>
      <c r="E915" s="38">
        <f>SUM(E905:E914)</f>
        <v>0</v>
      </c>
      <c r="F915" s="39">
        <f t="shared" ref="F915:I915" si="210">SUM(F905:F914)</f>
        <v>0</v>
      </c>
      <c r="G915" s="40">
        <f t="shared" si="210"/>
        <v>0</v>
      </c>
      <c r="H915" s="41">
        <f t="shared" si="210"/>
        <v>0</v>
      </c>
      <c r="I915" s="43">
        <f t="shared" si="210"/>
        <v>0</v>
      </c>
      <c r="J915" s="103" t="str">
        <f>IFERROR(E915/SUM($E915:$H915)*100,"")</f>
        <v/>
      </c>
      <c r="K915" s="104" t="str">
        <f>IFERROR(F915/SUM($E915:$H915)*100,"")</f>
        <v/>
      </c>
      <c r="L915" s="105" t="str">
        <f>IFERROR(G915/SUM($E915:$H915)*100,"")</f>
        <v/>
      </c>
      <c r="M915" s="106" t="str">
        <f t="shared" si="196"/>
        <v/>
      </c>
      <c r="N915" s="5" t="s">
        <v>1671</v>
      </c>
    </row>
    <row r="916" spans="1:14" ht="5.0999999999999996" customHeight="1" x14ac:dyDescent="0.25">
      <c r="A916" s="14" t="s">
        <v>15</v>
      </c>
      <c r="B916" s="16" t="s">
        <v>42</v>
      </c>
      <c r="C916"/>
      <c r="D916" s="57"/>
      <c r="E916" s="59"/>
      <c r="F916" s="59"/>
      <c r="G916" s="59"/>
      <c r="H916" s="59"/>
      <c r="I916" s="59"/>
      <c r="J916" s="103"/>
      <c r="K916" s="104"/>
      <c r="L916" s="105"/>
      <c r="M916" s="106" t="str">
        <f t="shared" ref="M916:M979" si="211">IFERROR(H916/$I916*100,"")</f>
        <v/>
      </c>
    </row>
    <row r="917" spans="1:14" s="7" customFormat="1" ht="20.100000000000001" customHeight="1" x14ac:dyDescent="0.25">
      <c r="A917" s="14" t="s">
        <v>15</v>
      </c>
      <c r="B917" s="16" t="s">
        <v>62</v>
      </c>
      <c r="C917" s="25" t="s">
        <v>60</v>
      </c>
      <c r="D917" s="62" t="s">
        <v>63</v>
      </c>
      <c r="E917" s="63"/>
      <c r="F917" s="63"/>
      <c r="G917" s="63"/>
      <c r="H917" s="63"/>
      <c r="I917" s="64"/>
      <c r="J917" s="103"/>
      <c r="K917" s="104"/>
      <c r="L917" s="105"/>
      <c r="M917" s="106" t="str">
        <f t="shared" si="211"/>
        <v/>
      </c>
      <c r="N917" s="5" t="s">
        <v>1673</v>
      </c>
    </row>
    <row r="918" spans="1:14" s="8" customFormat="1" ht="30" customHeight="1" x14ac:dyDescent="0.25">
      <c r="A918" s="14" t="s">
        <v>15</v>
      </c>
      <c r="B918" s="16" t="s">
        <v>62</v>
      </c>
      <c r="C918" s="25"/>
      <c r="D918" s="168" t="s">
        <v>29</v>
      </c>
      <c r="E918" s="38">
        <f>SUM(E868,E857,E876,E915,E871,E879,E888,E894,E902,E891)</f>
        <v>0</v>
      </c>
      <c r="F918" s="39">
        <f>SUM(F868,F857,F876,F915,F871,F879,F888,F894,F902,F891)</f>
        <v>0</v>
      </c>
      <c r="G918" s="40">
        <f>SUM(G868,G857,G876,G915,G871,G879,G888,G894,G902,G891)</f>
        <v>0</v>
      </c>
      <c r="H918" s="41">
        <f>SUM(H868,H857,H876,H915,H871,H879,H888,H894,H902,H891)</f>
        <v>0</v>
      </c>
      <c r="I918" s="42">
        <f>SUM(I868,I857,I876,I915,I871,I879,I888,I894,I902,I891)</f>
        <v>0</v>
      </c>
      <c r="J918" s="103" t="str">
        <f>IFERROR(E918/SUM($E918:$H918)*100,"")</f>
        <v/>
      </c>
      <c r="K918" s="104" t="str">
        <f>IFERROR(F918/SUM($E918:$H918)*100,"")</f>
        <v/>
      </c>
      <c r="L918" s="105" t="str">
        <f>IFERROR(G918/SUM($E918:$H918)*100,"")</f>
        <v/>
      </c>
      <c r="M918" s="106" t="str">
        <f t="shared" si="211"/>
        <v/>
      </c>
      <c r="N918" s="5" t="s">
        <v>1671</v>
      </c>
    </row>
    <row r="919" spans="1:14" s="5" customFormat="1" ht="20.100000000000001" customHeight="1" x14ac:dyDescent="0.25">
      <c r="A919" s="14" t="s">
        <v>15</v>
      </c>
      <c r="B919" s="14"/>
      <c r="C919" s="25" t="s">
        <v>60</v>
      </c>
      <c r="D919" s="58"/>
      <c r="E919" s="60"/>
      <c r="F919" s="60"/>
      <c r="G919" s="60"/>
      <c r="H919" s="60"/>
      <c r="I919" s="60"/>
      <c r="J919" s="103"/>
      <c r="K919" s="104"/>
      <c r="L919" s="105"/>
      <c r="M919" s="106" t="str">
        <f t="shared" si="211"/>
        <v/>
      </c>
    </row>
    <row r="920" spans="1:14" s="5" customFormat="1" ht="20.100000000000001" customHeight="1" x14ac:dyDescent="0.25">
      <c r="A920" s="14" t="s">
        <v>10</v>
      </c>
      <c r="B920" s="14"/>
      <c r="C920" s="25" t="s">
        <v>60</v>
      </c>
      <c r="D920" s="20" t="str">
        <f>IFERROR(A920&amp;"   ("&amp;COUNTIFS(#REF!,"="&amp;A920)&amp;")",A920)</f>
        <v>MS</v>
      </c>
      <c r="E920" s="45"/>
      <c r="F920" s="45"/>
      <c r="G920" s="45"/>
      <c r="H920" s="45"/>
      <c r="I920" s="46"/>
      <c r="J920" s="103"/>
      <c r="K920" s="104"/>
      <c r="L920" s="105"/>
      <c r="M920" s="106" t="str">
        <f t="shared" si="211"/>
        <v/>
      </c>
      <c r="N920" s="5" t="s">
        <v>1672</v>
      </c>
    </row>
    <row r="921" spans="1:14" s="5" customFormat="1" ht="20.100000000000001" customHeight="1" x14ac:dyDescent="0.25">
      <c r="A921" s="14" t="s">
        <v>10</v>
      </c>
      <c r="B921" s="16" t="s">
        <v>20</v>
      </c>
      <c r="C921" s="25" t="s">
        <v>60</v>
      </c>
      <c r="D921" s="6" t="s">
        <v>20</v>
      </c>
      <c r="E921" s="37"/>
      <c r="F921" s="37"/>
      <c r="G921" s="37"/>
      <c r="H921" s="37"/>
      <c r="I921" s="48"/>
      <c r="J921" s="103"/>
      <c r="K921" s="104"/>
      <c r="L921" s="105"/>
      <c r="M921" s="106" t="str">
        <f t="shared" si="211"/>
        <v/>
      </c>
      <c r="N921" s="5" t="s">
        <v>1673</v>
      </c>
    </row>
    <row r="922" spans="1:14" s="5" customFormat="1" ht="30" customHeight="1" x14ac:dyDescent="0.25">
      <c r="A922" s="14" t="s">
        <v>10</v>
      </c>
      <c r="B922" s="16" t="s">
        <v>20</v>
      </c>
      <c r="C922" s="25" t="s">
        <v>61</v>
      </c>
      <c r="D922" s="168" t="s">
        <v>25</v>
      </c>
      <c r="E922" s="38">
        <v>0</v>
      </c>
      <c r="F922" s="39">
        <v>0</v>
      </c>
      <c r="G922" s="40">
        <v>0</v>
      </c>
      <c r="H922" s="41">
        <v>0</v>
      </c>
      <c r="I922" s="42">
        <f>SUM(E922:H922)</f>
        <v>0</v>
      </c>
      <c r="J922" s="103" t="str">
        <f>IFERROR(E922/$I922*100,"")</f>
        <v/>
      </c>
      <c r="K922" s="104" t="str">
        <f>IFERROR(F922/$I922*100,"")</f>
        <v/>
      </c>
      <c r="L922" s="105" t="str">
        <f>IFERROR(G922/$I922*100,"")</f>
        <v/>
      </c>
      <c r="M922" s="106" t="str">
        <f t="shared" si="211"/>
        <v/>
      </c>
      <c r="N922" s="5" t="s">
        <v>1671</v>
      </c>
    </row>
    <row r="923" spans="1:14" ht="5.0999999999999996" customHeight="1" x14ac:dyDescent="0.25">
      <c r="A923" s="14" t="s">
        <v>10</v>
      </c>
      <c r="B923" s="16" t="s">
        <v>20</v>
      </c>
      <c r="C923"/>
      <c r="D923" s="57"/>
      <c r="E923" s="59"/>
      <c r="F923" s="59"/>
      <c r="G923" s="59"/>
      <c r="H923" s="59"/>
      <c r="I923" s="59"/>
      <c r="J923" s="103"/>
      <c r="K923" s="104"/>
      <c r="L923" s="105"/>
      <c r="M923" s="106" t="str">
        <f t="shared" si="211"/>
        <v/>
      </c>
    </row>
    <row r="924" spans="1:14" s="5" customFormat="1" ht="20.100000000000001" customHeight="1" x14ac:dyDescent="0.25">
      <c r="A924" s="14" t="s">
        <v>10</v>
      </c>
      <c r="B924" s="16" t="s">
        <v>26</v>
      </c>
      <c r="C924" s="25" t="s">
        <v>60</v>
      </c>
      <c r="D924" s="6" t="s">
        <v>98</v>
      </c>
      <c r="E924" s="37"/>
      <c r="F924" s="37"/>
      <c r="G924" s="37"/>
      <c r="H924" s="37"/>
      <c r="I924" s="47"/>
      <c r="J924" s="103"/>
      <c r="K924" s="104"/>
      <c r="L924" s="105"/>
      <c r="M924" s="106" t="str">
        <f t="shared" si="211"/>
        <v/>
      </c>
      <c r="N924" s="5" t="s">
        <v>1673</v>
      </c>
    </row>
    <row r="925" spans="1:14" s="5" customFormat="1" ht="30" customHeight="1" x14ac:dyDescent="0.25">
      <c r="A925" s="14" t="s">
        <v>10</v>
      </c>
      <c r="B925" s="16" t="s">
        <v>26</v>
      </c>
      <c r="C925" s="25" t="s">
        <v>61</v>
      </c>
      <c r="D925" s="169" t="s">
        <v>21</v>
      </c>
      <c r="E925" s="38">
        <v>0</v>
      </c>
      <c r="F925" s="39">
        <v>0</v>
      </c>
      <c r="G925" s="40">
        <v>0</v>
      </c>
      <c r="H925" s="41">
        <v>0</v>
      </c>
      <c r="I925" s="42">
        <f t="shared" ref="I925:I932" si="212">SUM(E925:H925)</f>
        <v>0</v>
      </c>
      <c r="J925" s="103" t="str">
        <f t="shared" ref="J925:L932" si="213">IFERROR(E925/$I925*100,"")</f>
        <v/>
      </c>
      <c r="K925" s="104" t="str">
        <f t="shared" si="213"/>
        <v/>
      </c>
      <c r="L925" s="105" t="str">
        <f t="shared" si="213"/>
        <v/>
      </c>
      <c r="M925" s="106" t="str">
        <f t="shared" si="211"/>
        <v/>
      </c>
    </row>
    <row r="926" spans="1:14" s="5" customFormat="1" ht="30" customHeight="1" x14ac:dyDescent="0.25">
      <c r="A926" s="14" t="s">
        <v>10</v>
      </c>
      <c r="B926" s="16" t="s">
        <v>26</v>
      </c>
      <c r="C926" s="25" t="s">
        <v>61</v>
      </c>
      <c r="D926" s="169" t="s">
        <v>22</v>
      </c>
      <c r="E926" s="38">
        <v>0</v>
      </c>
      <c r="F926" s="39">
        <v>0</v>
      </c>
      <c r="G926" s="40">
        <v>0</v>
      </c>
      <c r="H926" s="41">
        <v>0</v>
      </c>
      <c r="I926" s="42">
        <f t="shared" si="212"/>
        <v>0</v>
      </c>
      <c r="J926" s="103" t="str">
        <f t="shared" si="213"/>
        <v/>
      </c>
      <c r="K926" s="104" t="str">
        <f t="shared" si="213"/>
        <v/>
      </c>
      <c r="L926" s="105" t="str">
        <f t="shared" si="213"/>
        <v/>
      </c>
      <c r="M926" s="106" t="str">
        <f t="shared" si="211"/>
        <v/>
      </c>
    </row>
    <row r="927" spans="1:14" s="5" customFormat="1" ht="30" customHeight="1" x14ac:dyDescent="0.25">
      <c r="A927" s="14" t="s">
        <v>10</v>
      </c>
      <c r="B927" s="16" t="s">
        <v>26</v>
      </c>
      <c r="C927" s="25" t="s">
        <v>61</v>
      </c>
      <c r="D927" s="169" t="s">
        <v>27</v>
      </c>
      <c r="E927" s="38">
        <v>0</v>
      </c>
      <c r="F927" s="39">
        <v>0</v>
      </c>
      <c r="G927" s="40">
        <v>0</v>
      </c>
      <c r="H927" s="41">
        <v>0</v>
      </c>
      <c r="I927" s="42">
        <f t="shared" si="212"/>
        <v>0</v>
      </c>
      <c r="J927" s="103" t="str">
        <f t="shared" si="213"/>
        <v/>
      </c>
      <c r="K927" s="104" t="str">
        <f t="shared" si="213"/>
        <v/>
      </c>
      <c r="L927" s="105" t="str">
        <f t="shared" si="213"/>
        <v/>
      </c>
      <c r="M927" s="106" t="str">
        <f t="shared" si="211"/>
        <v/>
      </c>
    </row>
    <row r="928" spans="1:14" s="5" customFormat="1" ht="30" customHeight="1" x14ac:dyDescent="0.25">
      <c r="A928" s="14" t="s">
        <v>10</v>
      </c>
      <c r="B928" s="16" t="s">
        <v>26</v>
      </c>
      <c r="C928" s="25" t="s">
        <v>61</v>
      </c>
      <c r="D928" s="169" t="s">
        <v>23</v>
      </c>
      <c r="E928" s="38">
        <v>0</v>
      </c>
      <c r="F928" s="39">
        <v>0</v>
      </c>
      <c r="G928" s="40">
        <v>0</v>
      </c>
      <c r="H928" s="41">
        <v>0</v>
      </c>
      <c r="I928" s="42">
        <f t="shared" si="212"/>
        <v>0</v>
      </c>
      <c r="J928" s="103" t="str">
        <f t="shared" si="213"/>
        <v/>
      </c>
      <c r="K928" s="104" t="str">
        <f t="shared" si="213"/>
        <v/>
      </c>
      <c r="L928" s="105" t="str">
        <f t="shared" si="213"/>
        <v/>
      </c>
      <c r="M928" s="106" t="str">
        <f t="shared" si="211"/>
        <v/>
      </c>
    </row>
    <row r="929" spans="1:14" s="5" customFormat="1" ht="30" customHeight="1" x14ac:dyDescent="0.25">
      <c r="A929" s="14" t="s">
        <v>10</v>
      </c>
      <c r="B929" s="16" t="s">
        <v>26</v>
      </c>
      <c r="C929" s="25" t="s">
        <v>61</v>
      </c>
      <c r="D929" s="169" t="s">
        <v>24</v>
      </c>
      <c r="E929" s="38">
        <v>0</v>
      </c>
      <c r="F929" s="39">
        <v>0</v>
      </c>
      <c r="G929" s="40">
        <v>0</v>
      </c>
      <c r="H929" s="41">
        <v>0</v>
      </c>
      <c r="I929" s="42">
        <f t="shared" si="212"/>
        <v>0</v>
      </c>
      <c r="J929" s="103" t="str">
        <f t="shared" si="213"/>
        <v/>
      </c>
      <c r="K929" s="104" t="str">
        <f t="shared" si="213"/>
        <v/>
      </c>
      <c r="L929" s="105" t="str">
        <f t="shared" si="213"/>
        <v/>
      </c>
      <c r="M929" s="106" t="str">
        <f t="shared" si="211"/>
        <v/>
      </c>
    </row>
    <row r="930" spans="1:14" s="3" customFormat="1" ht="30" customHeight="1" x14ac:dyDescent="0.25">
      <c r="A930" s="14" t="s">
        <v>10</v>
      </c>
      <c r="B930" s="16" t="s">
        <v>26</v>
      </c>
      <c r="C930" s="25" t="s">
        <v>61</v>
      </c>
      <c r="D930" s="169" t="s">
        <v>41</v>
      </c>
      <c r="E930" s="38">
        <v>0</v>
      </c>
      <c r="F930" s="39">
        <v>0</v>
      </c>
      <c r="G930" s="40">
        <v>0</v>
      </c>
      <c r="H930" s="41">
        <v>0</v>
      </c>
      <c r="I930" s="42">
        <f t="shared" si="212"/>
        <v>0</v>
      </c>
      <c r="J930" s="103" t="str">
        <f t="shared" si="213"/>
        <v/>
      </c>
      <c r="K930" s="104" t="str">
        <f t="shared" si="213"/>
        <v/>
      </c>
      <c r="L930" s="105" t="str">
        <f t="shared" si="213"/>
        <v/>
      </c>
      <c r="M930" s="106" t="str">
        <f t="shared" si="211"/>
        <v/>
      </c>
    </row>
    <row r="931" spans="1:14" s="5" customFormat="1" ht="30" customHeight="1" x14ac:dyDescent="0.25">
      <c r="A931" s="14" t="s">
        <v>10</v>
      </c>
      <c r="B931" s="16" t="s">
        <v>26</v>
      </c>
      <c r="C931" s="25" t="s">
        <v>61</v>
      </c>
      <c r="D931" s="169" t="s">
        <v>28</v>
      </c>
      <c r="E931" s="38">
        <v>0</v>
      </c>
      <c r="F931" s="39">
        <v>0</v>
      </c>
      <c r="G931" s="40">
        <v>0</v>
      </c>
      <c r="H931" s="41">
        <v>0</v>
      </c>
      <c r="I931" s="42">
        <f t="shared" si="212"/>
        <v>0</v>
      </c>
      <c r="J931" s="103" t="str">
        <f t="shared" si="213"/>
        <v/>
      </c>
      <c r="K931" s="104" t="str">
        <f t="shared" si="213"/>
        <v/>
      </c>
      <c r="L931" s="105" t="str">
        <f t="shared" si="213"/>
        <v/>
      </c>
      <c r="M931" s="106" t="str">
        <f t="shared" si="211"/>
        <v/>
      </c>
    </row>
    <row r="932" spans="1:14" s="5" customFormat="1" ht="30" customHeight="1" x14ac:dyDescent="0.25">
      <c r="A932" s="14" t="s">
        <v>10</v>
      </c>
      <c r="B932" s="16" t="s">
        <v>26</v>
      </c>
      <c r="C932" s="25" t="s">
        <v>61</v>
      </c>
      <c r="D932" s="169" t="s">
        <v>40</v>
      </c>
      <c r="E932" s="38">
        <v>0</v>
      </c>
      <c r="F932" s="39">
        <v>0</v>
      </c>
      <c r="G932" s="40">
        <v>0</v>
      </c>
      <c r="H932" s="41">
        <v>0</v>
      </c>
      <c r="I932" s="42">
        <f t="shared" si="212"/>
        <v>0</v>
      </c>
      <c r="J932" s="103" t="str">
        <f t="shared" si="213"/>
        <v/>
      </c>
      <c r="K932" s="104" t="str">
        <f t="shared" si="213"/>
        <v/>
      </c>
      <c r="L932" s="105" t="str">
        <f t="shared" si="213"/>
        <v/>
      </c>
      <c r="M932" s="106" t="str">
        <f t="shared" si="211"/>
        <v/>
      </c>
    </row>
    <row r="933" spans="1:14" s="5" customFormat="1" ht="30" customHeight="1" x14ac:dyDescent="0.25">
      <c r="A933" s="14" t="s">
        <v>10</v>
      </c>
      <c r="B933" s="16" t="s">
        <v>26</v>
      </c>
      <c r="C933" s="25"/>
      <c r="D933" s="9" t="s">
        <v>29</v>
      </c>
      <c r="E933" s="38">
        <f>SUM(E925:E932)</f>
        <v>0</v>
      </c>
      <c r="F933" s="39">
        <f t="shared" ref="F933:I933" si="214">SUM(F925:F932)</f>
        <v>0</v>
      </c>
      <c r="G933" s="40">
        <f t="shared" si="214"/>
        <v>0</v>
      </c>
      <c r="H933" s="41">
        <f t="shared" si="214"/>
        <v>0</v>
      </c>
      <c r="I933" s="43">
        <f t="shared" si="214"/>
        <v>0</v>
      </c>
      <c r="J933" s="103" t="str">
        <f>IFERROR(E933/SUM($E933:$H933)*100,"")</f>
        <v/>
      </c>
      <c r="K933" s="104" t="str">
        <f>IFERROR(F933/SUM($E933:$H933)*100,"")</f>
        <v/>
      </c>
      <c r="L933" s="105" t="str">
        <f>IFERROR(G933/SUM($E933:$H933)*100,"")</f>
        <v/>
      </c>
      <c r="M933" s="106" t="str">
        <f t="shared" si="211"/>
        <v/>
      </c>
      <c r="N933" s="5" t="s">
        <v>1671</v>
      </c>
    </row>
    <row r="934" spans="1:14" ht="5.0999999999999996" customHeight="1" x14ac:dyDescent="0.25">
      <c r="A934" s="14" t="s">
        <v>10</v>
      </c>
      <c r="B934" s="16" t="s">
        <v>26</v>
      </c>
      <c r="C934"/>
      <c r="D934" s="57"/>
      <c r="E934" s="59"/>
      <c r="F934" s="59"/>
      <c r="G934" s="59"/>
      <c r="H934" s="59"/>
      <c r="I934" s="59"/>
      <c r="J934" s="103"/>
      <c r="K934" s="104"/>
      <c r="L934" s="105"/>
      <c r="M934" s="106" t="str">
        <f t="shared" si="211"/>
        <v/>
      </c>
    </row>
    <row r="935" spans="1:14" s="5" customFormat="1" ht="20.100000000000001" customHeight="1" x14ac:dyDescent="0.25">
      <c r="A935" s="14" t="s">
        <v>10</v>
      </c>
      <c r="B935" s="16" t="s">
        <v>64</v>
      </c>
      <c r="C935" s="25" t="s">
        <v>60</v>
      </c>
      <c r="D935" s="6" t="s">
        <v>65</v>
      </c>
      <c r="E935" s="37"/>
      <c r="F935" s="37"/>
      <c r="G935" s="37"/>
      <c r="H935" s="37"/>
      <c r="I935" s="48"/>
      <c r="J935" s="103"/>
      <c r="K935" s="104"/>
      <c r="L935" s="105"/>
      <c r="M935" s="106" t="str">
        <f t="shared" si="211"/>
        <v/>
      </c>
      <c r="N935" s="5" t="s">
        <v>1673</v>
      </c>
    </row>
    <row r="936" spans="1:14" s="5" customFormat="1" ht="30" customHeight="1" x14ac:dyDescent="0.25">
      <c r="A936" s="14" t="s">
        <v>10</v>
      </c>
      <c r="B936" s="16" t="s">
        <v>64</v>
      </c>
      <c r="C936" s="25" t="s">
        <v>61</v>
      </c>
      <c r="D936" s="168" t="s">
        <v>66</v>
      </c>
      <c r="E936" s="38">
        <v>0</v>
      </c>
      <c r="F936" s="39">
        <v>0</v>
      </c>
      <c r="G936" s="40">
        <v>0</v>
      </c>
      <c r="H936" s="41">
        <v>0</v>
      </c>
      <c r="I936" s="42">
        <f>SUM(E936:H936)</f>
        <v>0</v>
      </c>
      <c r="J936" s="103" t="str">
        <f>IFERROR(E936/$I936*100,"")</f>
        <v/>
      </c>
      <c r="K936" s="104" t="str">
        <f>IFERROR(F936/$I936*100,"")</f>
        <v/>
      </c>
      <c r="L936" s="105" t="str">
        <f>IFERROR(G936/$I936*100,"")</f>
        <v/>
      </c>
      <c r="M936" s="106" t="str">
        <f t="shared" si="211"/>
        <v/>
      </c>
      <c r="N936" s="5" t="s">
        <v>1671</v>
      </c>
    </row>
    <row r="937" spans="1:14" ht="5.0999999999999996" customHeight="1" x14ac:dyDescent="0.25">
      <c r="A937" s="14" t="s">
        <v>10</v>
      </c>
      <c r="B937" s="16" t="s">
        <v>64</v>
      </c>
      <c r="C937"/>
      <c r="J937" s="103"/>
      <c r="K937" s="104"/>
      <c r="L937" s="105"/>
      <c r="M937" s="106" t="str">
        <f t="shared" si="211"/>
        <v/>
      </c>
    </row>
    <row r="938" spans="1:14" s="5" customFormat="1" ht="20.100000000000001" customHeight="1" x14ac:dyDescent="0.25">
      <c r="A938" s="14" t="s">
        <v>10</v>
      </c>
      <c r="B938" s="16" t="s">
        <v>55</v>
      </c>
      <c r="C938" s="25" t="s">
        <v>60</v>
      </c>
      <c r="D938" s="6" t="s">
        <v>55</v>
      </c>
      <c r="E938" s="37"/>
      <c r="F938" s="37"/>
      <c r="G938" s="37"/>
      <c r="H938" s="37"/>
      <c r="I938" s="48"/>
      <c r="J938" s="103"/>
      <c r="K938" s="104"/>
      <c r="L938" s="105"/>
      <c r="M938" s="106" t="str">
        <f t="shared" si="211"/>
        <v/>
      </c>
      <c r="N938" s="5" t="s">
        <v>1673</v>
      </c>
    </row>
    <row r="939" spans="1:14" s="3" customFormat="1" ht="30" customHeight="1" x14ac:dyDescent="0.25">
      <c r="A939" s="14" t="s">
        <v>10</v>
      </c>
      <c r="B939" s="16" t="s">
        <v>55</v>
      </c>
      <c r="C939" s="25" t="s">
        <v>61</v>
      </c>
      <c r="D939" s="168" t="s">
        <v>56</v>
      </c>
      <c r="E939" s="38">
        <v>0</v>
      </c>
      <c r="F939" s="39">
        <v>0</v>
      </c>
      <c r="G939" s="40">
        <v>0</v>
      </c>
      <c r="H939" s="41">
        <v>0</v>
      </c>
      <c r="I939" s="42">
        <f>SUM(E939:H939)</f>
        <v>0</v>
      </c>
      <c r="J939" s="103" t="str">
        <f t="shared" ref="J939:L941" si="215">IFERROR(E939/$I939*100,"")</f>
        <v/>
      </c>
      <c r="K939" s="104" t="str">
        <f t="shared" si="215"/>
        <v/>
      </c>
      <c r="L939" s="105" t="str">
        <f t="shared" si="215"/>
        <v/>
      </c>
      <c r="M939" s="106" t="str">
        <f t="shared" si="211"/>
        <v/>
      </c>
      <c r="N939" s="5"/>
    </row>
    <row r="940" spans="1:14" s="3" customFormat="1" ht="30" customHeight="1" x14ac:dyDescent="0.25">
      <c r="A940" s="14" t="s">
        <v>10</v>
      </c>
      <c r="B940" s="16" t="s">
        <v>55</v>
      </c>
      <c r="C940" s="25" t="s">
        <v>61</v>
      </c>
      <c r="D940" s="168" t="s">
        <v>57</v>
      </c>
      <c r="E940" s="38">
        <v>0</v>
      </c>
      <c r="F940" s="39">
        <v>0</v>
      </c>
      <c r="G940" s="40">
        <v>0</v>
      </c>
      <c r="H940" s="41">
        <v>0</v>
      </c>
      <c r="I940" s="42">
        <f>SUM(E940:H940)</f>
        <v>0</v>
      </c>
      <c r="J940" s="103" t="str">
        <f t="shared" si="215"/>
        <v/>
      </c>
      <c r="K940" s="104" t="str">
        <f t="shared" si="215"/>
        <v/>
      </c>
      <c r="L940" s="105" t="str">
        <f t="shared" si="215"/>
        <v/>
      </c>
      <c r="M940" s="106" t="str">
        <f t="shared" si="211"/>
        <v/>
      </c>
    </row>
    <row r="941" spans="1:14" s="3" customFormat="1" ht="30" customHeight="1" x14ac:dyDescent="0.25">
      <c r="A941" s="14" t="s">
        <v>10</v>
      </c>
      <c r="B941" s="16" t="s">
        <v>55</v>
      </c>
      <c r="C941" s="25"/>
      <c r="D941" s="168" t="s">
        <v>29</v>
      </c>
      <c r="E941" s="38">
        <f>SUM(E939:E940)</f>
        <v>0</v>
      </c>
      <c r="F941" s="39">
        <f t="shared" ref="F941:I941" si="216">SUM(F939:F940)</f>
        <v>0</v>
      </c>
      <c r="G941" s="40">
        <f t="shared" si="216"/>
        <v>0</v>
      </c>
      <c r="H941" s="41">
        <f t="shared" si="216"/>
        <v>0</v>
      </c>
      <c r="I941" s="42">
        <f t="shared" si="216"/>
        <v>0</v>
      </c>
      <c r="J941" s="103" t="str">
        <f t="shared" si="215"/>
        <v/>
      </c>
      <c r="K941" s="104" t="str">
        <f t="shared" si="215"/>
        <v/>
      </c>
      <c r="L941" s="105" t="str">
        <f t="shared" si="215"/>
        <v/>
      </c>
      <c r="M941" s="106" t="str">
        <f t="shared" si="211"/>
        <v/>
      </c>
      <c r="N941" s="5" t="s">
        <v>1671</v>
      </c>
    </row>
    <row r="942" spans="1:14" ht="5.0999999999999996" customHeight="1" x14ac:dyDescent="0.25">
      <c r="A942" s="14" t="s">
        <v>10</v>
      </c>
      <c r="B942" s="16" t="s">
        <v>55</v>
      </c>
      <c r="C942"/>
      <c r="D942" s="57"/>
      <c r="E942" s="59"/>
      <c r="F942" s="59"/>
      <c r="G942" s="59"/>
      <c r="H942" s="59"/>
      <c r="I942" s="59"/>
      <c r="J942" s="103"/>
      <c r="K942" s="104"/>
      <c r="L942" s="105"/>
      <c r="M942" s="106" t="str">
        <f t="shared" si="211"/>
        <v/>
      </c>
    </row>
    <row r="943" spans="1:14" s="5" customFormat="1" ht="20.100000000000001" customHeight="1" x14ac:dyDescent="0.25">
      <c r="A943" s="14" t="s">
        <v>10</v>
      </c>
      <c r="B943" s="16" t="s">
        <v>74</v>
      </c>
      <c r="C943" s="25" t="s">
        <v>60</v>
      </c>
      <c r="D943" s="6" t="s">
        <v>75</v>
      </c>
      <c r="E943" s="37"/>
      <c r="F943" s="37"/>
      <c r="G943" s="37"/>
      <c r="H943" s="37"/>
      <c r="I943" s="48"/>
      <c r="J943" s="103"/>
      <c r="K943" s="104"/>
      <c r="L943" s="105"/>
      <c r="M943" s="106" t="str">
        <f t="shared" si="211"/>
        <v/>
      </c>
      <c r="N943" s="5" t="s">
        <v>1673</v>
      </c>
    </row>
    <row r="944" spans="1:14" s="3" customFormat="1" ht="30" customHeight="1" x14ac:dyDescent="0.25">
      <c r="A944" s="14" t="s">
        <v>10</v>
      </c>
      <c r="B944" s="16" t="s">
        <v>74</v>
      </c>
      <c r="C944" s="25" t="s">
        <v>61</v>
      </c>
      <c r="D944" s="168" t="s">
        <v>77</v>
      </c>
      <c r="E944" s="38">
        <v>0</v>
      </c>
      <c r="F944" s="39">
        <v>0</v>
      </c>
      <c r="G944" s="40">
        <v>0</v>
      </c>
      <c r="H944" s="41">
        <v>0</v>
      </c>
      <c r="I944" s="42">
        <f>SUM(E944:H944)</f>
        <v>0</v>
      </c>
      <c r="J944" s="103" t="str">
        <f>IFERROR(E944/$I944*100,"")</f>
        <v/>
      </c>
      <c r="K944" s="104" t="str">
        <f>IFERROR(F944/$I944*100,"")</f>
        <v/>
      </c>
      <c r="L944" s="105" t="str">
        <f>IFERROR(G944/$I944*100,"")</f>
        <v/>
      </c>
      <c r="M944" s="106" t="str">
        <f t="shared" si="211"/>
        <v/>
      </c>
      <c r="N944" s="3" t="s">
        <v>1671</v>
      </c>
    </row>
    <row r="945" spans="1:14" ht="5.0999999999999996" customHeight="1" x14ac:dyDescent="0.25">
      <c r="A945" s="14" t="s">
        <v>10</v>
      </c>
      <c r="B945" s="16" t="s">
        <v>74</v>
      </c>
      <c r="C945"/>
      <c r="D945" s="57"/>
      <c r="E945" s="59"/>
      <c r="F945" s="59"/>
      <c r="G945" s="59"/>
      <c r="H945" s="59"/>
      <c r="I945" s="59"/>
      <c r="J945" s="103"/>
      <c r="K945" s="104"/>
      <c r="L945" s="105"/>
      <c r="M945" s="106" t="str">
        <f t="shared" si="211"/>
        <v/>
      </c>
    </row>
    <row r="946" spans="1:14" s="5" customFormat="1" ht="20.100000000000001" customHeight="1" x14ac:dyDescent="0.25">
      <c r="A946" s="14" t="s">
        <v>10</v>
      </c>
      <c r="B946" s="16" t="s">
        <v>78</v>
      </c>
      <c r="C946" s="25" t="s">
        <v>60</v>
      </c>
      <c r="D946" s="6" t="s">
        <v>80</v>
      </c>
      <c r="E946" s="37"/>
      <c r="F946" s="37"/>
      <c r="G946" s="37"/>
      <c r="H946" s="37"/>
      <c r="I946" s="48"/>
      <c r="J946" s="103"/>
      <c r="K946" s="104"/>
      <c r="L946" s="105"/>
      <c r="M946" s="106" t="str">
        <f t="shared" si="211"/>
        <v/>
      </c>
      <c r="N946" s="5" t="s">
        <v>1673</v>
      </c>
    </row>
    <row r="947" spans="1:14" s="5" customFormat="1" ht="30" customHeight="1" x14ac:dyDescent="0.25">
      <c r="A947" s="14" t="s">
        <v>10</v>
      </c>
      <c r="B947" s="16" t="s">
        <v>78</v>
      </c>
      <c r="C947" s="25" t="s">
        <v>61</v>
      </c>
      <c r="D947" s="168" t="s">
        <v>81</v>
      </c>
      <c r="E947" s="38">
        <v>0</v>
      </c>
      <c r="F947" s="39">
        <v>0</v>
      </c>
      <c r="G947" s="40">
        <v>0</v>
      </c>
      <c r="H947" s="41">
        <v>0</v>
      </c>
      <c r="I947" s="42">
        <f t="shared" ref="I947:I953" si="217">SUM(E947:H947)</f>
        <v>0</v>
      </c>
      <c r="J947" s="103" t="str">
        <f t="shared" ref="J947:L953" si="218">IFERROR(E947/$I947*100,"")</f>
        <v/>
      </c>
      <c r="K947" s="104" t="str">
        <f t="shared" si="218"/>
        <v/>
      </c>
      <c r="L947" s="105" t="str">
        <f t="shared" si="218"/>
        <v/>
      </c>
      <c r="M947" s="106" t="str">
        <f t="shared" si="211"/>
        <v/>
      </c>
    </row>
    <row r="948" spans="1:14" s="5" customFormat="1" ht="30" customHeight="1" x14ac:dyDescent="0.25">
      <c r="A948" s="14" t="s">
        <v>10</v>
      </c>
      <c r="B948" s="16" t="s">
        <v>78</v>
      </c>
      <c r="C948" s="25" t="s">
        <v>61</v>
      </c>
      <c r="D948" s="168" t="s">
        <v>82</v>
      </c>
      <c r="E948" s="38">
        <v>0</v>
      </c>
      <c r="F948" s="39">
        <v>0</v>
      </c>
      <c r="G948" s="40">
        <v>0</v>
      </c>
      <c r="H948" s="41">
        <v>0</v>
      </c>
      <c r="I948" s="42">
        <f t="shared" si="217"/>
        <v>0</v>
      </c>
      <c r="J948" s="103" t="str">
        <f t="shared" si="218"/>
        <v/>
      </c>
      <c r="K948" s="104" t="str">
        <f t="shared" si="218"/>
        <v/>
      </c>
      <c r="L948" s="105" t="str">
        <f t="shared" si="218"/>
        <v/>
      </c>
      <c r="M948" s="106" t="str">
        <f t="shared" si="211"/>
        <v/>
      </c>
    </row>
    <row r="949" spans="1:14" s="5" customFormat="1" ht="30" customHeight="1" x14ac:dyDescent="0.25">
      <c r="A949" s="14" t="s">
        <v>10</v>
      </c>
      <c r="B949" s="16" t="s">
        <v>78</v>
      </c>
      <c r="C949" s="25" t="s">
        <v>61</v>
      </c>
      <c r="D949" s="168" t="s">
        <v>83</v>
      </c>
      <c r="E949" s="38">
        <v>0</v>
      </c>
      <c r="F949" s="39">
        <v>0</v>
      </c>
      <c r="G949" s="40">
        <v>0</v>
      </c>
      <c r="H949" s="41">
        <v>0</v>
      </c>
      <c r="I949" s="42">
        <f t="shared" si="217"/>
        <v>0</v>
      </c>
      <c r="J949" s="103" t="str">
        <f t="shared" si="218"/>
        <v/>
      </c>
      <c r="K949" s="104" t="str">
        <f t="shared" si="218"/>
        <v/>
      </c>
      <c r="L949" s="105" t="str">
        <f t="shared" si="218"/>
        <v/>
      </c>
      <c r="M949" s="106" t="str">
        <f t="shared" si="211"/>
        <v/>
      </c>
    </row>
    <row r="950" spans="1:14" s="5" customFormat="1" ht="30" customHeight="1" x14ac:dyDescent="0.25">
      <c r="A950" s="14" t="s">
        <v>10</v>
      </c>
      <c r="B950" s="16" t="s">
        <v>78</v>
      </c>
      <c r="C950" s="25" t="s">
        <v>61</v>
      </c>
      <c r="D950" s="168" t="s">
        <v>88</v>
      </c>
      <c r="E950" s="38">
        <v>0</v>
      </c>
      <c r="F950" s="39">
        <v>0</v>
      </c>
      <c r="G950" s="40">
        <v>0</v>
      </c>
      <c r="H950" s="41">
        <v>0</v>
      </c>
      <c r="I950" s="42">
        <f t="shared" si="217"/>
        <v>0</v>
      </c>
      <c r="J950" s="103" t="str">
        <f t="shared" si="218"/>
        <v/>
      </c>
      <c r="K950" s="104" t="str">
        <f t="shared" si="218"/>
        <v/>
      </c>
      <c r="L950" s="105" t="str">
        <f t="shared" si="218"/>
        <v/>
      </c>
      <c r="M950" s="106" t="str">
        <f t="shared" si="211"/>
        <v/>
      </c>
    </row>
    <row r="951" spans="1:14" s="5" customFormat="1" ht="30" customHeight="1" x14ac:dyDescent="0.25">
      <c r="A951" s="14" t="s">
        <v>10</v>
      </c>
      <c r="B951" s="16" t="s">
        <v>78</v>
      </c>
      <c r="C951" s="25" t="s">
        <v>61</v>
      </c>
      <c r="D951" s="168" t="s">
        <v>87</v>
      </c>
      <c r="E951" s="38">
        <v>0</v>
      </c>
      <c r="F951" s="39">
        <v>0</v>
      </c>
      <c r="G951" s="40">
        <v>0</v>
      </c>
      <c r="H951" s="41">
        <v>0</v>
      </c>
      <c r="I951" s="42">
        <f t="shared" si="217"/>
        <v>0</v>
      </c>
      <c r="J951" s="103" t="str">
        <f t="shared" si="218"/>
        <v/>
      </c>
      <c r="K951" s="104" t="str">
        <f t="shared" si="218"/>
        <v/>
      </c>
      <c r="L951" s="105" t="str">
        <f t="shared" si="218"/>
        <v/>
      </c>
      <c r="M951" s="106" t="str">
        <f t="shared" si="211"/>
        <v/>
      </c>
    </row>
    <row r="952" spans="1:14" s="5" customFormat="1" ht="30" customHeight="1" x14ac:dyDescent="0.25">
      <c r="A952" s="14" t="s">
        <v>10</v>
      </c>
      <c r="B952" s="16" t="s">
        <v>78</v>
      </c>
      <c r="C952" s="25" t="s">
        <v>61</v>
      </c>
      <c r="D952" s="168" t="s">
        <v>84</v>
      </c>
      <c r="E952" s="38">
        <v>0</v>
      </c>
      <c r="F952" s="39">
        <v>0</v>
      </c>
      <c r="G952" s="40">
        <v>0</v>
      </c>
      <c r="H952" s="41">
        <v>0</v>
      </c>
      <c r="I952" s="42">
        <f t="shared" si="217"/>
        <v>0</v>
      </c>
      <c r="J952" s="103" t="str">
        <f t="shared" si="218"/>
        <v/>
      </c>
      <c r="K952" s="104" t="str">
        <f t="shared" si="218"/>
        <v/>
      </c>
      <c r="L952" s="105" t="str">
        <f t="shared" si="218"/>
        <v/>
      </c>
      <c r="M952" s="106" t="str">
        <f t="shared" si="211"/>
        <v/>
      </c>
    </row>
    <row r="953" spans="1:14" s="5" customFormat="1" ht="30" customHeight="1" x14ac:dyDescent="0.25">
      <c r="A953" s="14" t="s">
        <v>10</v>
      </c>
      <c r="B953" s="16" t="s">
        <v>78</v>
      </c>
      <c r="C953" s="25" t="s">
        <v>86</v>
      </c>
      <c r="D953" s="168" t="s">
        <v>79</v>
      </c>
      <c r="E953" s="38">
        <v>0</v>
      </c>
      <c r="F953" s="39">
        <v>0</v>
      </c>
      <c r="G953" s="40">
        <v>0</v>
      </c>
      <c r="H953" s="41">
        <v>0</v>
      </c>
      <c r="I953" s="42">
        <f t="shared" si="217"/>
        <v>0</v>
      </c>
      <c r="J953" s="103" t="str">
        <f t="shared" si="218"/>
        <v/>
      </c>
      <c r="K953" s="104" t="str">
        <f t="shared" si="218"/>
        <v/>
      </c>
      <c r="L953" s="105" t="str">
        <f t="shared" si="218"/>
        <v/>
      </c>
      <c r="M953" s="106" t="str">
        <f t="shared" si="211"/>
        <v/>
      </c>
      <c r="N953" s="5" t="s">
        <v>1671</v>
      </c>
    </row>
    <row r="954" spans="1:14" ht="5.0999999999999996" customHeight="1" x14ac:dyDescent="0.25">
      <c r="A954" s="14" t="s">
        <v>10</v>
      </c>
      <c r="B954" s="16" t="s">
        <v>78</v>
      </c>
      <c r="C954"/>
      <c r="D954" s="57"/>
      <c r="E954" s="59"/>
      <c r="F954" s="59"/>
      <c r="G954" s="59"/>
      <c r="H954" s="59"/>
      <c r="I954" s="59"/>
      <c r="J954" s="103"/>
      <c r="K954" s="104"/>
      <c r="L954" s="105"/>
      <c r="M954" s="106" t="str">
        <f t="shared" si="211"/>
        <v/>
      </c>
    </row>
    <row r="955" spans="1:14" s="5" customFormat="1" ht="20.100000000000001" customHeight="1" x14ac:dyDescent="0.25">
      <c r="A955" s="14" t="s">
        <v>10</v>
      </c>
      <c r="B955" s="16" t="s">
        <v>1642</v>
      </c>
      <c r="C955" s="25" t="s">
        <v>60</v>
      </c>
      <c r="D955" s="6" t="s">
        <v>1644</v>
      </c>
      <c r="E955" s="37"/>
      <c r="F955" s="37"/>
      <c r="G955" s="37"/>
      <c r="H955" s="37"/>
      <c r="I955" s="48"/>
      <c r="J955" s="103"/>
      <c r="K955" s="104"/>
      <c r="L955" s="105"/>
      <c r="M955" s="106" t="str">
        <f t="shared" si="211"/>
        <v/>
      </c>
      <c r="N955" s="5" t="s">
        <v>1673</v>
      </c>
    </row>
    <row r="956" spans="1:14" s="5" customFormat="1" ht="30" customHeight="1" x14ac:dyDescent="0.25">
      <c r="A956" s="14" t="s">
        <v>10</v>
      </c>
      <c r="B956" s="16" t="s">
        <v>1642</v>
      </c>
      <c r="C956" s="25" t="s">
        <v>61</v>
      </c>
      <c r="D956" s="168" t="s">
        <v>1643</v>
      </c>
      <c r="E956" s="38">
        <v>0</v>
      </c>
      <c r="F956" s="39">
        <v>0</v>
      </c>
      <c r="G956" s="40">
        <v>0</v>
      </c>
      <c r="H956" s="41">
        <v>0</v>
      </c>
      <c r="I956" s="42">
        <f t="shared" ref="I956" si="219">SUM(E956:H956)</f>
        <v>0</v>
      </c>
      <c r="J956" s="103" t="str">
        <f>IFERROR(E956/$I956*100,"")</f>
        <v/>
      </c>
      <c r="K956" s="104" t="str">
        <f>IFERROR(F956/$I956*100,"")</f>
        <v/>
      </c>
      <c r="L956" s="105" t="str">
        <f>IFERROR(G956/$I956*100,"")</f>
        <v/>
      </c>
      <c r="M956" s="106" t="str">
        <f t="shared" si="211"/>
        <v/>
      </c>
      <c r="N956" s="5" t="s">
        <v>1671</v>
      </c>
    </row>
    <row r="957" spans="1:14" ht="5.0999999999999996" customHeight="1" x14ac:dyDescent="0.25">
      <c r="A957" s="14" t="s">
        <v>10</v>
      </c>
      <c r="B957" s="16" t="s">
        <v>1642</v>
      </c>
      <c r="C957"/>
      <c r="D957" s="57"/>
      <c r="E957" s="59"/>
      <c r="F957" s="59"/>
      <c r="G957" s="59"/>
      <c r="H957" s="59"/>
      <c r="I957" s="59"/>
      <c r="J957" s="103"/>
      <c r="K957" s="104"/>
      <c r="L957" s="105"/>
      <c r="M957" s="106" t="str">
        <f t="shared" si="211"/>
        <v/>
      </c>
    </row>
    <row r="958" spans="1:14" s="5" customFormat="1" ht="20.100000000000001" customHeight="1" x14ac:dyDescent="0.25">
      <c r="A958" s="14" t="s">
        <v>10</v>
      </c>
      <c r="B958" s="16" t="s">
        <v>91</v>
      </c>
      <c r="C958" s="25" t="s">
        <v>60</v>
      </c>
      <c r="D958" s="6" t="s">
        <v>89</v>
      </c>
      <c r="E958" s="37"/>
      <c r="F958" s="37"/>
      <c r="G958" s="37"/>
      <c r="H958" s="37"/>
      <c r="I958" s="48"/>
      <c r="J958" s="103"/>
      <c r="K958" s="104"/>
      <c r="L958" s="105"/>
      <c r="M958" s="106" t="str">
        <f t="shared" si="211"/>
        <v/>
      </c>
      <c r="N958" s="5" t="s">
        <v>1673</v>
      </c>
    </row>
    <row r="959" spans="1:14" s="5" customFormat="1" ht="30" customHeight="1" x14ac:dyDescent="0.25">
      <c r="A959" s="14" t="s">
        <v>10</v>
      </c>
      <c r="B959" s="16" t="s">
        <v>91</v>
      </c>
      <c r="C959" s="25" t="s">
        <v>61</v>
      </c>
      <c r="D959" s="168" t="s">
        <v>90</v>
      </c>
      <c r="E959" s="38">
        <v>0</v>
      </c>
      <c r="F959" s="39">
        <v>0</v>
      </c>
      <c r="G959" s="40">
        <v>0</v>
      </c>
      <c r="H959" s="41">
        <v>0</v>
      </c>
      <c r="I959" s="42">
        <f t="shared" ref="I959" si="220">SUM(E959:H959)</f>
        <v>0</v>
      </c>
      <c r="J959" s="103" t="str">
        <f>IFERROR(E959/$I959*100,"")</f>
        <v/>
      </c>
      <c r="K959" s="104" t="str">
        <f>IFERROR(F959/$I959*100,"")</f>
        <v/>
      </c>
      <c r="L959" s="105" t="str">
        <f>IFERROR(G959/$I959*100,"")</f>
        <v/>
      </c>
      <c r="M959" s="106" t="str">
        <f t="shared" si="211"/>
        <v/>
      </c>
      <c r="N959" s="5" t="s">
        <v>1671</v>
      </c>
    </row>
    <row r="960" spans="1:14" ht="5.0999999999999996" customHeight="1" x14ac:dyDescent="0.25">
      <c r="A960" s="14" t="s">
        <v>10</v>
      </c>
      <c r="B960" s="16" t="s">
        <v>91</v>
      </c>
      <c r="C960"/>
      <c r="D960" s="57"/>
      <c r="E960" s="59"/>
      <c r="F960" s="59"/>
      <c r="G960" s="59"/>
      <c r="H960" s="59"/>
      <c r="I960" s="59"/>
      <c r="J960" s="103"/>
      <c r="K960" s="104"/>
      <c r="L960" s="105"/>
      <c r="M960" s="106" t="str">
        <f t="shared" si="211"/>
        <v/>
      </c>
    </row>
    <row r="961" spans="1:14" s="5" customFormat="1" ht="20.100000000000001" customHeight="1" x14ac:dyDescent="0.25">
      <c r="A961" s="14" t="s">
        <v>10</v>
      </c>
      <c r="B961" s="16" t="s">
        <v>1637</v>
      </c>
      <c r="C961" s="25" t="s">
        <v>60</v>
      </c>
      <c r="D961" s="6" t="s">
        <v>1636</v>
      </c>
      <c r="E961" s="37"/>
      <c r="F961" s="37"/>
      <c r="G961" s="37"/>
      <c r="H961" s="37"/>
      <c r="I961" s="48"/>
      <c r="J961" s="103"/>
      <c r="K961" s="104"/>
      <c r="L961" s="105"/>
      <c r="M961" s="106" t="str">
        <f t="shared" si="211"/>
        <v/>
      </c>
      <c r="N961" s="5" t="s">
        <v>1673</v>
      </c>
    </row>
    <row r="962" spans="1:14" s="3" customFormat="1" ht="30" customHeight="1" x14ac:dyDescent="0.25">
      <c r="A962" s="14" t="s">
        <v>10</v>
      </c>
      <c r="B962" s="16" t="s">
        <v>1637</v>
      </c>
      <c r="C962" s="25" t="s">
        <v>61</v>
      </c>
      <c r="D962" s="168" t="s">
        <v>1638</v>
      </c>
      <c r="E962" s="38">
        <v>0</v>
      </c>
      <c r="F962" s="39">
        <v>0</v>
      </c>
      <c r="G962" s="40">
        <v>0</v>
      </c>
      <c r="H962" s="41">
        <v>0</v>
      </c>
      <c r="I962" s="42">
        <f t="shared" ref="I962:I967" si="221">SUM(E962:H962)</f>
        <v>0</v>
      </c>
      <c r="J962" s="103" t="str">
        <f t="shared" ref="J962:L966" si="222">IFERROR(E962/$I962*100,"")</f>
        <v/>
      </c>
      <c r="K962" s="104" t="str">
        <f t="shared" si="222"/>
        <v/>
      </c>
      <c r="L962" s="105" t="str">
        <f t="shared" si="222"/>
        <v/>
      </c>
      <c r="M962" s="106" t="str">
        <f t="shared" si="211"/>
        <v/>
      </c>
    </row>
    <row r="963" spans="1:14" s="3" customFormat="1" ht="30" customHeight="1" x14ac:dyDescent="0.25">
      <c r="A963" s="14" t="s">
        <v>10</v>
      </c>
      <c r="B963" s="16" t="s">
        <v>1637</v>
      </c>
      <c r="C963" s="25" t="s">
        <v>61</v>
      </c>
      <c r="D963" s="168" t="s">
        <v>1669</v>
      </c>
      <c r="E963" s="38">
        <v>0</v>
      </c>
      <c r="F963" s="39">
        <v>0</v>
      </c>
      <c r="G963" s="40">
        <v>0</v>
      </c>
      <c r="H963" s="41">
        <v>0</v>
      </c>
      <c r="I963" s="42">
        <f t="shared" si="221"/>
        <v>0</v>
      </c>
      <c r="J963" s="103" t="str">
        <f t="shared" si="222"/>
        <v/>
      </c>
      <c r="K963" s="104" t="str">
        <f t="shared" si="222"/>
        <v/>
      </c>
      <c r="L963" s="105" t="str">
        <f t="shared" si="222"/>
        <v/>
      </c>
      <c r="M963" s="106" t="str">
        <f t="shared" si="211"/>
        <v/>
      </c>
    </row>
    <row r="964" spans="1:14" s="3" customFormat="1" ht="30" customHeight="1" x14ac:dyDescent="0.25">
      <c r="A964" s="14" t="s">
        <v>10</v>
      </c>
      <c r="B964" s="16" t="s">
        <v>1637</v>
      </c>
      <c r="C964" s="25" t="s">
        <v>61</v>
      </c>
      <c r="D964" s="168" t="s">
        <v>1640</v>
      </c>
      <c r="E964" s="38">
        <v>0</v>
      </c>
      <c r="F964" s="39">
        <v>0</v>
      </c>
      <c r="G964" s="40">
        <v>0</v>
      </c>
      <c r="H964" s="41">
        <v>0</v>
      </c>
      <c r="I964" s="42">
        <f t="shared" si="221"/>
        <v>0</v>
      </c>
      <c r="J964" s="103" t="str">
        <f t="shared" si="222"/>
        <v/>
      </c>
      <c r="K964" s="104" t="str">
        <f t="shared" si="222"/>
        <v/>
      </c>
      <c r="L964" s="105" t="str">
        <f t="shared" si="222"/>
        <v/>
      </c>
      <c r="M964" s="106" t="str">
        <f t="shared" si="211"/>
        <v/>
      </c>
    </row>
    <row r="965" spans="1:14" s="3" customFormat="1" ht="30" customHeight="1" x14ac:dyDescent="0.25">
      <c r="A965" s="14" t="s">
        <v>10</v>
      </c>
      <c r="B965" s="16" t="s">
        <v>1637</v>
      </c>
      <c r="C965" s="25" t="s">
        <v>61</v>
      </c>
      <c r="D965" s="168" t="s">
        <v>1639</v>
      </c>
      <c r="E965" s="38">
        <v>0</v>
      </c>
      <c r="F965" s="39">
        <v>0</v>
      </c>
      <c r="G965" s="40">
        <v>0</v>
      </c>
      <c r="H965" s="41">
        <v>0</v>
      </c>
      <c r="I965" s="42">
        <f t="shared" si="221"/>
        <v>0</v>
      </c>
      <c r="J965" s="103" t="str">
        <f t="shared" si="222"/>
        <v/>
      </c>
      <c r="K965" s="104" t="str">
        <f t="shared" si="222"/>
        <v/>
      </c>
      <c r="L965" s="105" t="str">
        <f t="shared" si="222"/>
        <v/>
      </c>
      <c r="M965" s="106" t="str">
        <f t="shared" si="211"/>
        <v/>
      </c>
    </row>
    <row r="966" spans="1:14" s="3" customFormat="1" ht="30" customHeight="1" x14ac:dyDescent="0.25">
      <c r="A966" s="14" t="s">
        <v>10</v>
      </c>
      <c r="B966" s="16" t="s">
        <v>1637</v>
      </c>
      <c r="C966" s="25" t="s">
        <v>61</v>
      </c>
      <c r="D966" s="168" t="s">
        <v>1641</v>
      </c>
      <c r="E966" s="38">
        <v>0</v>
      </c>
      <c r="F966" s="39">
        <v>0</v>
      </c>
      <c r="G966" s="40">
        <v>0</v>
      </c>
      <c r="H966" s="41">
        <v>0</v>
      </c>
      <c r="I966" s="42">
        <f t="shared" si="221"/>
        <v>0</v>
      </c>
      <c r="J966" s="103" t="str">
        <f t="shared" si="222"/>
        <v/>
      </c>
      <c r="K966" s="104" t="str">
        <f t="shared" si="222"/>
        <v/>
      </c>
      <c r="L966" s="105" t="str">
        <f t="shared" si="222"/>
        <v/>
      </c>
      <c r="M966" s="106" t="str">
        <f t="shared" si="211"/>
        <v/>
      </c>
    </row>
    <row r="967" spans="1:14" s="3" customFormat="1" ht="30" customHeight="1" x14ac:dyDescent="0.25">
      <c r="A967" s="14" t="s">
        <v>10</v>
      </c>
      <c r="B967" s="16" t="s">
        <v>1637</v>
      </c>
      <c r="C967" s="25"/>
      <c r="D967" s="168" t="s">
        <v>29</v>
      </c>
      <c r="E967" s="38">
        <f>SUM(E962:E966)</f>
        <v>0</v>
      </c>
      <c r="F967" s="39">
        <f>SUM(F962:F966)</f>
        <v>0</v>
      </c>
      <c r="G967" s="40">
        <f>SUM(G962:G966)</f>
        <v>0</v>
      </c>
      <c r="H967" s="41">
        <f>SUM(H962:H966)</f>
        <v>0</v>
      </c>
      <c r="I967" s="42">
        <f t="shared" si="221"/>
        <v>0</v>
      </c>
      <c r="J967" s="103" t="str">
        <f>IFERROR(E967/SUM($E967:$H967)*100,"")</f>
        <v/>
      </c>
      <c r="K967" s="104" t="str">
        <f>IFERROR(F967/SUM($E967:$H967)*100,"")</f>
        <v/>
      </c>
      <c r="L967" s="105" t="str">
        <f>IFERROR(G967/SUM($E967:$H967)*100,"")</f>
        <v/>
      </c>
      <c r="M967" s="106" t="str">
        <f t="shared" si="211"/>
        <v/>
      </c>
      <c r="N967" s="5" t="s">
        <v>1671</v>
      </c>
    </row>
    <row r="968" spans="1:14" ht="5.0999999999999996" customHeight="1" x14ac:dyDescent="0.25">
      <c r="A968" s="14" t="s">
        <v>10</v>
      </c>
      <c r="B968" s="16" t="s">
        <v>1637</v>
      </c>
      <c r="C968"/>
      <c r="J968" s="103"/>
      <c r="K968" s="104"/>
      <c r="L968" s="105"/>
      <c r="M968" s="106" t="str">
        <f t="shared" si="211"/>
        <v/>
      </c>
    </row>
    <row r="969" spans="1:14" s="5" customFormat="1" ht="20.100000000000001" customHeight="1" x14ac:dyDescent="0.25">
      <c r="A969" s="14" t="s">
        <v>10</v>
      </c>
      <c r="B969" s="16" t="s">
        <v>42</v>
      </c>
      <c r="C969" s="25" t="s">
        <v>60</v>
      </c>
      <c r="D969" s="6" t="s">
        <v>1744</v>
      </c>
      <c r="E969" s="37"/>
      <c r="F969" s="37"/>
      <c r="G969" s="37"/>
      <c r="H969" s="37"/>
      <c r="I969" s="48"/>
      <c r="J969" s="103"/>
      <c r="K969" s="104"/>
      <c r="L969" s="105"/>
      <c r="M969" s="106" t="str">
        <f t="shared" si="211"/>
        <v/>
      </c>
      <c r="N969" s="5" t="s">
        <v>1673</v>
      </c>
    </row>
    <row r="970" spans="1:14" s="3" customFormat="1" ht="30" customHeight="1" x14ac:dyDescent="0.25">
      <c r="A970" s="14" t="s">
        <v>10</v>
      </c>
      <c r="B970" s="16" t="s">
        <v>42</v>
      </c>
      <c r="C970" s="25" t="s">
        <v>61</v>
      </c>
      <c r="D970" s="168" t="s">
        <v>43</v>
      </c>
      <c r="E970" s="38">
        <v>0</v>
      </c>
      <c r="F970" s="39">
        <v>0</v>
      </c>
      <c r="G970" s="40">
        <v>0</v>
      </c>
      <c r="H970" s="41">
        <v>0</v>
      </c>
      <c r="I970" s="42">
        <f t="shared" ref="I970:I979" si="223">SUM(E970:H970)</f>
        <v>0</v>
      </c>
      <c r="J970" s="103" t="str">
        <f t="shared" ref="J970:L979" si="224">IFERROR(E970/$I970*100,"")</f>
        <v/>
      </c>
      <c r="K970" s="104" t="str">
        <f t="shared" si="224"/>
        <v/>
      </c>
      <c r="L970" s="105" t="str">
        <f t="shared" si="224"/>
        <v/>
      </c>
      <c r="M970" s="106" t="str">
        <f t="shared" si="211"/>
        <v/>
      </c>
    </row>
    <row r="971" spans="1:14" s="3" customFormat="1" ht="30" customHeight="1" x14ac:dyDescent="0.25">
      <c r="A971" s="14" t="s">
        <v>10</v>
      </c>
      <c r="B971" s="16" t="s">
        <v>42</v>
      </c>
      <c r="C971" s="25" t="s">
        <v>61</v>
      </c>
      <c r="D971" s="168" t="s">
        <v>44</v>
      </c>
      <c r="E971" s="38">
        <v>0</v>
      </c>
      <c r="F971" s="39">
        <v>0</v>
      </c>
      <c r="G971" s="40">
        <v>0</v>
      </c>
      <c r="H971" s="41">
        <v>0</v>
      </c>
      <c r="I971" s="42">
        <f t="shared" si="223"/>
        <v>0</v>
      </c>
      <c r="J971" s="103" t="str">
        <f t="shared" si="224"/>
        <v/>
      </c>
      <c r="K971" s="104" t="str">
        <f t="shared" si="224"/>
        <v/>
      </c>
      <c r="L971" s="105" t="str">
        <f t="shared" si="224"/>
        <v/>
      </c>
      <c r="M971" s="106" t="str">
        <f t="shared" si="211"/>
        <v/>
      </c>
    </row>
    <row r="972" spans="1:14" s="3" customFormat="1" ht="30" customHeight="1" x14ac:dyDescent="0.25">
      <c r="A972" s="14" t="s">
        <v>10</v>
      </c>
      <c r="B972" s="16" t="s">
        <v>42</v>
      </c>
      <c r="C972" s="25" t="s">
        <v>61</v>
      </c>
      <c r="D972" s="168" t="s">
        <v>45</v>
      </c>
      <c r="E972" s="38">
        <v>0</v>
      </c>
      <c r="F972" s="39">
        <v>0</v>
      </c>
      <c r="G972" s="40">
        <v>0</v>
      </c>
      <c r="H972" s="41">
        <v>0</v>
      </c>
      <c r="I972" s="42">
        <f t="shared" si="223"/>
        <v>0</v>
      </c>
      <c r="J972" s="103" t="str">
        <f t="shared" si="224"/>
        <v/>
      </c>
      <c r="K972" s="104" t="str">
        <f t="shared" si="224"/>
        <v/>
      </c>
      <c r="L972" s="105" t="str">
        <f t="shared" si="224"/>
        <v/>
      </c>
      <c r="M972" s="106" t="str">
        <f t="shared" si="211"/>
        <v/>
      </c>
    </row>
    <row r="973" spans="1:14" s="3" customFormat="1" ht="30" customHeight="1" x14ac:dyDescent="0.25">
      <c r="A973" s="14" t="s">
        <v>10</v>
      </c>
      <c r="B973" s="16" t="s">
        <v>42</v>
      </c>
      <c r="C973" s="25" t="s">
        <v>61</v>
      </c>
      <c r="D973" s="168" t="s">
        <v>46</v>
      </c>
      <c r="E973" s="38">
        <v>0</v>
      </c>
      <c r="F973" s="39">
        <v>0</v>
      </c>
      <c r="G973" s="40">
        <v>0</v>
      </c>
      <c r="H973" s="41">
        <v>0</v>
      </c>
      <c r="I973" s="42">
        <f t="shared" si="223"/>
        <v>0</v>
      </c>
      <c r="J973" s="103" t="str">
        <f t="shared" si="224"/>
        <v/>
      </c>
      <c r="K973" s="104" t="str">
        <f t="shared" si="224"/>
        <v/>
      </c>
      <c r="L973" s="105" t="str">
        <f t="shared" si="224"/>
        <v/>
      </c>
      <c r="M973" s="106" t="str">
        <f t="shared" si="211"/>
        <v/>
      </c>
    </row>
    <row r="974" spans="1:14" s="3" customFormat="1" ht="30" customHeight="1" x14ac:dyDescent="0.25">
      <c r="A974" s="14" t="s">
        <v>10</v>
      </c>
      <c r="B974" s="16" t="s">
        <v>42</v>
      </c>
      <c r="C974" s="25" t="s">
        <v>61</v>
      </c>
      <c r="D974" s="168" t="s">
        <v>51</v>
      </c>
      <c r="E974" s="38">
        <v>0</v>
      </c>
      <c r="F974" s="39">
        <v>0</v>
      </c>
      <c r="G974" s="40">
        <v>0</v>
      </c>
      <c r="H974" s="41">
        <v>0</v>
      </c>
      <c r="I974" s="42">
        <f t="shared" si="223"/>
        <v>0</v>
      </c>
      <c r="J974" s="103" t="str">
        <f t="shared" si="224"/>
        <v/>
      </c>
      <c r="K974" s="104" t="str">
        <f t="shared" si="224"/>
        <v/>
      </c>
      <c r="L974" s="105" t="str">
        <f t="shared" si="224"/>
        <v/>
      </c>
      <c r="M974" s="106" t="str">
        <f t="shared" si="211"/>
        <v/>
      </c>
    </row>
    <row r="975" spans="1:14" s="3" customFormat="1" ht="30" customHeight="1" x14ac:dyDescent="0.25">
      <c r="A975" s="14" t="s">
        <v>10</v>
      </c>
      <c r="B975" s="16" t="s">
        <v>42</v>
      </c>
      <c r="C975" s="25" t="s">
        <v>61</v>
      </c>
      <c r="D975" s="168" t="s">
        <v>52</v>
      </c>
      <c r="E975" s="38">
        <v>0</v>
      </c>
      <c r="F975" s="39">
        <v>0</v>
      </c>
      <c r="G975" s="40">
        <v>0</v>
      </c>
      <c r="H975" s="41">
        <v>0</v>
      </c>
      <c r="I975" s="42">
        <f t="shared" si="223"/>
        <v>0</v>
      </c>
      <c r="J975" s="103" t="str">
        <f t="shared" si="224"/>
        <v/>
      </c>
      <c r="K975" s="104" t="str">
        <f t="shared" si="224"/>
        <v/>
      </c>
      <c r="L975" s="105" t="str">
        <f t="shared" si="224"/>
        <v/>
      </c>
      <c r="M975" s="106" t="str">
        <f t="shared" si="211"/>
        <v/>
      </c>
    </row>
    <row r="976" spans="1:14" s="3" customFormat="1" ht="30" customHeight="1" x14ac:dyDescent="0.25">
      <c r="A976" s="14" t="s">
        <v>10</v>
      </c>
      <c r="B976" s="16" t="s">
        <v>42</v>
      </c>
      <c r="C976" s="25" t="s">
        <v>61</v>
      </c>
      <c r="D976" s="168" t="s">
        <v>47</v>
      </c>
      <c r="E976" s="38">
        <v>0</v>
      </c>
      <c r="F976" s="39">
        <v>0</v>
      </c>
      <c r="G976" s="40">
        <v>0</v>
      </c>
      <c r="H976" s="41">
        <v>0</v>
      </c>
      <c r="I976" s="42">
        <f t="shared" si="223"/>
        <v>0</v>
      </c>
      <c r="J976" s="103" t="str">
        <f t="shared" si="224"/>
        <v/>
      </c>
      <c r="K976" s="104" t="str">
        <f t="shared" si="224"/>
        <v/>
      </c>
      <c r="L976" s="105" t="str">
        <f t="shared" si="224"/>
        <v/>
      </c>
      <c r="M976" s="106" t="str">
        <f t="shared" si="211"/>
        <v/>
      </c>
    </row>
    <row r="977" spans="1:14" s="3" customFormat="1" ht="30" customHeight="1" x14ac:dyDescent="0.25">
      <c r="A977" s="14" t="s">
        <v>10</v>
      </c>
      <c r="B977" s="16" t="s">
        <v>42</v>
      </c>
      <c r="C977" s="25" t="s">
        <v>61</v>
      </c>
      <c r="D977" s="168" t="s">
        <v>48</v>
      </c>
      <c r="E977" s="38">
        <v>0</v>
      </c>
      <c r="F977" s="39">
        <v>0</v>
      </c>
      <c r="G977" s="40">
        <v>0</v>
      </c>
      <c r="H977" s="41">
        <v>0</v>
      </c>
      <c r="I977" s="42">
        <f t="shared" si="223"/>
        <v>0</v>
      </c>
      <c r="J977" s="103" t="str">
        <f t="shared" si="224"/>
        <v/>
      </c>
      <c r="K977" s="104" t="str">
        <f t="shared" si="224"/>
        <v/>
      </c>
      <c r="L977" s="105" t="str">
        <f t="shared" si="224"/>
        <v/>
      </c>
      <c r="M977" s="106" t="str">
        <f t="shared" si="211"/>
        <v/>
      </c>
    </row>
    <row r="978" spans="1:14" s="3" customFormat="1" ht="30" customHeight="1" x14ac:dyDescent="0.25">
      <c r="A978" s="14" t="s">
        <v>10</v>
      </c>
      <c r="B978" s="16" t="s">
        <v>42</v>
      </c>
      <c r="C978" s="25" t="s">
        <v>61</v>
      </c>
      <c r="D978" s="168" t="s">
        <v>49</v>
      </c>
      <c r="E978" s="38">
        <v>0</v>
      </c>
      <c r="F978" s="39">
        <v>0</v>
      </c>
      <c r="G978" s="40">
        <v>0</v>
      </c>
      <c r="H978" s="41">
        <v>0</v>
      </c>
      <c r="I978" s="42">
        <f t="shared" si="223"/>
        <v>0</v>
      </c>
      <c r="J978" s="103" t="str">
        <f t="shared" si="224"/>
        <v/>
      </c>
      <c r="K978" s="104" t="str">
        <f t="shared" si="224"/>
        <v/>
      </c>
      <c r="L978" s="105" t="str">
        <f t="shared" si="224"/>
        <v/>
      </c>
      <c r="M978" s="106" t="str">
        <f t="shared" si="211"/>
        <v/>
      </c>
    </row>
    <row r="979" spans="1:14" s="3" customFormat="1" ht="30" customHeight="1" x14ac:dyDescent="0.25">
      <c r="A979" s="14" t="s">
        <v>10</v>
      </c>
      <c r="B979" s="16" t="s">
        <v>42</v>
      </c>
      <c r="C979" s="25" t="s">
        <v>61</v>
      </c>
      <c r="D979" s="168" t="s">
        <v>50</v>
      </c>
      <c r="E979" s="38">
        <v>0</v>
      </c>
      <c r="F979" s="39">
        <v>0</v>
      </c>
      <c r="G979" s="40">
        <v>0</v>
      </c>
      <c r="H979" s="41">
        <v>0</v>
      </c>
      <c r="I979" s="42">
        <f t="shared" si="223"/>
        <v>0</v>
      </c>
      <c r="J979" s="103" t="str">
        <f t="shared" si="224"/>
        <v/>
      </c>
      <c r="K979" s="104" t="str">
        <f t="shared" si="224"/>
        <v/>
      </c>
      <c r="L979" s="105" t="str">
        <f t="shared" si="224"/>
        <v/>
      </c>
      <c r="M979" s="106" t="str">
        <f t="shared" si="211"/>
        <v/>
      </c>
    </row>
    <row r="980" spans="1:14" s="8" customFormat="1" ht="30" customHeight="1" x14ac:dyDescent="0.25">
      <c r="A980" s="14" t="s">
        <v>10</v>
      </c>
      <c r="B980" s="16" t="s">
        <v>42</v>
      </c>
      <c r="C980" s="25"/>
      <c r="D980" s="9" t="s">
        <v>29</v>
      </c>
      <c r="E980" s="38">
        <f>SUM(E970:E979)</f>
        <v>0</v>
      </c>
      <c r="F980" s="39">
        <f t="shared" ref="F980:I980" si="225">SUM(F970:F979)</f>
        <v>0</v>
      </c>
      <c r="G980" s="40">
        <f t="shared" si="225"/>
        <v>0</v>
      </c>
      <c r="H980" s="41">
        <f t="shared" si="225"/>
        <v>0</v>
      </c>
      <c r="I980" s="43">
        <f t="shared" si="225"/>
        <v>0</v>
      </c>
      <c r="J980" s="103" t="str">
        <f>IFERROR(E980/SUM($E980:$H980)*100,"")</f>
        <v/>
      </c>
      <c r="K980" s="104" t="str">
        <f>IFERROR(F980/SUM($E980:$H980)*100,"")</f>
        <v/>
      </c>
      <c r="L980" s="105" t="str">
        <f>IFERROR(G980/SUM($E980:$H980)*100,"")</f>
        <v/>
      </c>
      <c r="M980" s="106" t="str">
        <f t="shared" ref="M980:M1043" si="226">IFERROR(H980/$I980*100,"")</f>
        <v/>
      </c>
      <c r="N980" s="5" t="s">
        <v>1671</v>
      </c>
    </row>
    <row r="981" spans="1:14" ht="5.0999999999999996" customHeight="1" x14ac:dyDescent="0.25">
      <c r="A981" s="14" t="s">
        <v>10</v>
      </c>
      <c r="B981" s="16" t="s">
        <v>42</v>
      </c>
      <c r="C981"/>
      <c r="D981" s="57"/>
      <c r="E981" s="59"/>
      <c r="F981" s="59"/>
      <c r="G981" s="59"/>
      <c r="H981" s="59"/>
      <c r="I981" s="59"/>
      <c r="J981" s="103"/>
      <c r="K981" s="104"/>
      <c r="L981" s="105"/>
      <c r="M981" s="106" t="str">
        <f t="shared" si="226"/>
        <v/>
      </c>
    </row>
    <row r="982" spans="1:14" s="7" customFormat="1" ht="20.100000000000001" customHeight="1" x14ac:dyDescent="0.25">
      <c r="A982" s="14" t="s">
        <v>10</v>
      </c>
      <c r="B982" s="16" t="s">
        <v>62</v>
      </c>
      <c r="C982" s="25" t="s">
        <v>60</v>
      </c>
      <c r="D982" s="62" t="s">
        <v>63</v>
      </c>
      <c r="E982" s="63"/>
      <c r="F982" s="63"/>
      <c r="G982" s="63"/>
      <c r="H982" s="63"/>
      <c r="I982" s="64"/>
      <c r="J982" s="103"/>
      <c r="K982" s="104"/>
      <c r="L982" s="105"/>
      <c r="M982" s="106" t="str">
        <f t="shared" si="226"/>
        <v/>
      </c>
      <c r="N982" s="5" t="s">
        <v>1673</v>
      </c>
    </row>
    <row r="983" spans="1:14" s="8" customFormat="1" ht="30" customHeight="1" x14ac:dyDescent="0.25">
      <c r="A983" s="14" t="s">
        <v>10</v>
      </c>
      <c r="B983" s="16" t="s">
        <v>62</v>
      </c>
      <c r="C983" s="25"/>
      <c r="D983" s="168" t="s">
        <v>29</v>
      </c>
      <c r="E983" s="38">
        <f>SUM(E933,E922,E941,E980,E936,E944,E953,E959,E967,E956)</f>
        <v>0</v>
      </c>
      <c r="F983" s="39">
        <f>SUM(F933,F922,F941,F980,F936,F944,F953,F959,F967,F956)</f>
        <v>0</v>
      </c>
      <c r="G983" s="40">
        <f>SUM(G933,G922,G941,G980,G936,G944,G953,G959,G967,G956)</f>
        <v>0</v>
      </c>
      <c r="H983" s="41">
        <f>SUM(H933,H922,H941,H980,H936,H944,H953,H959,H967,H956)</f>
        <v>0</v>
      </c>
      <c r="I983" s="42">
        <f>SUM(I933,I922,I941,I980,I936,I944,I953,I959,I967,I956)</f>
        <v>0</v>
      </c>
      <c r="J983" s="103" t="str">
        <f>IFERROR(E983/SUM($E983:$H983)*100,"")</f>
        <v/>
      </c>
      <c r="K983" s="104" t="str">
        <f>IFERROR(F983/SUM($E983:$H983)*100,"")</f>
        <v/>
      </c>
      <c r="L983" s="105" t="str">
        <f>IFERROR(G983/SUM($E983:$H983)*100,"")</f>
        <v/>
      </c>
      <c r="M983" s="106" t="str">
        <f t="shared" si="226"/>
        <v/>
      </c>
      <c r="N983" s="5" t="s">
        <v>1671</v>
      </c>
    </row>
    <row r="984" spans="1:14" s="5" customFormat="1" ht="20.100000000000001" customHeight="1" x14ac:dyDescent="0.25">
      <c r="A984" s="14" t="s">
        <v>10</v>
      </c>
      <c r="B984" s="14"/>
      <c r="C984" s="25" t="s">
        <v>60</v>
      </c>
      <c r="D984" s="58"/>
      <c r="E984" s="60"/>
      <c r="F984" s="60"/>
      <c r="G984" s="60"/>
      <c r="H984" s="60"/>
      <c r="I984" s="60"/>
      <c r="J984" s="103"/>
      <c r="K984" s="104"/>
      <c r="L984" s="105"/>
      <c r="M984" s="106" t="str">
        <f t="shared" si="226"/>
        <v/>
      </c>
    </row>
    <row r="985" spans="1:14" s="5" customFormat="1" ht="20.100000000000001" customHeight="1" x14ac:dyDescent="0.25">
      <c r="A985" s="14" t="s">
        <v>16</v>
      </c>
      <c r="B985" s="14"/>
      <c r="C985" s="25" t="s">
        <v>60</v>
      </c>
      <c r="D985" s="20" t="str">
        <f>IFERROR(A985&amp;"   ("&amp;COUNTIFS(#REF!,"="&amp;A985)&amp;")",A985)</f>
        <v>UDM</v>
      </c>
      <c r="E985" s="45"/>
      <c r="F985" s="45"/>
      <c r="G985" s="45"/>
      <c r="H985" s="45"/>
      <c r="I985" s="46"/>
      <c r="J985" s="103"/>
      <c r="K985" s="104"/>
      <c r="L985" s="105"/>
      <c r="M985" s="106" t="str">
        <f t="shared" si="226"/>
        <v/>
      </c>
      <c r="N985" s="5" t="s">
        <v>1672</v>
      </c>
    </row>
    <row r="986" spans="1:14" s="5" customFormat="1" ht="20.100000000000001" customHeight="1" x14ac:dyDescent="0.25">
      <c r="A986" s="14" t="s">
        <v>16</v>
      </c>
      <c r="B986" s="16" t="s">
        <v>20</v>
      </c>
      <c r="C986" s="25" t="s">
        <v>60</v>
      </c>
      <c r="D986" s="6" t="s">
        <v>20</v>
      </c>
      <c r="E986" s="37"/>
      <c r="F986" s="37"/>
      <c r="G986" s="37"/>
      <c r="H986" s="37"/>
      <c r="I986" s="48"/>
      <c r="J986" s="103"/>
      <c r="K986" s="104"/>
      <c r="L986" s="105"/>
      <c r="M986" s="106" t="str">
        <f t="shared" si="226"/>
        <v/>
      </c>
      <c r="N986" s="5" t="s">
        <v>1673</v>
      </c>
    </row>
    <row r="987" spans="1:14" s="5" customFormat="1" ht="30" customHeight="1" x14ac:dyDescent="0.25">
      <c r="A987" s="14" t="s">
        <v>16</v>
      </c>
      <c r="B987" s="16" t="s">
        <v>20</v>
      </c>
      <c r="C987" s="25" t="s">
        <v>61</v>
      </c>
      <c r="D987" s="168" t="s">
        <v>25</v>
      </c>
      <c r="E987" s="38">
        <v>0</v>
      </c>
      <c r="F987" s="39">
        <v>0</v>
      </c>
      <c r="G987" s="40">
        <v>0</v>
      </c>
      <c r="H987" s="41">
        <v>0</v>
      </c>
      <c r="I987" s="42">
        <f>SUM(E987:H987)</f>
        <v>0</v>
      </c>
      <c r="J987" s="103" t="str">
        <f>IFERROR(E987/$I987*100,"")</f>
        <v/>
      </c>
      <c r="K987" s="104" t="str">
        <f>IFERROR(F987/$I987*100,"")</f>
        <v/>
      </c>
      <c r="L987" s="105" t="str">
        <f>IFERROR(G987/$I987*100,"")</f>
        <v/>
      </c>
      <c r="M987" s="106" t="str">
        <f t="shared" si="226"/>
        <v/>
      </c>
      <c r="N987" s="5" t="s">
        <v>1671</v>
      </c>
    </row>
    <row r="988" spans="1:14" ht="5.0999999999999996" customHeight="1" x14ac:dyDescent="0.25">
      <c r="A988" s="14" t="s">
        <v>16</v>
      </c>
      <c r="B988" s="16" t="s">
        <v>20</v>
      </c>
      <c r="C988"/>
      <c r="J988" s="103"/>
      <c r="K988" s="104"/>
      <c r="L988" s="105"/>
      <c r="M988" s="106" t="str">
        <f t="shared" si="226"/>
        <v/>
      </c>
    </row>
    <row r="989" spans="1:14" s="5" customFormat="1" ht="20.100000000000001" customHeight="1" x14ac:dyDescent="0.25">
      <c r="A989" s="14" t="s">
        <v>16</v>
      </c>
      <c r="B989" s="16" t="s">
        <v>26</v>
      </c>
      <c r="C989" s="25" t="s">
        <v>60</v>
      </c>
      <c r="D989" s="6" t="s">
        <v>98</v>
      </c>
      <c r="E989" s="37"/>
      <c r="F989" s="37"/>
      <c r="G989" s="37"/>
      <c r="H989" s="37"/>
      <c r="I989" s="47"/>
      <c r="J989" s="103"/>
      <c r="K989" s="104"/>
      <c r="L989" s="105"/>
      <c r="M989" s="106" t="str">
        <f t="shared" si="226"/>
        <v/>
      </c>
      <c r="N989" s="5" t="s">
        <v>1673</v>
      </c>
    </row>
    <row r="990" spans="1:14" s="5" customFormat="1" ht="30" customHeight="1" x14ac:dyDescent="0.25">
      <c r="A990" s="14" t="s">
        <v>16</v>
      </c>
      <c r="B990" s="16" t="s">
        <v>26</v>
      </c>
      <c r="C990" s="25" t="s">
        <v>61</v>
      </c>
      <c r="D990" s="169" t="s">
        <v>21</v>
      </c>
      <c r="E990" s="38">
        <v>0</v>
      </c>
      <c r="F990" s="39">
        <v>0</v>
      </c>
      <c r="G990" s="40">
        <v>0</v>
      </c>
      <c r="H990" s="41">
        <v>0</v>
      </c>
      <c r="I990" s="42">
        <f t="shared" ref="I990:I997" si="227">SUM(E990:H990)</f>
        <v>0</v>
      </c>
      <c r="J990" s="103" t="str">
        <f t="shared" ref="J990:L997" si="228">IFERROR(E990/$I990*100,"")</f>
        <v/>
      </c>
      <c r="K990" s="104" t="str">
        <f t="shared" si="228"/>
        <v/>
      </c>
      <c r="L990" s="105" t="str">
        <f t="shared" si="228"/>
        <v/>
      </c>
      <c r="M990" s="106" t="str">
        <f t="shared" si="226"/>
        <v/>
      </c>
    </row>
    <row r="991" spans="1:14" s="5" customFormat="1" ht="30" customHeight="1" x14ac:dyDescent="0.25">
      <c r="A991" s="14" t="s">
        <v>16</v>
      </c>
      <c r="B991" s="16" t="s">
        <v>26</v>
      </c>
      <c r="C991" s="25" t="s">
        <v>61</v>
      </c>
      <c r="D991" s="169" t="s">
        <v>22</v>
      </c>
      <c r="E991" s="38">
        <v>0</v>
      </c>
      <c r="F991" s="39">
        <v>0</v>
      </c>
      <c r="G991" s="40">
        <v>0</v>
      </c>
      <c r="H991" s="41">
        <v>0</v>
      </c>
      <c r="I991" s="42">
        <f t="shared" si="227"/>
        <v>0</v>
      </c>
      <c r="J991" s="103" t="str">
        <f t="shared" si="228"/>
        <v/>
      </c>
      <c r="K991" s="104" t="str">
        <f t="shared" si="228"/>
        <v/>
      </c>
      <c r="L991" s="105" t="str">
        <f t="shared" si="228"/>
        <v/>
      </c>
      <c r="M991" s="106" t="str">
        <f t="shared" si="226"/>
        <v/>
      </c>
    </row>
    <row r="992" spans="1:14" s="5" customFormat="1" ht="30" customHeight="1" x14ac:dyDescent="0.25">
      <c r="A992" s="14" t="s">
        <v>16</v>
      </c>
      <c r="B992" s="16" t="s">
        <v>26</v>
      </c>
      <c r="C992" s="25" t="s">
        <v>61</v>
      </c>
      <c r="D992" s="169" t="s">
        <v>27</v>
      </c>
      <c r="E992" s="38">
        <v>0</v>
      </c>
      <c r="F992" s="39">
        <v>0</v>
      </c>
      <c r="G992" s="40">
        <v>0</v>
      </c>
      <c r="H992" s="41">
        <v>0</v>
      </c>
      <c r="I992" s="42">
        <f t="shared" si="227"/>
        <v>0</v>
      </c>
      <c r="J992" s="103" t="str">
        <f t="shared" si="228"/>
        <v/>
      </c>
      <c r="K992" s="104" t="str">
        <f t="shared" si="228"/>
        <v/>
      </c>
      <c r="L992" s="105" t="str">
        <f t="shared" si="228"/>
        <v/>
      </c>
      <c r="M992" s="106" t="str">
        <f t="shared" si="226"/>
        <v/>
      </c>
    </row>
    <row r="993" spans="1:14" s="5" customFormat="1" ht="30" customHeight="1" x14ac:dyDescent="0.25">
      <c r="A993" s="14" t="s">
        <v>16</v>
      </c>
      <c r="B993" s="16" t="s">
        <v>26</v>
      </c>
      <c r="C993" s="25" t="s">
        <v>61</v>
      </c>
      <c r="D993" s="169" t="s">
        <v>23</v>
      </c>
      <c r="E993" s="38">
        <v>0</v>
      </c>
      <c r="F993" s="39">
        <v>0</v>
      </c>
      <c r="G993" s="40">
        <v>0</v>
      </c>
      <c r="H993" s="41">
        <v>0</v>
      </c>
      <c r="I993" s="42">
        <f t="shared" si="227"/>
        <v>0</v>
      </c>
      <c r="J993" s="103" t="str">
        <f t="shared" si="228"/>
        <v/>
      </c>
      <c r="K993" s="104" t="str">
        <f t="shared" si="228"/>
        <v/>
      </c>
      <c r="L993" s="105" t="str">
        <f t="shared" si="228"/>
        <v/>
      </c>
      <c r="M993" s="106" t="str">
        <f t="shared" si="226"/>
        <v/>
      </c>
    </row>
    <row r="994" spans="1:14" s="5" customFormat="1" ht="30" customHeight="1" x14ac:dyDescent="0.25">
      <c r="A994" s="14" t="s">
        <v>16</v>
      </c>
      <c r="B994" s="16" t="s">
        <v>26</v>
      </c>
      <c r="C994" s="25" t="s">
        <v>61</v>
      </c>
      <c r="D994" s="169" t="s">
        <v>24</v>
      </c>
      <c r="E994" s="38">
        <v>0</v>
      </c>
      <c r="F994" s="39">
        <v>0</v>
      </c>
      <c r="G994" s="40">
        <v>0</v>
      </c>
      <c r="H994" s="41">
        <v>0</v>
      </c>
      <c r="I994" s="42">
        <f t="shared" si="227"/>
        <v>0</v>
      </c>
      <c r="J994" s="103" t="str">
        <f t="shared" si="228"/>
        <v/>
      </c>
      <c r="K994" s="104" t="str">
        <f t="shared" si="228"/>
        <v/>
      </c>
      <c r="L994" s="105" t="str">
        <f t="shared" si="228"/>
        <v/>
      </c>
      <c r="M994" s="106" t="str">
        <f t="shared" si="226"/>
        <v/>
      </c>
    </row>
    <row r="995" spans="1:14" s="3" customFormat="1" ht="30" customHeight="1" x14ac:dyDescent="0.25">
      <c r="A995" s="14" t="s">
        <v>16</v>
      </c>
      <c r="B995" s="16" t="s">
        <v>26</v>
      </c>
      <c r="C995" s="25" t="s">
        <v>61</v>
      </c>
      <c r="D995" s="169" t="s">
        <v>41</v>
      </c>
      <c r="E995" s="38">
        <v>0</v>
      </c>
      <c r="F995" s="39">
        <v>0</v>
      </c>
      <c r="G995" s="40">
        <v>0</v>
      </c>
      <c r="H995" s="41">
        <v>0</v>
      </c>
      <c r="I995" s="42">
        <f t="shared" si="227"/>
        <v>0</v>
      </c>
      <c r="J995" s="103" t="str">
        <f t="shared" si="228"/>
        <v/>
      </c>
      <c r="K995" s="104" t="str">
        <f t="shared" si="228"/>
        <v/>
      </c>
      <c r="L995" s="105" t="str">
        <f t="shared" si="228"/>
        <v/>
      </c>
      <c r="M995" s="106" t="str">
        <f t="shared" si="226"/>
        <v/>
      </c>
    </row>
    <row r="996" spans="1:14" s="5" customFormat="1" ht="30" customHeight="1" x14ac:dyDescent="0.25">
      <c r="A996" s="14" t="s">
        <v>16</v>
      </c>
      <c r="B996" s="16" t="s">
        <v>26</v>
      </c>
      <c r="C996" s="25" t="s">
        <v>61</v>
      </c>
      <c r="D996" s="169" t="s">
        <v>28</v>
      </c>
      <c r="E996" s="38">
        <v>0</v>
      </c>
      <c r="F996" s="39">
        <v>0</v>
      </c>
      <c r="G996" s="40">
        <v>0</v>
      </c>
      <c r="H996" s="41">
        <v>0</v>
      </c>
      <c r="I996" s="42">
        <f t="shared" si="227"/>
        <v>0</v>
      </c>
      <c r="J996" s="103" t="str">
        <f t="shared" si="228"/>
        <v/>
      </c>
      <c r="K996" s="104" t="str">
        <f t="shared" si="228"/>
        <v/>
      </c>
      <c r="L996" s="105" t="str">
        <f t="shared" si="228"/>
        <v/>
      </c>
      <c r="M996" s="106" t="str">
        <f t="shared" si="226"/>
        <v/>
      </c>
    </row>
    <row r="997" spans="1:14" s="5" customFormat="1" ht="30" customHeight="1" x14ac:dyDescent="0.25">
      <c r="A997" s="14" t="s">
        <v>16</v>
      </c>
      <c r="B997" s="16" t="s">
        <v>26</v>
      </c>
      <c r="C997" s="25" t="s">
        <v>61</v>
      </c>
      <c r="D997" s="169" t="s">
        <v>40</v>
      </c>
      <c r="E997" s="38">
        <v>0</v>
      </c>
      <c r="F997" s="39">
        <v>0</v>
      </c>
      <c r="G997" s="40">
        <v>0</v>
      </c>
      <c r="H997" s="41">
        <v>0</v>
      </c>
      <c r="I997" s="42">
        <f t="shared" si="227"/>
        <v>0</v>
      </c>
      <c r="J997" s="103" t="str">
        <f t="shared" si="228"/>
        <v/>
      </c>
      <c r="K997" s="104" t="str">
        <f t="shared" si="228"/>
        <v/>
      </c>
      <c r="L997" s="105" t="str">
        <f t="shared" si="228"/>
        <v/>
      </c>
      <c r="M997" s="106" t="str">
        <f t="shared" si="226"/>
        <v/>
      </c>
    </row>
    <row r="998" spans="1:14" s="5" customFormat="1" ht="30" customHeight="1" x14ac:dyDescent="0.25">
      <c r="A998" s="14" t="s">
        <v>16</v>
      </c>
      <c r="B998" s="16" t="s">
        <v>26</v>
      </c>
      <c r="C998" s="25"/>
      <c r="D998" s="9" t="s">
        <v>29</v>
      </c>
      <c r="E998" s="38">
        <f>SUM(E990:E997)</f>
        <v>0</v>
      </c>
      <c r="F998" s="39">
        <f t="shared" ref="F998:I998" si="229">SUM(F990:F997)</f>
        <v>0</v>
      </c>
      <c r="G998" s="40">
        <f t="shared" si="229"/>
        <v>0</v>
      </c>
      <c r="H998" s="41">
        <f t="shared" si="229"/>
        <v>0</v>
      </c>
      <c r="I998" s="43">
        <f t="shared" si="229"/>
        <v>0</v>
      </c>
      <c r="J998" s="103" t="str">
        <f>IFERROR(E998/SUM($E998:$H998)*100,"")</f>
        <v/>
      </c>
      <c r="K998" s="104" t="str">
        <f>IFERROR(F998/SUM($E998:$H998)*100,"")</f>
        <v/>
      </c>
      <c r="L998" s="105" t="str">
        <f>IFERROR(G998/SUM($E998:$H998)*100,"")</f>
        <v/>
      </c>
      <c r="M998" s="106" t="str">
        <f t="shared" si="226"/>
        <v/>
      </c>
      <c r="N998" s="5" t="s">
        <v>1671</v>
      </c>
    </row>
    <row r="999" spans="1:14" ht="5.0999999999999996" customHeight="1" x14ac:dyDescent="0.25">
      <c r="A999" s="14" t="s">
        <v>16</v>
      </c>
      <c r="B999" s="16" t="s">
        <v>26</v>
      </c>
      <c r="C999"/>
      <c r="J999" s="103"/>
      <c r="K999" s="104"/>
      <c r="L999" s="105"/>
      <c r="M999" s="106" t="str">
        <f t="shared" si="226"/>
        <v/>
      </c>
    </row>
    <row r="1000" spans="1:14" s="5" customFormat="1" ht="20.100000000000001" customHeight="1" x14ac:dyDescent="0.25">
      <c r="A1000" s="14" t="s">
        <v>16</v>
      </c>
      <c r="B1000" s="16" t="s">
        <v>64</v>
      </c>
      <c r="C1000" s="25" t="s">
        <v>60</v>
      </c>
      <c r="D1000" s="6" t="s">
        <v>65</v>
      </c>
      <c r="E1000" s="37"/>
      <c r="F1000" s="37"/>
      <c r="G1000" s="37"/>
      <c r="H1000" s="37"/>
      <c r="I1000" s="48"/>
      <c r="J1000" s="103"/>
      <c r="K1000" s="104"/>
      <c r="L1000" s="105"/>
      <c r="M1000" s="106" t="str">
        <f t="shared" si="226"/>
        <v/>
      </c>
      <c r="N1000" s="5" t="s">
        <v>1673</v>
      </c>
    </row>
    <row r="1001" spans="1:14" s="5" customFormat="1" ht="30" customHeight="1" x14ac:dyDescent="0.25">
      <c r="A1001" s="14" t="s">
        <v>16</v>
      </c>
      <c r="B1001" s="16" t="s">
        <v>64</v>
      </c>
      <c r="C1001" s="25" t="s">
        <v>61</v>
      </c>
      <c r="D1001" s="168" t="s">
        <v>66</v>
      </c>
      <c r="E1001" s="38">
        <v>0</v>
      </c>
      <c r="F1001" s="39">
        <v>0</v>
      </c>
      <c r="G1001" s="40">
        <v>0</v>
      </c>
      <c r="H1001" s="41">
        <v>0</v>
      </c>
      <c r="I1001" s="42">
        <f>SUM(E1001:H1001)</f>
        <v>0</v>
      </c>
      <c r="J1001" s="103" t="str">
        <f>IFERROR(E1001/$I1001*100,"")</f>
        <v/>
      </c>
      <c r="K1001" s="104" t="str">
        <f>IFERROR(F1001/$I1001*100,"")</f>
        <v/>
      </c>
      <c r="L1001" s="105" t="str">
        <f>IFERROR(G1001/$I1001*100,"")</f>
        <v/>
      </c>
      <c r="M1001" s="106" t="str">
        <f t="shared" si="226"/>
        <v/>
      </c>
      <c r="N1001" s="5" t="s">
        <v>1671</v>
      </c>
    </row>
    <row r="1002" spans="1:14" ht="5.0999999999999996" customHeight="1" x14ac:dyDescent="0.25">
      <c r="A1002" s="14" t="s">
        <v>16</v>
      </c>
      <c r="B1002" s="16" t="s">
        <v>64</v>
      </c>
      <c r="C1002"/>
      <c r="D1002" s="57"/>
      <c r="E1002" s="59"/>
      <c r="F1002" s="59"/>
      <c r="G1002" s="59"/>
      <c r="H1002" s="59"/>
      <c r="I1002" s="59"/>
      <c r="J1002" s="103"/>
      <c r="K1002" s="104"/>
      <c r="L1002" s="105"/>
      <c r="M1002" s="106" t="str">
        <f t="shared" si="226"/>
        <v/>
      </c>
    </row>
    <row r="1003" spans="1:14" s="5" customFormat="1" ht="20.100000000000001" customHeight="1" x14ac:dyDescent="0.25">
      <c r="A1003" s="14" t="s">
        <v>16</v>
      </c>
      <c r="B1003" s="16" t="s">
        <v>55</v>
      </c>
      <c r="C1003" s="25" t="s">
        <v>60</v>
      </c>
      <c r="D1003" s="6" t="s">
        <v>55</v>
      </c>
      <c r="E1003" s="37"/>
      <c r="F1003" s="37"/>
      <c r="G1003" s="37"/>
      <c r="H1003" s="37"/>
      <c r="I1003" s="48"/>
      <c r="J1003" s="103"/>
      <c r="K1003" s="104"/>
      <c r="L1003" s="105"/>
      <c r="M1003" s="106" t="str">
        <f t="shared" si="226"/>
        <v/>
      </c>
      <c r="N1003" s="5" t="s">
        <v>1673</v>
      </c>
    </row>
    <row r="1004" spans="1:14" s="3" customFormat="1" ht="30" customHeight="1" x14ac:dyDescent="0.25">
      <c r="A1004" s="14" t="s">
        <v>16</v>
      </c>
      <c r="B1004" s="16" t="s">
        <v>55</v>
      </c>
      <c r="C1004" s="25" t="s">
        <v>61</v>
      </c>
      <c r="D1004" s="168" t="s">
        <v>56</v>
      </c>
      <c r="E1004" s="38">
        <v>0</v>
      </c>
      <c r="F1004" s="39">
        <v>0</v>
      </c>
      <c r="G1004" s="40">
        <v>0</v>
      </c>
      <c r="H1004" s="41">
        <v>0</v>
      </c>
      <c r="I1004" s="42">
        <f>SUM(E1004:H1004)</f>
        <v>0</v>
      </c>
      <c r="J1004" s="103" t="str">
        <f t="shared" ref="J1004:L1006" si="230">IFERROR(E1004/$I1004*100,"")</f>
        <v/>
      </c>
      <c r="K1004" s="104" t="str">
        <f t="shared" si="230"/>
        <v/>
      </c>
      <c r="L1004" s="105" t="str">
        <f t="shared" si="230"/>
        <v/>
      </c>
      <c r="M1004" s="106" t="str">
        <f t="shared" si="226"/>
        <v/>
      </c>
      <c r="N1004" s="5"/>
    </row>
    <row r="1005" spans="1:14" s="3" customFormat="1" ht="30" customHeight="1" x14ac:dyDescent="0.25">
      <c r="A1005" s="14" t="s">
        <v>16</v>
      </c>
      <c r="B1005" s="16" t="s">
        <v>55</v>
      </c>
      <c r="C1005" s="25" t="s">
        <v>61</v>
      </c>
      <c r="D1005" s="168" t="s">
        <v>57</v>
      </c>
      <c r="E1005" s="38">
        <v>0</v>
      </c>
      <c r="F1005" s="39">
        <v>0</v>
      </c>
      <c r="G1005" s="40">
        <v>0</v>
      </c>
      <c r="H1005" s="41">
        <v>0</v>
      </c>
      <c r="I1005" s="42">
        <f>SUM(E1005:H1005)</f>
        <v>0</v>
      </c>
      <c r="J1005" s="103" t="str">
        <f t="shared" si="230"/>
        <v/>
      </c>
      <c r="K1005" s="104" t="str">
        <f t="shared" si="230"/>
        <v/>
      </c>
      <c r="L1005" s="105" t="str">
        <f t="shared" si="230"/>
        <v/>
      </c>
      <c r="M1005" s="106" t="str">
        <f t="shared" si="226"/>
        <v/>
      </c>
    </row>
    <row r="1006" spans="1:14" s="3" customFormat="1" ht="30" customHeight="1" x14ac:dyDescent="0.25">
      <c r="A1006" s="14" t="s">
        <v>16</v>
      </c>
      <c r="B1006" s="16" t="s">
        <v>55</v>
      </c>
      <c r="C1006" s="25"/>
      <c r="D1006" s="168" t="s">
        <v>29</v>
      </c>
      <c r="E1006" s="38">
        <f>SUM(E1004:E1005)</f>
        <v>0</v>
      </c>
      <c r="F1006" s="39">
        <f t="shared" ref="F1006:I1006" si="231">SUM(F1004:F1005)</f>
        <v>0</v>
      </c>
      <c r="G1006" s="40">
        <f t="shared" si="231"/>
        <v>0</v>
      </c>
      <c r="H1006" s="41">
        <f t="shared" si="231"/>
        <v>0</v>
      </c>
      <c r="I1006" s="42">
        <f t="shared" si="231"/>
        <v>0</v>
      </c>
      <c r="J1006" s="103" t="str">
        <f t="shared" si="230"/>
        <v/>
      </c>
      <c r="K1006" s="104" t="str">
        <f t="shared" si="230"/>
        <v/>
      </c>
      <c r="L1006" s="105" t="str">
        <f t="shared" si="230"/>
        <v/>
      </c>
      <c r="M1006" s="106" t="str">
        <f t="shared" si="226"/>
        <v/>
      </c>
      <c r="N1006" s="5" t="s">
        <v>1671</v>
      </c>
    </row>
    <row r="1007" spans="1:14" ht="5.0999999999999996" customHeight="1" x14ac:dyDescent="0.25">
      <c r="A1007" s="14" t="s">
        <v>16</v>
      </c>
      <c r="B1007" s="16" t="s">
        <v>55</v>
      </c>
      <c r="C1007"/>
      <c r="J1007" s="103"/>
      <c r="K1007" s="104"/>
      <c r="L1007" s="105"/>
      <c r="M1007" s="106" t="str">
        <f t="shared" si="226"/>
        <v/>
      </c>
    </row>
    <row r="1008" spans="1:14" s="5" customFormat="1" ht="20.100000000000001" customHeight="1" x14ac:dyDescent="0.25">
      <c r="A1008" s="14" t="s">
        <v>16</v>
      </c>
      <c r="B1008" s="16" t="s">
        <v>74</v>
      </c>
      <c r="C1008" s="25" t="s">
        <v>60</v>
      </c>
      <c r="D1008" s="6" t="s">
        <v>75</v>
      </c>
      <c r="E1008" s="37"/>
      <c r="F1008" s="37"/>
      <c r="G1008" s="37"/>
      <c r="H1008" s="37"/>
      <c r="I1008" s="48"/>
      <c r="J1008" s="103"/>
      <c r="K1008" s="104"/>
      <c r="L1008" s="105"/>
      <c r="M1008" s="106" t="str">
        <f t="shared" si="226"/>
        <v/>
      </c>
      <c r="N1008" s="5" t="s">
        <v>1673</v>
      </c>
    </row>
    <row r="1009" spans="1:14" s="3" customFormat="1" ht="30" customHeight="1" x14ac:dyDescent="0.25">
      <c r="A1009" s="14" t="s">
        <v>16</v>
      </c>
      <c r="B1009" s="16" t="s">
        <v>74</v>
      </c>
      <c r="C1009" s="25" t="s">
        <v>61</v>
      </c>
      <c r="D1009" s="168" t="s">
        <v>77</v>
      </c>
      <c r="E1009" s="38">
        <v>0</v>
      </c>
      <c r="F1009" s="39">
        <v>0</v>
      </c>
      <c r="G1009" s="40">
        <v>0</v>
      </c>
      <c r="H1009" s="41">
        <v>0</v>
      </c>
      <c r="I1009" s="42">
        <f>SUM(E1009:H1009)</f>
        <v>0</v>
      </c>
      <c r="J1009" s="103" t="str">
        <f>IFERROR(E1009/$I1009*100,"")</f>
        <v/>
      </c>
      <c r="K1009" s="104" t="str">
        <f>IFERROR(F1009/$I1009*100,"")</f>
        <v/>
      </c>
      <c r="L1009" s="105" t="str">
        <f>IFERROR(G1009/$I1009*100,"")</f>
        <v/>
      </c>
      <c r="M1009" s="106" t="str">
        <f t="shared" si="226"/>
        <v/>
      </c>
      <c r="N1009" s="3" t="s">
        <v>1671</v>
      </c>
    </row>
    <row r="1010" spans="1:14" ht="5.0999999999999996" customHeight="1" x14ac:dyDescent="0.25">
      <c r="A1010" s="14" t="s">
        <v>16</v>
      </c>
      <c r="B1010" s="16" t="s">
        <v>74</v>
      </c>
      <c r="C1010"/>
      <c r="D1010" s="57"/>
      <c r="E1010" s="59"/>
      <c r="F1010" s="59"/>
      <c r="G1010" s="59"/>
      <c r="H1010" s="59"/>
      <c r="I1010" s="59"/>
      <c r="J1010" s="103"/>
      <c r="K1010" s="104"/>
      <c r="L1010" s="105"/>
      <c r="M1010" s="106" t="str">
        <f t="shared" si="226"/>
        <v/>
      </c>
    </row>
    <row r="1011" spans="1:14" s="5" customFormat="1" ht="20.100000000000001" customHeight="1" x14ac:dyDescent="0.25">
      <c r="A1011" s="14" t="s">
        <v>16</v>
      </c>
      <c r="B1011" s="16" t="s">
        <v>78</v>
      </c>
      <c r="C1011" s="25" t="s">
        <v>60</v>
      </c>
      <c r="D1011" s="6" t="s">
        <v>80</v>
      </c>
      <c r="E1011" s="37"/>
      <c r="F1011" s="37"/>
      <c r="G1011" s="37"/>
      <c r="H1011" s="37"/>
      <c r="I1011" s="48"/>
      <c r="J1011" s="103"/>
      <c r="K1011" s="104"/>
      <c r="L1011" s="105"/>
      <c r="M1011" s="106" t="str">
        <f t="shared" si="226"/>
        <v/>
      </c>
      <c r="N1011" s="5" t="s">
        <v>1673</v>
      </c>
    </row>
    <row r="1012" spans="1:14" s="5" customFormat="1" ht="30" customHeight="1" x14ac:dyDescent="0.25">
      <c r="A1012" s="14" t="s">
        <v>16</v>
      </c>
      <c r="B1012" s="16" t="s">
        <v>78</v>
      </c>
      <c r="C1012" s="25" t="s">
        <v>61</v>
      </c>
      <c r="D1012" s="168" t="s">
        <v>81</v>
      </c>
      <c r="E1012" s="38">
        <v>0</v>
      </c>
      <c r="F1012" s="39">
        <v>0</v>
      </c>
      <c r="G1012" s="40">
        <v>0</v>
      </c>
      <c r="H1012" s="41">
        <v>0</v>
      </c>
      <c r="I1012" s="42">
        <f t="shared" ref="I1012:I1018" si="232">SUM(E1012:H1012)</f>
        <v>0</v>
      </c>
      <c r="J1012" s="103" t="str">
        <f t="shared" ref="J1012:L1018" si="233">IFERROR(E1012/$I1012*100,"")</f>
        <v/>
      </c>
      <c r="K1012" s="104" t="str">
        <f t="shared" si="233"/>
        <v/>
      </c>
      <c r="L1012" s="105" t="str">
        <f t="shared" si="233"/>
        <v/>
      </c>
      <c r="M1012" s="106" t="str">
        <f t="shared" si="226"/>
        <v/>
      </c>
    </row>
    <row r="1013" spans="1:14" s="5" customFormat="1" ht="30" customHeight="1" x14ac:dyDescent="0.25">
      <c r="A1013" s="14" t="s">
        <v>16</v>
      </c>
      <c r="B1013" s="16" t="s">
        <v>78</v>
      </c>
      <c r="C1013" s="25" t="s">
        <v>61</v>
      </c>
      <c r="D1013" s="168" t="s">
        <v>82</v>
      </c>
      <c r="E1013" s="38">
        <v>0</v>
      </c>
      <c r="F1013" s="39">
        <v>0</v>
      </c>
      <c r="G1013" s="40">
        <v>0</v>
      </c>
      <c r="H1013" s="41">
        <v>0</v>
      </c>
      <c r="I1013" s="42">
        <f t="shared" si="232"/>
        <v>0</v>
      </c>
      <c r="J1013" s="103" t="str">
        <f t="shared" si="233"/>
        <v/>
      </c>
      <c r="K1013" s="104" t="str">
        <f t="shared" si="233"/>
        <v/>
      </c>
      <c r="L1013" s="105" t="str">
        <f t="shared" si="233"/>
        <v/>
      </c>
      <c r="M1013" s="106" t="str">
        <f t="shared" si="226"/>
        <v/>
      </c>
    </row>
    <row r="1014" spans="1:14" s="5" customFormat="1" ht="30" customHeight="1" x14ac:dyDescent="0.25">
      <c r="A1014" s="14" t="s">
        <v>16</v>
      </c>
      <c r="B1014" s="16" t="s">
        <v>78</v>
      </c>
      <c r="C1014" s="25" t="s">
        <v>61</v>
      </c>
      <c r="D1014" s="168" t="s">
        <v>83</v>
      </c>
      <c r="E1014" s="38">
        <v>0</v>
      </c>
      <c r="F1014" s="39">
        <v>0</v>
      </c>
      <c r="G1014" s="40">
        <v>0</v>
      </c>
      <c r="H1014" s="41">
        <v>0</v>
      </c>
      <c r="I1014" s="42">
        <f t="shared" si="232"/>
        <v>0</v>
      </c>
      <c r="J1014" s="103" t="str">
        <f t="shared" si="233"/>
        <v/>
      </c>
      <c r="K1014" s="104" t="str">
        <f t="shared" si="233"/>
        <v/>
      </c>
      <c r="L1014" s="105" t="str">
        <f t="shared" si="233"/>
        <v/>
      </c>
      <c r="M1014" s="106" t="str">
        <f t="shared" si="226"/>
        <v/>
      </c>
    </row>
    <row r="1015" spans="1:14" s="5" customFormat="1" ht="30" customHeight="1" x14ac:dyDescent="0.25">
      <c r="A1015" s="14" t="s">
        <v>16</v>
      </c>
      <c r="B1015" s="16" t="s">
        <v>78</v>
      </c>
      <c r="C1015" s="25" t="s">
        <v>61</v>
      </c>
      <c r="D1015" s="168" t="s">
        <v>88</v>
      </c>
      <c r="E1015" s="38">
        <v>0</v>
      </c>
      <c r="F1015" s="39">
        <v>0</v>
      </c>
      <c r="G1015" s="40">
        <v>0</v>
      </c>
      <c r="H1015" s="41">
        <v>0</v>
      </c>
      <c r="I1015" s="42">
        <f t="shared" si="232"/>
        <v>0</v>
      </c>
      <c r="J1015" s="103" t="str">
        <f t="shared" si="233"/>
        <v/>
      </c>
      <c r="K1015" s="104" t="str">
        <f t="shared" si="233"/>
        <v/>
      </c>
      <c r="L1015" s="105" t="str">
        <f t="shared" si="233"/>
        <v/>
      </c>
      <c r="M1015" s="106" t="str">
        <f t="shared" si="226"/>
        <v/>
      </c>
    </row>
    <row r="1016" spans="1:14" s="5" customFormat="1" ht="30" customHeight="1" x14ac:dyDescent="0.25">
      <c r="A1016" s="14" t="s">
        <v>16</v>
      </c>
      <c r="B1016" s="16" t="s">
        <v>78</v>
      </c>
      <c r="C1016" s="25" t="s">
        <v>61</v>
      </c>
      <c r="D1016" s="168" t="s">
        <v>87</v>
      </c>
      <c r="E1016" s="38">
        <v>0</v>
      </c>
      <c r="F1016" s="39">
        <v>0</v>
      </c>
      <c r="G1016" s="40">
        <v>0</v>
      </c>
      <c r="H1016" s="41">
        <v>0</v>
      </c>
      <c r="I1016" s="42">
        <f t="shared" si="232"/>
        <v>0</v>
      </c>
      <c r="J1016" s="103" t="str">
        <f t="shared" si="233"/>
        <v/>
      </c>
      <c r="K1016" s="104" t="str">
        <f t="shared" si="233"/>
        <v/>
      </c>
      <c r="L1016" s="105" t="str">
        <f t="shared" si="233"/>
        <v/>
      </c>
      <c r="M1016" s="106" t="str">
        <f t="shared" si="226"/>
        <v/>
      </c>
    </row>
    <row r="1017" spans="1:14" s="5" customFormat="1" ht="30" customHeight="1" x14ac:dyDescent="0.25">
      <c r="A1017" s="14" t="s">
        <v>16</v>
      </c>
      <c r="B1017" s="16" t="s">
        <v>78</v>
      </c>
      <c r="C1017" s="25" t="s">
        <v>61</v>
      </c>
      <c r="D1017" s="168" t="s">
        <v>84</v>
      </c>
      <c r="E1017" s="38">
        <v>0</v>
      </c>
      <c r="F1017" s="39">
        <v>0</v>
      </c>
      <c r="G1017" s="40">
        <v>0</v>
      </c>
      <c r="H1017" s="41">
        <v>0</v>
      </c>
      <c r="I1017" s="42">
        <f t="shared" si="232"/>
        <v>0</v>
      </c>
      <c r="J1017" s="103" t="str">
        <f t="shared" si="233"/>
        <v/>
      </c>
      <c r="K1017" s="104" t="str">
        <f t="shared" si="233"/>
        <v/>
      </c>
      <c r="L1017" s="105" t="str">
        <f t="shared" si="233"/>
        <v/>
      </c>
      <c r="M1017" s="106" t="str">
        <f t="shared" si="226"/>
        <v/>
      </c>
    </row>
    <row r="1018" spans="1:14" s="5" customFormat="1" ht="30" customHeight="1" x14ac:dyDescent="0.25">
      <c r="A1018" s="14" t="s">
        <v>16</v>
      </c>
      <c r="B1018" s="16" t="s">
        <v>78</v>
      </c>
      <c r="C1018" s="25" t="s">
        <v>86</v>
      </c>
      <c r="D1018" s="168" t="s">
        <v>79</v>
      </c>
      <c r="E1018" s="38">
        <v>0</v>
      </c>
      <c r="F1018" s="39">
        <v>0</v>
      </c>
      <c r="G1018" s="40">
        <v>0</v>
      </c>
      <c r="H1018" s="41">
        <v>0</v>
      </c>
      <c r="I1018" s="42">
        <f t="shared" si="232"/>
        <v>0</v>
      </c>
      <c r="J1018" s="103" t="str">
        <f t="shared" si="233"/>
        <v/>
      </c>
      <c r="K1018" s="104" t="str">
        <f t="shared" si="233"/>
        <v/>
      </c>
      <c r="L1018" s="105" t="str">
        <f t="shared" si="233"/>
        <v/>
      </c>
      <c r="M1018" s="106" t="str">
        <f t="shared" si="226"/>
        <v/>
      </c>
      <c r="N1018" s="5" t="s">
        <v>1671</v>
      </c>
    </row>
    <row r="1019" spans="1:14" ht="5.0999999999999996" customHeight="1" x14ac:dyDescent="0.25">
      <c r="A1019" s="14" t="s">
        <v>16</v>
      </c>
      <c r="B1019" s="16" t="s">
        <v>78</v>
      </c>
      <c r="C1019"/>
      <c r="D1019" s="57"/>
      <c r="E1019" s="59"/>
      <c r="F1019" s="59"/>
      <c r="G1019" s="59"/>
      <c r="H1019" s="59"/>
      <c r="I1019" s="59"/>
      <c r="J1019" s="103"/>
      <c r="K1019" s="104"/>
      <c r="L1019" s="105"/>
      <c r="M1019" s="106" t="str">
        <f t="shared" si="226"/>
        <v/>
      </c>
    </row>
    <row r="1020" spans="1:14" s="5" customFormat="1" ht="20.100000000000001" customHeight="1" x14ac:dyDescent="0.25">
      <c r="A1020" s="14" t="s">
        <v>16</v>
      </c>
      <c r="B1020" s="16" t="s">
        <v>1642</v>
      </c>
      <c r="C1020" s="25" t="s">
        <v>60</v>
      </c>
      <c r="D1020" s="6" t="s">
        <v>1644</v>
      </c>
      <c r="E1020" s="37"/>
      <c r="F1020" s="37"/>
      <c r="G1020" s="37"/>
      <c r="H1020" s="37"/>
      <c r="I1020" s="48"/>
      <c r="J1020" s="103"/>
      <c r="K1020" s="104"/>
      <c r="L1020" s="105"/>
      <c r="M1020" s="106" t="str">
        <f t="shared" si="226"/>
        <v/>
      </c>
      <c r="N1020" s="5" t="s">
        <v>1673</v>
      </c>
    </row>
    <row r="1021" spans="1:14" s="5" customFormat="1" ht="30" customHeight="1" x14ac:dyDescent="0.25">
      <c r="A1021" s="14" t="s">
        <v>16</v>
      </c>
      <c r="B1021" s="16" t="s">
        <v>1642</v>
      </c>
      <c r="C1021" s="25" t="s">
        <v>61</v>
      </c>
      <c r="D1021" s="168" t="s">
        <v>1643</v>
      </c>
      <c r="E1021" s="38">
        <v>0</v>
      </c>
      <c r="F1021" s="39">
        <v>0</v>
      </c>
      <c r="G1021" s="40">
        <v>0</v>
      </c>
      <c r="H1021" s="41">
        <v>0</v>
      </c>
      <c r="I1021" s="42">
        <f t="shared" ref="I1021" si="234">SUM(E1021:H1021)</f>
        <v>0</v>
      </c>
      <c r="J1021" s="103" t="str">
        <f>IFERROR(E1021/$I1021*100,"")</f>
        <v/>
      </c>
      <c r="K1021" s="104" t="str">
        <f>IFERROR(F1021/$I1021*100,"")</f>
        <v/>
      </c>
      <c r="L1021" s="105" t="str">
        <f>IFERROR(G1021/$I1021*100,"")</f>
        <v/>
      </c>
      <c r="M1021" s="106" t="str">
        <f t="shared" si="226"/>
        <v/>
      </c>
      <c r="N1021" s="5" t="s">
        <v>1671</v>
      </c>
    </row>
    <row r="1022" spans="1:14" ht="5.0999999999999996" customHeight="1" x14ac:dyDescent="0.25">
      <c r="A1022" s="14" t="s">
        <v>16</v>
      </c>
      <c r="B1022" s="16" t="s">
        <v>1642</v>
      </c>
      <c r="C1022"/>
      <c r="D1022" s="57"/>
      <c r="E1022" s="59"/>
      <c r="F1022" s="59"/>
      <c r="G1022" s="59"/>
      <c r="H1022" s="59"/>
      <c r="I1022" s="59"/>
      <c r="J1022" s="103"/>
      <c r="K1022" s="104"/>
      <c r="L1022" s="105"/>
      <c r="M1022" s="106" t="str">
        <f t="shared" si="226"/>
        <v/>
      </c>
    </row>
    <row r="1023" spans="1:14" s="5" customFormat="1" ht="20.100000000000001" customHeight="1" x14ac:dyDescent="0.25">
      <c r="A1023" s="14" t="s">
        <v>16</v>
      </c>
      <c r="B1023" s="16" t="s">
        <v>91</v>
      </c>
      <c r="C1023" s="25" t="s">
        <v>60</v>
      </c>
      <c r="D1023" s="6" t="s">
        <v>89</v>
      </c>
      <c r="E1023" s="37"/>
      <c r="F1023" s="37"/>
      <c r="G1023" s="37"/>
      <c r="H1023" s="37"/>
      <c r="I1023" s="48"/>
      <c r="J1023" s="103"/>
      <c r="K1023" s="104"/>
      <c r="L1023" s="105"/>
      <c r="M1023" s="106" t="str">
        <f t="shared" si="226"/>
        <v/>
      </c>
      <c r="N1023" s="5" t="s">
        <v>1673</v>
      </c>
    </row>
    <row r="1024" spans="1:14" s="5" customFormat="1" ht="30" customHeight="1" x14ac:dyDescent="0.25">
      <c r="A1024" s="14" t="s">
        <v>16</v>
      </c>
      <c r="B1024" s="16" t="s">
        <v>91</v>
      </c>
      <c r="C1024" s="25" t="s">
        <v>61</v>
      </c>
      <c r="D1024" s="168" t="s">
        <v>90</v>
      </c>
      <c r="E1024" s="38">
        <v>0</v>
      </c>
      <c r="F1024" s="39">
        <v>0</v>
      </c>
      <c r="G1024" s="40">
        <v>0</v>
      </c>
      <c r="H1024" s="41">
        <v>0</v>
      </c>
      <c r="I1024" s="42">
        <f t="shared" ref="I1024" si="235">SUM(E1024:H1024)</f>
        <v>0</v>
      </c>
      <c r="J1024" s="103" t="str">
        <f>IFERROR(E1024/$I1024*100,"")</f>
        <v/>
      </c>
      <c r="K1024" s="104" t="str">
        <f>IFERROR(F1024/$I1024*100,"")</f>
        <v/>
      </c>
      <c r="L1024" s="105" t="str">
        <f>IFERROR(G1024/$I1024*100,"")</f>
        <v/>
      </c>
      <c r="M1024" s="106" t="str">
        <f t="shared" si="226"/>
        <v/>
      </c>
      <c r="N1024" s="5" t="s">
        <v>1671</v>
      </c>
    </row>
    <row r="1025" spans="1:14" ht="5.0999999999999996" customHeight="1" x14ac:dyDescent="0.25">
      <c r="A1025" s="14" t="s">
        <v>16</v>
      </c>
      <c r="B1025" s="16" t="s">
        <v>91</v>
      </c>
      <c r="C1025"/>
      <c r="D1025" s="57"/>
      <c r="E1025" s="59"/>
      <c r="F1025" s="59"/>
      <c r="G1025" s="59"/>
      <c r="H1025" s="59"/>
      <c r="I1025" s="59"/>
      <c r="J1025" s="103"/>
      <c r="K1025" s="104"/>
      <c r="L1025" s="105"/>
      <c r="M1025" s="106" t="str">
        <f t="shared" si="226"/>
        <v/>
      </c>
    </row>
    <row r="1026" spans="1:14" s="5" customFormat="1" ht="20.100000000000001" customHeight="1" x14ac:dyDescent="0.25">
      <c r="A1026" s="14" t="s">
        <v>16</v>
      </c>
      <c r="B1026" s="16" t="s">
        <v>1637</v>
      </c>
      <c r="C1026" s="25" t="s">
        <v>60</v>
      </c>
      <c r="D1026" s="6" t="s">
        <v>1636</v>
      </c>
      <c r="E1026" s="37"/>
      <c r="F1026" s="37"/>
      <c r="G1026" s="37"/>
      <c r="H1026" s="37"/>
      <c r="I1026" s="48"/>
      <c r="J1026" s="103"/>
      <c r="K1026" s="104"/>
      <c r="L1026" s="105"/>
      <c r="M1026" s="106" t="str">
        <f t="shared" si="226"/>
        <v/>
      </c>
      <c r="N1026" s="5" t="s">
        <v>1673</v>
      </c>
    </row>
    <row r="1027" spans="1:14" s="3" customFormat="1" ht="30" customHeight="1" x14ac:dyDescent="0.25">
      <c r="A1027" s="14" t="s">
        <v>16</v>
      </c>
      <c r="B1027" s="16" t="s">
        <v>1637</v>
      </c>
      <c r="C1027" s="25" t="s">
        <v>61</v>
      </c>
      <c r="D1027" s="168" t="s">
        <v>1638</v>
      </c>
      <c r="E1027" s="38">
        <v>0</v>
      </c>
      <c r="F1027" s="39">
        <v>0</v>
      </c>
      <c r="G1027" s="40">
        <v>0</v>
      </c>
      <c r="H1027" s="41">
        <v>0</v>
      </c>
      <c r="I1027" s="42">
        <f t="shared" ref="I1027:I1032" si="236">SUM(E1027:H1027)</f>
        <v>0</v>
      </c>
      <c r="J1027" s="103" t="str">
        <f t="shared" ref="J1027:L1031" si="237">IFERROR(E1027/$I1027*100,"")</f>
        <v/>
      </c>
      <c r="K1027" s="104" t="str">
        <f t="shared" si="237"/>
        <v/>
      </c>
      <c r="L1027" s="105" t="str">
        <f t="shared" si="237"/>
        <v/>
      </c>
      <c r="M1027" s="106" t="str">
        <f t="shared" si="226"/>
        <v/>
      </c>
    </row>
    <row r="1028" spans="1:14" s="3" customFormat="1" ht="30" customHeight="1" x14ac:dyDescent="0.25">
      <c r="A1028" s="14" t="s">
        <v>16</v>
      </c>
      <c r="B1028" s="16" t="s">
        <v>1637</v>
      </c>
      <c r="C1028" s="25" t="s">
        <v>61</v>
      </c>
      <c r="D1028" s="168" t="s">
        <v>1669</v>
      </c>
      <c r="E1028" s="38">
        <v>0</v>
      </c>
      <c r="F1028" s="39">
        <v>0</v>
      </c>
      <c r="G1028" s="40">
        <v>0</v>
      </c>
      <c r="H1028" s="41">
        <v>0</v>
      </c>
      <c r="I1028" s="42">
        <f t="shared" si="236"/>
        <v>0</v>
      </c>
      <c r="J1028" s="103" t="str">
        <f t="shared" si="237"/>
        <v/>
      </c>
      <c r="K1028" s="104" t="str">
        <f t="shared" si="237"/>
        <v/>
      </c>
      <c r="L1028" s="105" t="str">
        <f t="shared" si="237"/>
        <v/>
      </c>
      <c r="M1028" s="106" t="str">
        <f t="shared" si="226"/>
        <v/>
      </c>
    </row>
    <row r="1029" spans="1:14" s="3" customFormat="1" ht="30" customHeight="1" x14ac:dyDescent="0.25">
      <c r="A1029" s="14" t="s">
        <v>16</v>
      </c>
      <c r="B1029" s="16" t="s">
        <v>1637</v>
      </c>
      <c r="C1029" s="25" t="s">
        <v>61</v>
      </c>
      <c r="D1029" s="168" t="s">
        <v>1640</v>
      </c>
      <c r="E1029" s="38">
        <v>0</v>
      </c>
      <c r="F1029" s="39">
        <v>0</v>
      </c>
      <c r="G1029" s="40">
        <v>0</v>
      </c>
      <c r="H1029" s="41">
        <v>0</v>
      </c>
      <c r="I1029" s="42">
        <f t="shared" si="236"/>
        <v>0</v>
      </c>
      <c r="J1029" s="103" t="str">
        <f t="shared" si="237"/>
        <v/>
      </c>
      <c r="K1029" s="104" t="str">
        <f t="shared" si="237"/>
        <v/>
      </c>
      <c r="L1029" s="105" t="str">
        <f t="shared" si="237"/>
        <v/>
      </c>
      <c r="M1029" s="106" t="str">
        <f t="shared" si="226"/>
        <v/>
      </c>
    </row>
    <row r="1030" spans="1:14" s="3" customFormat="1" ht="30" customHeight="1" x14ac:dyDescent="0.25">
      <c r="A1030" s="14" t="s">
        <v>16</v>
      </c>
      <c r="B1030" s="16" t="s">
        <v>1637</v>
      </c>
      <c r="C1030" s="25" t="s">
        <v>61</v>
      </c>
      <c r="D1030" s="168" t="s">
        <v>1639</v>
      </c>
      <c r="E1030" s="38">
        <v>0</v>
      </c>
      <c r="F1030" s="39">
        <v>0</v>
      </c>
      <c r="G1030" s="40">
        <v>0</v>
      </c>
      <c r="H1030" s="41">
        <v>0</v>
      </c>
      <c r="I1030" s="42">
        <f t="shared" si="236"/>
        <v>0</v>
      </c>
      <c r="J1030" s="103" t="str">
        <f t="shared" si="237"/>
        <v/>
      </c>
      <c r="K1030" s="104" t="str">
        <f t="shared" si="237"/>
        <v/>
      </c>
      <c r="L1030" s="105" t="str">
        <f t="shared" si="237"/>
        <v/>
      </c>
      <c r="M1030" s="106" t="str">
        <f t="shared" si="226"/>
        <v/>
      </c>
    </row>
    <row r="1031" spans="1:14" s="3" customFormat="1" ht="30" customHeight="1" x14ac:dyDescent="0.25">
      <c r="A1031" s="14" t="s">
        <v>16</v>
      </c>
      <c r="B1031" s="16" t="s">
        <v>1637</v>
      </c>
      <c r="C1031" s="25" t="s">
        <v>61</v>
      </c>
      <c r="D1031" s="168" t="s">
        <v>1641</v>
      </c>
      <c r="E1031" s="38">
        <v>0</v>
      </c>
      <c r="F1031" s="39">
        <v>0</v>
      </c>
      <c r="G1031" s="40">
        <v>0</v>
      </c>
      <c r="H1031" s="41">
        <v>0</v>
      </c>
      <c r="I1031" s="42">
        <f t="shared" si="236"/>
        <v>0</v>
      </c>
      <c r="J1031" s="103" t="str">
        <f t="shared" si="237"/>
        <v/>
      </c>
      <c r="K1031" s="104" t="str">
        <f t="shared" si="237"/>
        <v/>
      </c>
      <c r="L1031" s="105" t="str">
        <f t="shared" si="237"/>
        <v/>
      </c>
      <c r="M1031" s="106" t="str">
        <f t="shared" si="226"/>
        <v/>
      </c>
    </row>
    <row r="1032" spans="1:14" s="3" customFormat="1" ht="30" customHeight="1" x14ac:dyDescent="0.25">
      <c r="A1032" s="14" t="s">
        <v>16</v>
      </c>
      <c r="B1032" s="16" t="s">
        <v>1637</v>
      </c>
      <c r="C1032" s="25"/>
      <c r="D1032" s="168" t="s">
        <v>29</v>
      </c>
      <c r="E1032" s="38">
        <f>SUM(E1027:E1031)</f>
        <v>0</v>
      </c>
      <c r="F1032" s="39">
        <f>SUM(F1027:F1031)</f>
        <v>0</v>
      </c>
      <c r="G1032" s="40">
        <f>SUM(G1027:G1031)</f>
        <v>0</v>
      </c>
      <c r="H1032" s="41">
        <f>SUM(H1027:H1031)</f>
        <v>0</v>
      </c>
      <c r="I1032" s="42">
        <f t="shared" si="236"/>
        <v>0</v>
      </c>
      <c r="J1032" s="103" t="str">
        <f>IFERROR(E1032/SUM($E1032:$H1032)*100,"")</f>
        <v/>
      </c>
      <c r="K1032" s="104" t="str">
        <f>IFERROR(F1032/SUM($E1032:$H1032)*100,"")</f>
        <v/>
      </c>
      <c r="L1032" s="105" t="str">
        <f>IFERROR(G1032/SUM($E1032:$H1032)*100,"")</f>
        <v/>
      </c>
      <c r="M1032" s="106" t="str">
        <f t="shared" si="226"/>
        <v/>
      </c>
      <c r="N1032" s="5" t="s">
        <v>1671</v>
      </c>
    </row>
    <row r="1033" spans="1:14" ht="5.0999999999999996" customHeight="1" x14ac:dyDescent="0.25">
      <c r="A1033" s="14" t="s">
        <v>16</v>
      </c>
      <c r="B1033" s="16" t="s">
        <v>1637</v>
      </c>
      <c r="C1033"/>
      <c r="J1033" s="103"/>
      <c r="K1033" s="104"/>
      <c r="L1033" s="105"/>
      <c r="M1033" s="106" t="str">
        <f t="shared" si="226"/>
        <v/>
      </c>
    </row>
    <row r="1034" spans="1:14" s="5" customFormat="1" ht="20.100000000000001" customHeight="1" x14ac:dyDescent="0.25">
      <c r="A1034" s="14" t="s">
        <v>16</v>
      </c>
      <c r="B1034" s="16" t="s">
        <v>42</v>
      </c>
      <c r="C1034" s="25" t="s">
        <v>60</v>
      </c>
      <c r="D1034" s="6" t="s">
        <v>1744</v>
      </c>
      <c r="E1034" s="37"/>
      <c r="F1034" s="37"/>
      <c r="G1034" s="37"/>
      <c r="H1034" s="37"/>
      <c r="I1034" s="48"/>
      <c r="J1034" s="103"/>
      <c r="K1034" s="104"/>
      <c r="L1034" s="105"/>
      <c r="M1034" s="106" t="str">
        <f t="shared" si="226"/>
        <v/>
      </c>
      <c r="N1034" s="5" t="s">
        <v>1673</v>
      </c>
    </row>
    <row r="1035" spans="1:14" s="3" customFormat="1" ht="30" customHeight="1" x14ac:dyDescent="0.25">
      <c r="A1035" s="14" t="s">
        <v>16</v>
      </c>
      <c r="B1035" s="16" t="s">
        <v>42</v>
      </c>
      <c r="C1035" s="25" t="s">
        <v>61</v>
      </c>
      <c r="D1035" s="168" t="s">
        <v>43</v>
      </c>
      <c r="E1035" s="38">
        <v>0</v>
      </c>
      <c r="F1035" s="39">
        <v>0</v>
      </c>
      <c r="G1035" s="40">
        <v>0</v>
      </c>
      <c r="H1035" s="41">
        <v>0</v>
      </c>
      <c r="I1035" s="42">
        <f t="shared" ref="I1035:I1044" si="238">SUM(E1035:H1035)</f>
        <v>0</v>
      </c>
      <c r="J1035" s="103" t="str">
        <f t="shared" ref="J1035:M1050" si="239">IFERROR(E1035/$I1035*100,"")</f>
        <v/>
      </c>
      <c r="K1035" s="104" t="str">
        <f t="shared" si="239"/>
        <v/>
      </c>
      <c r="L1035" s="105" t="str">
        <f t="shared" si="239"/>
        <v/>
      </c>
      <c r="M1035" s="106" t="str">
        <f t="shared" si="226"/>
        <v/>
      </c>
    </row>
    <row r="1036" spans="1:14" s="3" customFormat="1" ht="30" customHeight="1" x14ac:dyDescent="0.25">
      <c r="A1036" s="14" t="s">
        <v>16</v>
      </c>
      <c r="B1036" s="16" t="s">
        <v>42</v>
      </c>
      <c r="C1036" s="25" t="s">
        <v>61</v>
      </c>
      <c r="D1036" s="168" t="s">
        <v>44</v>
      </c>
      <c r="E1036" s="38">
        <v>0</v>
      </c>
      <c r="F1036" s="39">
        <v>0</v>
      </c>
      <c r="G1036" s="40">
        <v>0</v>
      </c>
      <c r="H1036" s="41">
        <v>0</v>
      </c>
      <c r="I1036" s="42">
        <f t="shared" si="238"/>
        <v>0</v>
      </c>
      <c r="J1036" s="103" t="str">
        <f t="shared" si="239"/>
        <v/>
      </c>
      <c r="K1036" s="104" t="str">
        <f t="shared" si="239"/>
        <v/>
      </c>
      <c r="L1036" s="105" t="str">
        <f t="shared" si="239"/>
        <v/>
      </c>
      <c r="M1036" s="106" t="str">
        <f t="shared" si="226"/>
        <v/>
      </c>
    </row>
    <row r="1037" spans="1:14" s="3" customFormat="1" ht="30" customHeight="1" x14ac:dyDescent="0.25">
      <c r="A1037" s="14" t="s">
        <v>16</v>
      </c>
      <c r="B1037" s="16" t="s">
        <v>42</v>
      </c>
      <c r="C1037" s="25" t="s">
        <v>61</v>
      </c>
      <c r="D1037" s="168" t="s">
        <v>45</v>
      </c>
      <c r="E1037" s="38">
        <v>0</v>
      </c>
      <c r="F1037" s="39">
        <v>0</v>
      </c>
      <c r="G1037" s="40">
        <v>0</v>
      </c>
      <c r="H1037" s="41">
        <v>0</v>
      </c>
      <c r="I1037" s="42">
        <f t="shared" si="238"/>
        <v>0</v>
      </c>
      <c r="J1037" s="103" t="str">
        <f t="shared" si="239"/>
        <v/>
      </c>
      <c r="K1037" s="104" t="str">
        <f t="shared" si="239"/>
        <v/>
      </c>
      <c r="L1037" s="105" t="str">
        <f t="shared" si="239"/>
        <v/>
      </c>
      <c r="M1037" s="106" t="str">
        <f t="shared" si="226"/>
        <v/>
      </c>
    </row>
    <row r="1038" spans="1:14" s="3" customFormat="1" ht="30" customHeight="1" x14ac:dyDescent="0.25">
      <c r="A1038" s="14" t="s">
        <v>16</v>
      </c>
      <c r="B1038" s="16" t="s">
        <v>42</v>
      </c>
      <c r="C1038" s="25" t="s">
        <v>61</v>
      </c>
      <c r="D1038" s="168" t="s">
        <v>46</v>
      </c>
      <c r="E1038" s="38">
        <v>0</v>
      </c>
      <c r="F1038" s="39">
        <v>0</v>
      </c>
      <c r="G1038" s="40">
        <v>0</v>
      </c>
      <c r="H1038" s="41">
        <v>0</v>
      </c>
      <c r="I1038" s="42">
        <f t="shared" si="238"/>
        <v>0</v>
      </c>
      <c r="J1038" s="103" t="str">
        <f t="shared" si="239"/>
        <v/>
      </c>
      <c r="K1038" s="104" t="str">
        <f t="shared" si="239"/>
        <v/>
      </c>
      <c r="L1038" s="105" t="str">
        <f t="shared" si="239"/>
        <v/>
      </c>
      <c r="M1038" s="106" t="str">
        <f t="shared" si="226"/>
        <v/>
      </c>
    </row>
    <row r="1039" spans="1:14" s="3" customFormat="1" ht="30" customHeight="1" x14ac:dyDescent="0.25">
      <c r="A1039" s="14" t="s">
        <v>16</v>
      </c>
      <c r="B1039" s="16" t="s">
        <v>42</v>
      </c>
      <c r="C1039" s="25" t="s">
        <v>61</v>
      </c>
      <c r="D1039" s="168" t="s">
        <v>51</v>
      </c>
      <c r="E1039" s="38">
        <v>0</v>
      </c>
      <c r="F1039" s="39">
        <v>0</v>
      </c>
      <c r="G1039" s="40">
        <v>0</v>
      </c>
      <c r="H1039" s="41">
        <v>0</v>
      </c>
      <c r="I1039" s="42">
        <f t="shared" si="238"/>
        <v>0</v>
      </c>
      <c r="J1039" s="103" t="str">
        <f t="shared" si="239"/>
        <v/>
      </c>
      <c r="K1039" s="104" t="str">
        <f t="shared" si="239"/>
        <v/>
      </c>
      <c r="L1039" s="105" t="str">
        <f t="shared" si="239"/>
        <v/>
      </c>
      <c r="M1039" s="106" t="str">
        <f t="shared" si="226"/>
        <v/>
      </c>
    </row>
    <row r="1040" spans="1:14" s="3" customFormat="1" ht="30" customHeight="1" x14ac:dyDescent="0.25">
      <c r="A1040" s="14" t="s">
        <v>16</v>
      </c>
      <c r="B1040" s="16" t="s">
        <v>42</v>
      </c>
      <c r="C1040" s="25" t="s">
        <v>61</v>
      </c>
      <c r="D1040" s="168" t="s">
        <v>52</v>
      </c>
      <c r="E1040" s="38">
        <v>0</v>
      </c>
      <c r="F1040" s="39">
        <v>0</v>
      </c>
      <c r="G1040" s="40">
        <v>0</v>
      </c>
      <c r="H1040" s="41">
        <v>0</v>
      </c>
      <c r="I1040" s="42">
        <f t="shared" si="238"/>
        <v>0</v>
      </c>
      <c r="J1040" s="103" t="str">
        <f t="shared" si="239"/>
        <v/>
      </c>
      <c r="K1040" s="104" t="str">
        <f t="shared" si="239"/>
        <v/>
      </c>
      <c r="L1040" s="105" t="str">
        <f t="shared" si="239"/>
        <v/>
      </c>
      <c r="M1040" s="106" t="str">
        <f t="shared" si="226"/>
        <v/>
      </c>
    </row>
    <row r="1041" spans="1:14" s="3" customFormat="1" ht="30" customHeight="1" x14ac:dyDescent="0.25">
      <c r="A1041" s="14" t="s">
        <v>16</v>
      </c>
      <c r="B1041" s="16" t="s">
        <v>42</v>
      </c>
      <c r="C1041" s="25" t="s">
        <v>61</v>
      </c>
      <c r="D1041" s="168" t="s">
        <v>47</v>
      </c>
      <c r="E1041" s="38">
        <v>0</v>
      </c>
      <c r="F1041" s="39">
        <v>0</v>
      </c>
      <c r="G1041" s="40">
        <v>0</v>
      </c>
      <c r="H1041" s="41">
        <v>0</v>
      </c>
      <c r="I1041" s="42">
        <f t="shared" si="238"/>
        <v>0</v>
      </c>
      <c r="J1041" s="103" t="str">
        <f t="shared" si="239"/>
        <v/>
      </c>
      <c r="K1041" s="104" t="str">
        <f t="shared" si="239"/>
        <v/>
      </c>
      <c r="L1041" s="105" t="str">
        <f t="shared" si="239"/>
        <v/>
      </c>
      <c r="M1041" s="106" t="str">
        <f t="shared" si="226"/>
        <v/>
      </c>
    </row>
    <row r="1042" spans="1:14" s="3" customFormat="1" ht="30" customHeight="1" x14ac:dyDescent="0.25">
      <c r="A1042" s="14" t="s">
        <v>16</v>
      </c>
      <c r="B1042" s="16" t="s">
        <v>42</v>
      </c>
      <c r="C1042" s="25" t="s">
        <v>61</v>
      </c>
      <c r="D1042" s="168" t="s">
        <v>48</v>
      </c>
      <c r="E1042" s="38">
        <v>0</v>
      </c>
      <c r="F1042" s="39">
        <v>0</v>
      </c>
      <c r="G1042" s="40">
        <v>0</v>
      </c>
      <c r="H1042" s="41">
        <v>0</v>
      </c>
      <c r="I1042" s="42">
        <f t="shared" si="238"/>
        <v>0</v>
      </c>
      <c r="J1042" s="103" t="str">
        <f t="shared" si="239"/>
        <v/>
      </c>
      <c r="K1042" s="104" t="str">
        <f t="shared" si="239"/>
        <v/>
      </c>
      <c r="L1042" s="105" t="str">
        <f t="shared" si="239"/>
        <v/>
      </c>
      <c r="M1042" s="106" t="str">
        <f t="shared" si="226"/>
        <v/>
      </c>
    </row>
    <row r="1043" spans="1:14" s="3" customFormat="1" ht="30" customHeight="1" x14ac:dyDescent="0.25">
      <c r="A1043" s="14" t="s">
        <v>16</v>
      </c>
      <c r="B1043" s="16" t="s">
        <v>42</v>
      </c>
      <c r="C1043" s="25" t="s">
        <v>61</v>
      </c>
      <c r="D1043" s="168" t="s">
        <v>49</v>
      </c>
      <c r="E1043" s="38">
        <v>0</v>
      </c>
      <c r="F1043" s="39">
        <v>0</v>
      </c>
      <c r="G1043" s="40">
        <v>0</v>
      </c>
      <c r="H1043" s="41">
        <v>0</v>
      </c>
      <c r="I1043" s="42">
        <f t="shared" si="238"/>
        <v>0</v>
      </c>
      <c r="J1043" s="103" t="str">
        <f t="shared" si="239"/>
        <v/>
      </c>
      <c r="K1043" s="104" t="str">
        <f t="shared" si="239"/>
        <v/>
      </c>
      <c r="L1043" s="105" t="str">
        <f t="shared" si="239"/>
        <v/>
      </c>
      <c r="M1043" s="106" t="str">
        <f t="shared" si="226"/>
        <v/>
      </c>
    </row>
    <row r="1044" spans="1:14" s="3" customFormat="1" ht="30" customHeight="1" x14ac:dyDescent="0.25">
      <c r="A1044" s="14" t="s">
        <v>16</v>
      </c>
      <c r="B1044" s="16" t="s">
        <v>42</v>
      </c>
      <c r="C1044" s="25" t="s">
        <v>61</v>
      </c>
      <c r="D1044" s="168" t="s">
        <v>50</v>
      </c>
      <c r="E1044" s="38">
        <v>0</v>
      </c>
      <c r="F1044" s="39">
        <v>0</v>
      </c>
      <c r="G1044" s="40">
        <v>0</v>
      </c>
      <c r="H1044" s="41">
        <v>0</v>
      </c>
      <c r="I1044" s="42">
        <f t="shared" si="238"/>
        <v>0</v>
      </c>
      <c r="J1044" s="103" t="str">
        <f t="shared" si="239"/>
        <v/>
      </c>
      <c r="K1044" s="104" t="str">
        <f t="shared" si="239"/>
        <v/>
      </c>
      <c r="L1044" s="105" t="str">
        <f t="shared" si="239"/>
        <v/>
      </c>
      <c r="M1044" s="106" t="str">
        <f t="shared" si="239"/>
        <v/>
      </c>
    </row>
    <row r="1045" spans="1:14" s="8" customFormat="1" ht="30" customHeight="1" x14ac:dyDescent="0.25">
      <c r="A1045" s="14" t="s">
        <v>16</v>
      </c>
      <c r="B1045" s="16" t="s">
        <v>42</v>
      </c>
      <c r="C1045" s="25"/>
      <c r="D1045" s="9" t="s">
        <v>29</v>
      </c>
      <c r="E1045" s="38">
        <f>SUM(E1035:E1044)</f>
        <v>0</v>
      </c>
      <c r="F1045" s="39">
        <f t="shared" ref="F1045:I1045" si="240">SUM(F1035:F1044)</f>
        <v>0</v>
      </c>
      <c r="G1045" s="40">
        <f t="shared" si="240"/>
        <v>0</v>
      </c>
      <c r="H1045" s="41">
        <f t="shared" si="240"/>
        <v>0</v>
      </c>
      <c r="I1045" s="43">
        <f t="shared" si="240"/>
        <v>0</v>
      </c>
      <c r="J1045" s="103" t="str">
        <f>IFERROR(E1045/SUM($E1045:$H1045)*100,"")</f>
        <v/>
      </c>
      <c r="K1045" s="104" t="str">
        <f>IFERROR(F1045/SUM($E1045:$H1045)*100,"")</f>
        <v/>
      </c>
      <c r="L1045" s="105" t="str">
        <f>IFERROR(G1045/SUM($E1045:$H1045)*100,"")</f>
        <v/>
      </c>
      <c r="M1045" s="106" t="str">
        <f t="shared" si="239"/>
        <v/>
      </c>
      <c r="N1045" s="5" t="s">
        <v>1671</v>
      </c>
    </row>
    <row r="1046" spans="1:14" ht="5.0999999999999996" customHeight="1" x14ac:dyDescent="0.25">
      <c r="A1046" s="14" t="s">
        <v>16</v>
      </c>
      <c r="B1046" s="16" t="s">
        <v>42</v>
      </c>
      <c r="C1046"/>
      <c r="E1046" s="59"/>
      <c r="F1046" s="59"/>
      <c r="G1046" s="59"/>
      <c r="H1046" s="59"/>
      <c r="I1046" s="59"/>
      <c r="J1046" s="103"/>
      <c r="K1046" s="104"/>
      <c r="L1046" s="105"/>
      <c r="M1046" s="106" t="str">
        <f t="shared" si="239"/>
        <v/>
      </c>
    </row>
    <row r="1047" spans="1:14" s="7" customFormat="1" ht="20.100000000000001" customHeight="1" x14ac:dyDescent="0.25">
      <c r="A1047" s="14" t="s">
        <v>16</v>
      </c>
      <c r="B1047" s="16" t="s">
        <v>62</v>
      </c>
      <c r="C1047" s="25" t="s">
        <v>60</v>
      </c>
      <c r="D1047" s="62" t="s">
        <v>63</v>
      </c>
      <c r="E1047" s="63"/>
      <c r="F1047" s="63"/>
      <c r="G1047" s="63"/>
      <c r="H1047" s="63"/>
      <c r="I1047" s="64"/>
      <c r="J1047" s="103"/>
      <c r="K1047" s="104"/>
      <c r="L1047" s="105"/>
      <c r="M1047" s="106" t="str">
        <f t="shared" si="239"/>
        <v/>
      </c>
      <c r="N1047" s="5" t="s">
        <v>1673</v>
      </c>
    </row>
    <row r="1048" spans="1:14" s="8" customFormat="1" ht="30" customHeight="1" x14ac:dyDescent="0.25">
      <c r="A1048" s="14" t="s">
        <v>16</v>
      </c>
      <c r="B1048" s="16" t="s">
        <v>62</v>
      </c>
      <c r="C1048" s="25"/>
      <c r="D1048" s="168" t="s">
        <v>29</v>
      </c>
      <c r="E1048" s="38">
        <f>SUM(E998,E987,E1006,E1045,E1001,E1009,E1018,E1024,E1032,E1021)</f>
        <v>0</v>
      </c>
      <c r="F1048" s="39">
        <f>SUM(F998,F987,F1006,F1045,F1001,F1009,F1018,F1024,F1032,F1021)</f>
        <v>0</v>
      </c>
      <c r="G1048" s="40">
        <f>SUM(G998,G987,G1006,G1045,G1001,G1009,G1018,G1024,G1032,G1021)</f>
        <v>0</v>
      </c>
      <c r="H1048" s="41">
        <f>SUM(H998,H987,H1006,H1045,H1001,H1009,H1018,H1024,H1032,H1021)</f>
        <v>0</v>
      </c>
      <c r="I1048" s="42">
        <f>SUM(I998,I987,I1006,I1045,I1001,I1009,I1018,I1024,I1032,I1021)</f>
        <v>0</v>
      </c>
      <c r="J1048" s="103" t="str">
        <f>IFERROR(E1048/SUM($E1048:$H1048)*100,"")</f>
        <v/>
      </c>
      <c r="K1048" s="104" t="str">
        <f>IFERROR(F1048/SUM($E1048:$H1048)*100,"")</f>
        <v/>
      </c>
      <c r="L1048" s="105" t="str">
        <f>IFERROR(G1048/SUM($E1048:$H1048)*100,"")</f>
        <v/>
      </c>
      <c r="M1048" s="106" t="str">
        <f t="shared" si="239"/>
        <v/>
      </c>
      <c r="N1048" s="5" t="s">
        <v>1671</v>
      </c>
    </row>
    <row r="1049" spans="1:14" s="5" customFormat="1" ht="20.100000000000001" customHeight="1" x14ac:dyDescent="0.25">
      <c r="A1049" s="14" t="s">
        <v>16</v>
      </c>
      <c r="B1049" s="14"/>
      <c r="C1049" s="25" t="s">
        <v>60</v>
      </c>
      <c r="D1049" s="58"/>
      <c r="E1049" s="60"/>
      <c r="F1049" s="60"/>
      <c r="G1049" s="60"/>
      <c r="H1049" s="60"/>
      <c r="I1049" s="60"/>
      <c r="J1049" s="103"/>
      <c r="K1049" s="104"/>
      <c r="L1049" s="105"/>
      <c r="M1049" s="106" t="str">
        <f t="shared" si="239"/>
        <v/>
      </c>
    </row>
    <row r="1050" spans="1:14" s="5" customFormat="1" ht="20.100000000000001" customHeight="1" x14ac:dyDescent="0.25">
      <c r="A1050" s="14" t="s">
        <v>19</v>
      </c>
      <c r="B1050" s="14"/>
      <c r="C1050" s="25" t="s">
        <v>60</v>
      </c>
      <c r="D1050" s="20" t="str">
        <f>IFERROR(A1050&amp;"   ("&amp;COUNTIFS(#REF!,"="&amp;A1050)&amp;")",A1050)</f>
        <v>UTM</v>
      </c>
      <c r="E1050" s="45"/>
      <c r="F1050" s="45"/>
      <c r="G1050" s="45"/>
      <c r="H1050" s="45"/>
      <c r="I1050" s="46"/>
      <c r="J1050" s="103"/>
      <c r="K1050" s="104"/>
      <c r="L1050" s="105"/>
      <c r="M1050" s="106" t="str">
        <f t="shared" si="239"/>
        <v/>
      </c>
      <c r="N1050" s="5" t="s">
        <v>1672</v>
      </c>
    </row>
    <row r="1051" spans="1:14" s="5" customFormat="1" ht="20.100000000000001" customHeight="1" x14ac:dyDescent="0.25">
      <c r="A1051" s="14" t="s">
        <v>19</v>
      </c>
      <c r="B1051" s="16" t="s">
        <v>20</v>
      </c>
      <c r="C1051" s="25" t="s">
        <v>60</v>
      </c>
      <c r="D1051" s="6" t="s">
        <v>20</v>
      </c>
      <c r="E1051" s="37"/>
      <c r="F1051" s="37"/>
      <c r="G1051" s="37"/>
      <c r="H1051" s="37"/>
      <c r="I1051" s="48"/>
      <c r="J1051" s="103"/>
      <c r="K1051" s="104"/>
      <c r="L1051" s="105"/>
      <c r="M1051" s="106" t="str">
        <f t="shared" ref="M1051:M1113" si="241">IFERROR(H1051/$I1051*100,"")</f>
        <v/>
      </c>
      <c r="N1051" s="5" t="s">
        <v>1673</v>
      </c>
    </row>
    <row r="1052" spans="1:14" s="5" customFormat="1" ht="30" customHeight="1" x14ac:dyDescent="0.25">
      <c r="A1052" s="14" t="s">
        <v>19</v>
      </c>
      <c r="B1052" s="16" t="s">
        <v>20</v>
      </c>
      <c r="C1052" s="25" t="s">
        <v>61</v>
      </c>
      <c r="D1052" s="168" t="s">
        <v>25</v>
      </c>
      <c r="E1052" s="38">
        <v>0</v>
      </c>
      <c r="F1052" s="39">
        <v>0</v>
      </c>
      <c r="G1052" s="40">
        <v>0</v>
      </c>
      <c r="H1052" s="41">
        <v>0</v>
      </c>
      <c r="I1052" s="42">
        <f>SUM(E1052:H1052)</f>
        <v>0</v>
      </c>
      <c r="J1052" s="103" t="str">
        <f>IFERROR(E1052/$I1052*100,"")</f>
        <v/>
      </c>
      <c r="K1052" s="104" t="str">
        <f>IFERROR(F1052/$I1052*100,"")</f>
        <v/>
      </c>
      <c r="L1052" s="105" t="str">
        <f>IFERROR(G1052/$I1052*100,"")</f>
        <v/>
      </c>
      <c r="M1052" s="106" t="str">
        <f t="shared" si="241"/>
        <v/>
      </c>
      <c r="N1052" s="5" t="s">
        <v>1671</v>
      </c>
    </row>
    <row r="1053" spans="1:14" ht="5.0999999999999996" customHeight="1" x14ac:dyDescent="0.25">
      <c r="A1053" s="14" t="s">
        <v>19</v>
      </c>
      <c r="B1053" s="16" t="s">
        <v>20</v>
      </c>
      <c r="C1053"/>
      <c r="D1053" s="57"/>
      <c r="E1053" s="59"/>
      <c r="F1053" s="59"/>
      <c r="G1053" s="59"/>
      <c r="H1053" s="59"/>
      <c r="I1053" s="59"/>
      <c r="J1053" s="103"/>
      <c r="K1053" s="104"/>
      <c r="L1053" s="105"/>
      <c r="M1053" s="106" t="str">
        <f t="shared" si="241"/>
        <v/>
      </c>
    </row>
    <row r="1054" spans="1:14" s="5" customFormat="1" ht="20.100000000000001" customHeight="1" x14ac:dyDescent="0.25">
      <c r="A1054" s="14" t="s">
        <v>19</v>
      </c>
      <c r="B1054" s="16" t="s">
        <v>26</v>
      </c>
      <c r="C1054" s="25" t="s">
        <v>60</v>
      </c>
      <c r="D1054" s="6" t="s">
        <v>98</v>
      </c>
      <c r="E1054" s="37"/>
      <c r="F1054" s="37"/>
      <c r="G1054" s="37"/>
      <c r="H1054" s="37"/>
      <c r="I1054" s="47"/>
      <c r="J1054" s="103"/>
      <c r="K1054" s="104"/>
      <c r="L1054" s="105"/>
      <c r="M1054" s="106" t="str">
        <f t="shared" si="241"/>
        <v/>
      </c>
      <c r="N1054" s="5" t="s">
        <v>1673</v>
      </c>
    </row>
    <row r="1055" spans="1:14" s="5" customFormat="1" ht="30" customHeight="1" x14ac:dyDescent="0.25">
      <c r="A1055" s="14" t="s">
        <v>19</v>
      </c>
      <c r="B1055" s="16" t="s">
        <v>26</v>
      </c>
      <c r="C1055" s="25" t="s">
        <v>61</v>
      </c>
      <c r="D1055" s="169" t="s">
        <v>21</v>
      </c>
      <c r="E1055" s="38">
        <v>0</v>
      </c>
      <c r="F1055" s="39">
        <v>0</v>
      </c>
      <c r="G1055" s="40">
        <v>0</v>
      </c>
      <c r="H1055" s="41">
        <v>0</v>
      </c>
      <c r="I1055" s="42">
        <f t="shared" ref="I1055:I1062" si="242">SUM(E1055:H1055)</f>
        <v>0</v>
      </c>
      <c r="J1055" s="103" t="str">
        <f t="shared" ref="J1055:L1062" si="243">IFERROR(E1055/$I1055*100,"")</f>
        <v/>
      </c>
      <c r="K1055" s="104" t="str">
        <f t="shared" si="243"/>
        <v/>
      </c>
      <c r="L1055" s="105" t="str">
        <f t="shared" si="243"/>
        <v/>
      </c>
      <c r="M1055" s="106" t="str">
        <f t="shared" si="241"/>
        <v/>
      </c>
    </row>
    <row r="1056" spans="1:14" s="5" customFormat="1" ht="30" customHeight="1" x14ac:dyDescent="0.25">
      <c r="A1056" s="14" t="s">
        <v>19</v>
      </c>
      <c r="B1056" s="16" t="s">
        <v>26</v>
      </c>
      <c r="C1056" s="25" t="s">
        <v>61</v>
      </c>
      <c r="D1056" s="169" t="s">
        <v>22</v>
      </c>
      <c r="E1056" s="38">
        <v>0</v>
      </c>
      <c r="F1056" s="39">
        <v>0</v>
      </c>
      <c r="G1056" s="40">
        <v>0</v>
      </c>
      <c r="H1056" s="41">
        <v>0</v>
      </c>
      <c r="I1056" s="42">
        <f t="shared" si="242"/>
        <v>0</v>
      </c>
      <c r="J1056" s="103" t="str">
        <f t="shared" si="243"/>
        <v/>
      </c>
      <c r="K1056" s="104" t="str">
        <f t="shared" si="243"/>
        <v/>
      </c>
      <c r="L1056" s="105" t="str">
        <f t="shared" si="243"/>
        <v/>
      </c>
      <c r="M1056" s="106" t="str">
        <f t="shared" si="241"/>
        <v/>
      </c>
    </row>
    <row r="1057" spans="1:14" s="5" customFormat="1" ht="30" customHeight="1" x14ac:dyDescent="0.25">
      <c r="A1057" s="14" t="s">
        <v>19</v>
      </c>
      <c r="B1057" s="16" t="s">
        <v>26</v>
      </c>
      <c r="C1057" s="25" t="s">
        <v>61</v>
      </c>
      <c r="D1057" s="169" t="s">
        <v>27</v>
      </c>
      <c r="E1057" s="38">
        <v>0</v>
      </c>
      <c r="F1057" s="39">
        <v>0</v>
      </c>
      <c r="G1057" s="40">
        <v>0</v>
      </c>
      <c r="H1057" s="41">
        <v>0</v>
      </c>
      <c r="I1057" s="42">
        <f t="shared" si="242"/>
        <v>0</v>
      </c>
      <c r="J1057" s="103" t="str">
        <f t="shared" si="243"/>
        <v/>
      </c>
      <c r="K1057" s="104" t="str">
        <f t="shared" si="243"/>
        <v/>
      </c>
      <c r="L1057" s="105" t="str">
        <f t="shared" si="243"/>
        <v/>
      </c>
      <c r="M1057" s="106" t="str">
        <f t="shared" si="241"/>
        <v/>
      </c>
    </row>
    <row r="1058" spans="1:14" s="5" customFormat="1" ht="30" customHeight="1" x14ac:dyDescent="0.25">
      <c r="A1058" s="14" t="s">
        <v>19</v>
      </c>
      <c r="B1058" s="16" t="s">
        <v>26</v>
      </c>
      <c r="C1058" s="25" t="s">
        <v>61</v>
      </c>
      <c r="D1058" s="169" t="s">
        <v>23</v>
      </c>
      <c r="E1058" s="38">
        <v>0</v>
      </c>
      <c r="F1058" s="39">
        <v>0</v>
      </c>
      <c r="G1058" s="40">
        <v>0</v>
      </c>
      <c r="H1058" s="41">
        <v>0</v>
      </c>
      <c r="I1058" s="42">
        <f t="shared" si="242"/>
        <v>0</v>
      </c>
      <c r="J1058" s="103" t="str">
        <f t="shared" si="243"/>
        <v/>
      </c>
      <c r="K1058" s="104" t="str">
        <f t="shared" si="243"/>
        <v/>
      </c>
      <c r="L1058" s="105" t="str">
        <f t="shared" si="243"/>
        <v/>
      </c>
      <c r="M1058" s="106" t="str">
        <f t="shared" si="241"/>
        <v/>
      </c>
    </row>
    <row r="1059" spans="1:14" s="5" customFormat="1" ht="30" customHeight="1" x14ac:dyDescent="0.25">
      <c r="A1059" s="14" t="s">
        <v>19</v>
      </c>
      <c r="B1059" s="16" t="s">
        <v>26</v>
      </c>
      <c r="C1059" s="25" t="s">
        <v>61</v>
      </c>
      <c r="D1059" s="169" t="s">
        <v>24</v>
      </c>
      <c r="E1059" s="38">
        <v>0</v>
      </c>
      <c r="F1059" s="39">
        <v>0</v>
      </c>
      <c r="G1059" s="40">
        <v>0</v>
      </c>
      <c r="H1059" s="41">
        <v>0</v>
      </c>
      <c r="I1059" s="42">
        <f t="shared" si="242"/>
        <v>0</v>
      </c>
      <c r="J1059" s="103" t="str">
        <f t="shared" si="243"/>
        <v/>
      </c>
      <c r="K1059" s="104" t="str">
        <f t="shared" si="243"/>
        <v/>
      </c>
      <c r="L1059" s="105" t="str">
        <f t="shared" si="243"/>
        <v/>
      </c>
      <c r="M1059" s="106" t="str">
        <f t="shared" si="241"/>
        <v/>
      </c>
    </row>
    <row r="1060" spans="1:14" s="3" customFormat="1" ht="30" customHeight="1" x14ac:dyDescent="0.25">
      <c r="A1060" s="14" t="s">
        <v>19</v>
      </c>
      <c r="B1060" s="16" t="s">
        <v>26</v>
      </c>
      <c r="C1060" s="25" t="s">
        <v>61</v>
      </c>
      <c r="D1060" s="169" t="s">
        <v>41</v>
      </c>
      <c r="E1060" s="38">
        <v>0</v>
      </c>
      <c r="F1060" s="39">
        <v>0</v>
      </c>
      <c r="G1060" s="40">
        <v>0</v>
      </c>
      <c r="H1060" s="41">
        <v>0</v>
      </c>
      <c r="I1060" s="42">
        <f t="shared" si="242"/>
        <v>0</v>
      </c>
      <c r="J1060" s="103" t="str">
        <f t="shared" si="243"/>
        <v/>
      </c>
      <c r="K1060" s="104" t="str">
        <f t="shared" si="243"/>
        <v/>
      </c>
      <c r="L1060" s="105" t="str">
        <f t="shared" si="243"/>
        <v/>
      </c>
      <c r="M1060" s="106" t="str">
        <f t="shared" si="241"/>
        <v/>
      </c>
    </row>
    <row r="1061" spans="1:14" s="5" customFormat="1" ht="30" customHeight="1" x14ac:dyDescent="0.25">
      <c r="A1061" s="14" t="s">
        <v>19</v>
      </c>
      <c r="B1061" s="16" t="s">
        <v>26</v>
      </c>
      <c r="C1061" s="25" t="s">
        <v>61</v>
      </c>
      <c r="D1061" s="169" t="s">
        <v>28</v>
      </c>
      <c r="E1061" s="38">
        <v>0</v>
      </c>
      <c r="F1061" s="39">
        <v>0</v>
      </c>
      <c r="G1061" s="40">
        <v>0</v>
      </c>
      <c r="H1061" s="41">
        <v>0</v>
      </c>
      <c r="I1061" s="42">
        <f t="shared" si="242"/>
        <v>0</v>
      </c>
      <c r="J1061" s="103" t="str">
        <f t="shared" si="243"/>
        <v/>
      </c>
      <c r="K1061" s="104" t="str">
        <f t="shared" si="243"/>
        <v/>
      </c>
      <c r="L1061" s="105" t="str">
        <f t="shared" si="243"/>
        <v/>
      </c>
      <c r="M1061" s="106" t="str">
        <f t="shared" si="241"/>
        <v/>
      </c>
    </row>
    <row r="1062" spans="1:14" s="5" customFormat="1" ht="30" customHeight="1" x14ac:dyDescent="0.25">
      <c r="A1062" s="14" t="s">
        <v>19</v>
      </c>
      <c r="B1062" s="16" t="s">
        <v>26</v>
      </c>
      <c r="C1062" s="25" t="s">
        <v>61</v>
      </c>
      <c r="D1062" s="169" t="s">
        <v>40</v>
      </c>
      <c r="E1062" s="38">
        <v>0</v>
      </c>
      <c r="F1062" s="39">
        <v>0</v>
      </c>
      <c r="G1062" s="40">
        <v>0</v>
      </c>
      <c r="H1062" s="41">
        <v>0</v>
      </c>
      <c r="I1062" s="42">
        <f t="shared" si="242"/>
        <v>0</v>
      </c>
      <c r="J1062" s="103" t="str">
        <f t="shared" si="243"/>
        <v/>
      </c>
      <c r="K1062" s="104" t="str">
        <f t="shared" si="243"/>
        <v/>
      </c>
      <c r="L1062" s="105" t="str">
        <f t="shared" si="243"/>
        <v/>
      </c>
      <c r="M1062" s="106" t="str">
        <f t="shared" si="241"/>
        <v/>
      </c>
    </row>
    <row r="1063" spans="1:14" s="5" customFormat="1" ht="30" customHeight="1" x14ac:dyDescent="0.25">
      <c r="A1063" s="14" t="s">
        <v>19</v>
      </c>
      <c r="B1063" s="16" t="s">
        <v>26</v>
      </c>
      <c r="C1063" s="25"/>
      <c r="D1063" s="9" t="s">
        <v>29</v>
      </c>
      <c r="E1063" s="38">
        <f>SUM(E1055:E1062)</f>
        <v>0</v>
      </c>
      <c r="F1063" s="39">
        <f t="shared" ref="F1063:I1063" si="244">SUM(F1055:F1062)</f>
        <v>0</v>
      </c>
      <c r="G1063" s="40">
        <f t="shared" si="244"/>
        <v>0</v>
      </c>
      <c r="H1063" s="41">
        <f t="shared" si="244"/>
        <v>0</v>
      </c>
      <c r="I1063" s="43">
        <f t="shared" si="244"/>
        <v>0</v>
      </c>
      <c r="J1063" s="103" t="str">
        <f>IFERROR(E1063/SUM($E1063:$H1063)*100,"")</f>
        <v/>
      </c>
      <c r="K1063" s="104" t="str">
        <f>IFERROR(F1063/SUM($E1063:$H1063)*100,"")</f>
        <v/>
      </c>
      <c r="L1063" s="105" t="str">
        <f>IFERROR(G1063/SUM($E1063:$H1063)*100,"")</f>
        <v/>
      </c>
      <c r="M1063" s="106" t="str">
        <f t="shared" si="241"/>
        <v/>
      </c>
      <c r="N1063" s="5" t="s">
        <v>1671</v>
      </c>
    </row>
    <row r="1064" spans="1:14" ht="5.0999999999999996" customHeight="1" x14ac:dyDescent="0.25">
      <c r="A1064" s="14" t="s">
        <v>19</v>
      </c>
      <c r="B1064" s="16" t="s">
        <v>26</v>
      </c>
      <c r="C1064"/>
      <c r="D1064" s="57"/>
      <c r="E1064" s="59"/>
      <c r="F1064" s="59"/>
      <c r="G1064" s="59"/>
      <c r="H1064" s="59"/>
      <c r="I1064" s="59"/>
      <c r="J1064" s="103"/>
      <c r="K1064" s="104"/>
      <c r="L1064" s="105"/>
      <c r="M1064" s="106" t="str">
        <f t="shared" si="241"/>
        <v/>
      </c>
    </row>
    <row r="1065" spans="1:14" s="5" customFormat="1" ht="20.100000000000001" customHeight="1" x14ac:dyDescent="0.25">
      <c r="A1065" s="14" t="s">
        <v>19</v>
      </c>
      <c r="B1065" s="16" t="s">
        <v>64</v>
      </c>
      <c r="C1065" s="25" t="s">
        <v>60</v>
      </c>
      <c r="D1065" s="6" t="s">
        <v>65</v>
      </c>
      <c r="E1065" s="37"/>
      <c r="F1065" s="37"/>
      <c r="G1065" s="37"/>
      <c r="H1065" s="37"/>
      <c r="I1065" s="48"/>
      <c r="J1065" s="103"/>
      <c r="K1065" s="104"/>
      <c r="L1065" s="105"/>
      <c r="M1065" s="106" t="str">
        <f t="shared" si="241"/>
        <v/>
      </c>
      <c r="N1065" s="5" t="s">
        <v>1673</v>
      </c>
    </row>
    <row r="1066" spans="1:14" s="5" customFormat="1" ht="30" customHeight="1" x14ac:dyDescent="0.25">
      <c r="A1066" s="14" t="s">
        <v>19</v>
      </c>
      <c r="B1066" s="16" t="s">
        <v>64</v>
      </c>
      <c r="C1066" s="25" t="s">
        <v>61</v>
      </c>
      <c r="D1066" s="168" t="s">
        <v>66</v>
      </c>
      <c r="E1066" s="38">
        <v>0</v>
      </c>
      <c r="F1066" s="39">
        <v>0</v>
      </c>
      <c r="G1066" s="40">
        <v>0</v>
      </c>
      <c r="H1066" s="41">
        <v>0</v>
      </c>
      <c r="I1066" s="42">
        <f>SUM(E1066:H1066)</f>
        <v>0</v>
      </c>
      <c r="J1066" s="103" t="str">
        <f>IFERROR(E1066/$I1066*100,"")</f>
        <v/>
      </c>
      <c r="K1066" s="104" t="str">
        <f>IFERROR(F1066/$I1066*100,"")</f>
        <v/>
      </c>
      <c r="L1066" s="105" t="str">
        <f>IFERROR(G1066/$I1066*100,"")</f>
        <v/>
      </c>
      <c r="M1066" s="106" t="str">
        <f t="shared" si="241"/>
        <v/>
      </c>
      <c r="N1066" s="5" t="s">
        <v>1671</v>
      </c>
    </row>
    <row r="1067" spans="1:14" ht="5.0999999999999996" customHeight="1" x14ac:dyDescent="0.25">
      <c r="A1067" s="14" t="s">
        <v>19</v>
      </c>
      <c r="B1067" s="16" t="s">
        <v>64</v>
      </c>
      <c r="C1067"/>
      <c r="D1067" s="57"/>
      <c r="E1067" s="59"/>
      <c r="F1067" s="59"/>
      <c r="G1067" s="59"/>
      <c r="H1067" s="59"/>
      <c r="I1067" s="59"/>
      <c r="J1067" s="103"/>
      <c r="K1067" s="104"/>
      <c r="L1067" s="105"/>
      <c r="M1067" s="106" t="str">
        <f t="shared" si="241"/>
        <v/>
      </c>
    </row>
    <row r="1068" spans="1:14" s="5" customFormat="1" ht="20.100000000000001" customHeight="1" x14ac:dyDescent="0.25">
      <c r="A1068" s="14" t="s">
        <v>19</v>
      </c>
      <c r="B1068" s="16" t="s">
        <v>55</v>
      </c>
      <c r="C1068" s="25" t="s">
        <v>60</v>
      </c>
      <c r="D1068" s="6" t="s">
        <v>55</v>
      </c>
      <c r="E1068" s="37"/>
      <c r="F1068" s="37"/>
      <c r="G1068" s="37"/>
      <c r="H1068" s="37"/>
      <c r="I1068" s="48"/>
      <c r="J1068" s="103"/>
      <c r="K1068" s="104"/>
      <c r="L1068" s="105"/>
      <c r="M1068" s="106" t="str">
        <f t="shared" si="241"/>
        <v/>
      </c>
      <c r="N1068" s="5" t="s">
        <v>1673</v>
      </c>
    </row>
    <row r="1069" spans="1:14" s="3" customFormat="1" ht="30" customHeight="1" x14ac:dyDescent="0.25">
      <c r="A1069" s="14" t="s">
        <v>19</v>
      </c>
      <c r="B1069" s="16" t="s">
        <v>55</v>
      </c>
      <c r="C1069" s="25" t="s">
        <v>61</v>
      </c>
      <c r="D1069" s="168" t="s">
        <v>56</v>
      </c>
      <c r="E1069" s="38">
        <v>0</v>
      </c>
      <c r="F1069" s="39">
        <v>0</v>
      </c>
      <c r="G1069" s="40">
        <v>0</v>
      </c>
      <c r="H1069" s="41">
        <v>0</v>
      </c>
      <c r="I1069" s="42">
        <f>SUM(E1069:H1069)</f>
        <v>0</v>
      </c>
      <c r="J1069" s="103" t="str">
        <f t="shared" ref="J1069:L1071" si="245">IFERROR(E1069/$I1069*100,"")</f>
        <v/>
      </c>
      <c r="K1069" s="104" t="str">
        <f t="shared" si="245"/>
        <v/>
      </c>
      <c r="L1069" s="105" t="str">
        <f t="shared" si="245"/>
        <v/>
      </c>
      <c r="M1069" s="106" t="str">
        <f t="shared" si="241"/>
        <v/>
      </c>
      <c r="N1069" s="5"/>
    </row>
    <row r="1070" spans="1:14" s="3" customFormat="1" ht="30" customHeight="1" x14ac:dyDescent="0.25">
      <c r="A1070" s="14" t="s">
        <v>19</v>
      </c>
      <c r="B1070" s="16" t="s">
        <v>55</v>
      </c>
      <c r="C1070" s="25" t="s">
        <v>61</v>
      </c>
      <c r="D1070" s="168" t="s">
        <v>57</v>
      </c>
      <c r="E1070" s="38">
        <v>0</v>
      </c>
      <c r="F1070" s="39">
        <v>0</v>
      </c>
      <c r="G1070" s="40">
        <v>0</v>
      </c>
      <c r="H1070" s="41">
        <v>0</v>
      </c>
      <c r="I1070" s="42">
        <f>SUM(E1070:H1070)</f>
        <v>0</v>
      </c>
      <c r="J1070" s="103" t="str">
        <f t="shared" si="245"/>
        <v/>
      </c>
      <c r="K1070" s="104" t="str">
        <f t="shared" si="245"/>
        <v/>
      </c>
      <c r="L1070" s="105" t="str">
        <f t="shared" si="245"/>
        <v/>
      </c>
      <c r="M1070" s="106" t="str">
        <f t="shared" si="241"/>
        <v/>
      </c>
    </row>
    <row r="1071" spans="1:14" s="3" customFormat="1" ht="30" customHeight="1" x14ac:dyDescent="0.25">
      <c r="A1071" s="14" t="s">
        <v>19</v>
      </c>
      <c r="B1071" s="16" t="s">
        <v>55</v>
      </c>
      <c r="C1071" s="25"/>
      <c r="D1071" s="168" t="s">
        <v>29</v>
      </c>
      <c r="E1071" s="38">
        <f>SUM(E1069:E1070)</f>
        <v>0</v>
      </c>
      <c r="F1071" s="39">
        <f t="shared" ref="F1071:I1071" si="246">SUM(F1069:F1070)</f>
        <v>0</v>
      </c>
      <c r="G1071" s="40">
        <f t="shared" si="246"/>
        <v>0</v>
      </c>
      <c r="H1071" s="41">
        <f t="shared" si="246"/>
        <v>0</v>
      </c>
      <c r="I1071" s="42">
        <f t="shared" si="246"/>
        <v>0</v>
      </c>
      <c r="J1071" s="103" t="str">
        <f t="shared" si="245"/>
        <v/>
      </c>
      <c r="K1071" s="104" t="str">
        <f t="shared" si="245"/>
        <v/>
      </c>
      <c r="L1071" s="105" t="str">
        <f t="shared" si="245"/>
        <v/>
      </c>
      <c r="M1071" s="106" t="str">
        <f t="shared" si="241"/>
        <v/>
      </c>
      <c r="N1071" s="5" t="s">
        <v>1671</v>
      </c>
    </row>
    <row r="1072" spans="1:14" ht="5.0999999999999996" customHeight="1" x14ac:dyDescent="0.25">
      <c r="A1072" s="14" t="s">
        <v>19</v>
      </c>
      <c r="B1072" s="16" t="s">
        <v>55</v>
      </c>
      <c r="C1072"/>
      <c r="D1072" s="57"/>
      <c r="E1072" s="59"/>
      <c r="F1072" s="59"/>
      <c r="G1072" s="59"/>
      <c r="H1072" s="59"/>
      <c r="I1072" s="59"/>
      <c r="J1072" s="103"/>
      <c r="K1072" s="104"/>
      <c r="L1072" s="105"/>
      <c r="M1072" s="106" t="str">
        <f t="shared" si="241"/>
        <v/>
      </c>
    </row>
    <row r="1073" spans="1:14" s="5" customFormat="1" ht="20.100000000000001" customHeight="1" x14ac:dyDescent="0.25">
      <c r="A1073" s="14" t="s">
        <v>19</v>
      </c>
      <c r="B1073" s="16" t="s">
        <v>74</v>
      </c>
      <c r="C1073" s="25" t="s">
        <v>60</v>
      </c>
      <c r="D1073" s="6" t="s">
        <v>75</v>
      </c>
      <c r="E1073" s="37"/>
      <c r="F1073" s="37"/>
      <c r="G1073" s="37"/>
      <c r="H1073" s="37"/>
      <c r="I1073" s="48"/>
      <c r="J1073" s="103"/>
      <c r="K1073" s="104"/>
      <c r="L1073" s="105"/>
      <c r="M1073" s="106" t="str">
        <f t="shared" si="241"/>
        <v/>
      </c>
      <c r="N1073" s="5" t="s">
        <v>1673</v>
      </c>
    </row>
    <row r="1074" spans="1:14" s="3" customFormat="1" ht="30" customHeight="1" x14ac:dyDescent="0.25">
      <c r="A1074" s="14" t="s">
        <v>19</v>
      </c>
      <c r="B1074" s="16" t="s">
        <v>74</v>
      </c>
      <c r="C1074" s="25" t="s">
        <v>61</v>
      </c>
      <c r="D1074" s="168" t="s">
        <v>77</v>
      </c>
      <c r="E1074" s="38">
        <v>0</v>
      </c>
      <c r="F1074" s="39">
        <v>0</v>
      </c>
      <c r="G1074" s="40">
        <v>0</v>
      </c>
      <c r="H1074" s="41">
        <v>0</v>
      </c>
      <c r="I1074" s="42">
        <f>SUM(E1074:H1074)</f>
        <v>0</v>
      </c>
      <c r="J1074" s="103" t="str">
        <f>IFERROR(E1074/$I1074*100,"")</f>
        <v/>
      </c>
      <c r="K1074" s="104" t="str">
        <f>IFERROR(F1074/$I1074*100,"")</f>
        <v/>
      </c>
      <c r="L1074" s="105" t="str">
        <f>IFERROR(G1074/$I1074*100,"")</f>
        <v/>
      </c>
      <c r="M1074" s="106" t="str">
        <f t="shared" si="241"/>
        <v/>
      </c>
      <c r="N1074" s="3" t="s">
        <v>1671</v>
      </c>
    </row>
    <row r="1075" spans="1:14" ht="5.0999999999999996" customHeight="1" x14ac:dyDescent="0.25">
      <c r="A1075" s="14" t="s">
        <v>19</v>
      </c>
      <c r="B1075" s="16" t="s">
        <v>74</v>
      </c>
      <c r="C1075"/>
      <c r="D1075" s="57"/>
      <c r="E1075" s="59"/>
      <c r="F1075" s="59"/>
      <c r="G1075" s="59"/>
      <c r="H1075" s="59"/>
      <c r="I1075" s="59"/>
      <c r="J1075" s="103"/>
      <c r="K1075" s="104"/>
      <c r="L1075" s="105"/>
      <c r="M1075" s="106" t="str">
        <f t="shared" si="241"/>
        <v/>
      </c>
    </row>
    <row r="1076" spans="1:14" s="5" customFormat="1" ht="20.100000000000001" customHeight="1" x14ac:dyDescent="0.25">
      <c r="A1076" s="14" t="s">
        <v>19</v>
      </c>
      <c r="B1076" s="16" t="s">
        <v>78</v>
      </c>
      <c r="C1076" s="25" t="s">
        <v>60</v>
      </c>
      <c r="D1076" s="6" t="s">
        <v>80</v>
      </c>
      <c r="E1076" s="37"/>
      <c r="F1076" s="37"/>
      <c r="G1076" s="37"/>
      <c r="H1076" s="37"/>
      <c r="I1076" s="48"/>
      <c r="J1076" s="103"/>
      <c r="K1076" s="104"/>
      <c r="L1076" s="105"/>
      <c r="M1076" s="106" t="str">
        <f t="shared" si="241"/>
        <v/>
      </c>
      <c r="N1076" s="5" t="s">
        <v>1673</v>
      </c>
    </row>
    <row r="1077" spans="1:14" s="5" customFormat="1" ht="30" customHeight="1" x14ac:dyDescent="0.25">
      <c r="A1077" s="14" t="s">
        <v>19</v>
      </c>
      <c r="B1077" s="16" t="s">
        <v>78</v>
      </c>
      <c r="C1077" s="25" t="s">
        <v>61</v>
      </c>
      <c r="D1077" s="168" t="s">
        <v>81</v>
      </c>
      <c r="E1077" s="38">
        <v>0</v>
      </c>
      <c r="F1077" s="39">
        <v>0</v>
      </c>
      <c r="G1077" s="40">
        <v>0</v>
      </c>
      <c r="H1077" s="41">
        <v>0</v>
      </c>
      <c r="I1077" s="42">
        <f t="shared" ref="I1077:I1083" si="247">SUM(E1077:H1077)</f>
        <v>0</v>
      </c>
      <c r="J1077" s="103" t="str">
        <f t="shared" ref="J1077:L1083" si="248">IFERROR(E1077/$I1077*100,"")</f>
        <v/>
      </c>
      <c r="K1077" s="104" t="str">
        <f t="shared" si="248"/>
        <v/>
      </c>
      <c r="L1077" s="105" t="str">
        <f t="shared" si="248"/>
        <v/>
      </c>
      <c r="M1077" s="106" t="str">
        <f t="shared" si="241"/>
        <v/>
      </c>
    </row>
    <row r="1078" spans="1:14" s="5" customFormat="1" ht="30" customHeight="1" x14ac:dyDescent="0.25">
      <c r="A1078" s="14" t="s">
        <v>19</v>
      </c>
      <c r="B1078" s="16" t="s">
        <v>78</v>
      </c>
      <c r="C1078" s="25" t="s">
        <v>61</v>
      </c>
      <c r="D1078" s="168" t="s">
        <v>82</v>
      </c>
      <c r="E1078" s="38">
        <v>0</v>
      </c>
      <c r="F1078" s="39">
        <v>0</v>
      </c>
      <c r="G1078" s="40">
        <v>0</v>
      </c>
      <c r="H1078" s="41">
        <v>0</v>
      </c>
      <c r="I1078" s="42">
        <f t="shared" si="247"/>
        <v>0</v>
      </c>
      <c r="J1078" s="103" t="str">
        <f t="shared" si="248"/>
        <v/>
      </c>
      <c r="K1078" s="104" t="str">
        <f t="shared" si="248"/>
        <v/>
      </c>
      <c r="L1078" s="105" t="str">
        <f t="shared" si="248"/>
        <v/>
      </c>
      <c r="M1078" s="106" t="str">
        <f t="shared" si="241"/>
        <v/>
      </c>
    </row>
    <row r="1079" spans="1:14" s="5" customFormat="1" ht="30" customHeight="1" x14ac:dyDescent="0.25">
      <c r="A1079" s="14" t="s">
        <v>19</v>
      </c>
      <c r="B1079" s="16" t="s">
        <v>78</v>
      </c>
      <c r="C1079" s="25" t="s">
        <v>61</v>
      </c>
      <c r="D1079" s="168" t="s">
        <v>83</v>
      </c>
      <c r="E1079" s="38">
        <v>0</v>
      </c>
      <c r="F1079" s="39">
        <v>0</v>
      </c>
      <c r="G1079" s="40">
        <v>0</v>
      </c>
      <c r="H1079" s="41">
        <v>0</v>
      </c>
      <c r="I1079" s="42">
        <f t="shared" si="247"/>
        <v>0</v>
      </c>
      <c r="J1079" s="103" t="str">
        <f t="shared" si="248"/>
        <v/>
      </c>
      <c r="K1079" s="104" t="str">
        <f t="shared" si="248"/>
        <v/>
      </c>
      <c r="L1079" s="105" t="str">
        <f t="shared" si="248"/>
        <v/>
      </c>
      <c r="M1079" s="106" t="str">
        <f t="shared" si="241"/>
        <v/>
      </c>
    </row>
    <row r="1080" spans="1:14" s="5" customFormat="1" ht="30" customHeight="1" x14ac:dyDescent="0.25">
      <c r="A1080" s="14" t="s">
        <v>19</v>
      </c>
      <c r="B1080" s="16" t="s">
        <v>78</v>
      </c>
      <c r="C1080" s="25" t="s">
        <v>61</v>
      </c>
      <c r="D1080" s="168" t="s">
        <v>88</v>
      </c>
      <c r="E1080" s="38">
        <v>0</v>
      </c>
      <c r="F1080" s="39">
        <v>0</v>
      </c>
      <c r="G1080" s="40">
        <v>0</v>
      </c>
      <c r="H1080" s="41">
        <v>0</v>
      </c>
      <c r="I1080" s="42">
        <f t="shared" si="247"/>
        <v>0</v>
      </c>
      <c r="J1080" s="103" t="str">
        <f t="shared" si="248"/>
        <v/>
      </c>
      <c r="K1080" s="104" t="str">
        <f t="shared" si="248"/>
        <v/>
      </c>
      <c r="L1080" s="105" t="str">
        <f t="shared" si="248"/>
        <v/>
      </c>
      <c r="M1080" s="106" t="str">
        <f t="shared" si="241"/>
        <v/>
      </c>
    </row>
    <row r="1081" spans="1:14" s="5" customFormat="1" ht="30" customHeight="1" x14ac:dyDescent="0.25">
      <c r="A1081" s="14" t="s">
        <v>19</v>
      </c>
      <c r="B1081" s="16" t="s">
        <v>78</v>
      </c>
      <c r="C1081" s="25" t="s">
        <v>61</v>
      </c>
      <c r="D1081" s="168" t="s">
        <v>87</v>
      </c>
      <c r="E1081" s="38">
        <v>0</v>
      </c>
      <c r="F1081" s="39">
        <v>0</v>
      </c>
      <c r="G1081" s="40">
        <v>0</v>
      </c>
      <c r="H1081" s="41">
        <v>0</v>
      </c>
      <c r="I1081" s="42">
        <f t="shared" si="247"/>
        <v>0</v>
      </c>
      <c r="J1081" s="103" t="str">
        <f t="shared" si="248"/>
        <v/>
      </c>
      <c r="K1081" s="104" t="str">
        <f t="shared" si="248"/>
        <v/>
      </c>
      <c r="L1081" s="105" t="str">
        <f t="shared" si="248"/>
        <v/>
      </c>
      <c r="M1081" s="106" t="str">
        <f t="shared" si="241"/>
        <v/>
      </c>
    </row>
    <row r="1082" spans="1:14" s="5" customFormat="1" ht="30" customHeight="1" x14ac:dyDescent="0.25">
      <c r="A1082" s="14" t="s">
        <v>19</v>
      </c>
      <c r="B1082" s="16" t="s">
        <v>78</v>
      </c>
      <c r="C1082" s="25" t="s">
        <v>61</v>
      </c>
      <c r="D1082" s="168" t="s">
        <v>84</v>
      </c>
      <c r="E1082" s="38">
        <v>0</v>
      </c>
      <c r="F1082" s="39">
        <v>0</v>
      </c>
      <c r="G1082" s="40">
        <v>0</v>
      </c>
      <c r="H1082" s="41">
        <v>0</v>
      </c>
      <c r="I1082" s="42">
        <f t="shared" si="247"/>
        <v>0</v>
      </c>
      <c r="J1082" s="103" t="str">
        <f t="shared" si="248"/>
        <v/>
      </c>
      <c r="K1082" s="104" t="str">
        <f t="shared" si="248"/>
        <v/>
      </c>
      <c r="L1082" s="105" t="str">
        <f t="shared" si="248"/>
        <v/>
      </c>
      <c r="M1082" s="106" t="str">
        <f t="shared" si="241"/>
        <v/>
      </c>
    </row>
    <row r="1083" spans="1:14" s="5" customFormat="1" ht="30" customHeight="1" x14ac:dyDescent="0.25">
      <c r="A1083" s="14" t="s">
        <v>19</v>
      </c>
      <c r="B1083" s="16" t="s">
        <v>78</v>
      </c>
      <c r="C1083" s="25" t="s">
        <v>86</v>
      </c>
      <c r="D1083" s="168" t="s">
        <v>79</v>
      </c>
      <c r="E1083" s="38">
        <v>0</v>
      </c>
      <c r="F1083" s="39">
        <v>0</v>
      </c>
      <c r="G1083" s="40">
        <v>0</v>
      </c>
      <c r="H1083" s="41">
        <v>0</v>
      </c>
      <c r="I1083" s="42">
        <f t="shared" si="247"/>
        <v>0</v>
      </c>
      <c r="J1083" s="103" t="str">
        <f t="shared" si="248"/>
        <v/>
      </c>
      <c r="K1083" s="104" t="str">
        <f t="shared" si="248"/>
        <v/>
      </c>
      <c r="L1083" s="105" t="str">
        <f t="shared" si="248"/>
        <v/>
      </c>
      <c r="M1083" s="106" t="str">
        <f t="shared" si="241"/>
        <v/>
      </c>
      <c r="N1083" s="5" t="s">
        <v>1671</v>
      </c>
    </row>
    <row r="1084" spans="1:14" ht="5.0999999999999996" customHeight="1" x14ac:dyDescent="0.25">
      <c r="A1084" s="14" t="s">
        <v>19</v>
      </c>
      <c r="B1084" s="16" t="s">
        <v>78</v>
      </c>
      <c r="C1084"/>
      <c r="D1084" s="57"/>
      <c r="E1084" s="59"/>
      <c r="F1084" s="59"/>
      <c r="G1084" s="59"/>
      <c r="H1084" s="59"/>
      <c r="I1084" s="59"/>
      <c r="J1084" s="103"/>
      <c r="K1084" s="104"/>
      <c r="L1084" s="105"/>
      <c r="M1084" s="106" t="str">
        <f t="shared" si="241"/>
        <v/>
      </c>
    </row>
    <row r="1085" spans="1:14" s="5" customFormat="1" ht="20.100000000000001" customHeight="1" x14ac:dyDescent="0.25">
      <c r="A1085" s="14" t="s">
        <v>19</v>
      </c>
      <c r="B1085" s="16" t="s">
        <v>1642</v>
      </c>
      <c r="C1085" s="25" t="s">
        <v>60</v>
      </c>
      <c r="D1085" s="6" t="s">
        <v>1644</v>
      </c>
      <c r="E1085" s="37"/>
      <c r="F1085" s="37"/>
      <c r="G1085" s="37"/>
      <c r="H1085" s="37"/>
      <c r="I1085" s="48"/>
      <c r="J1085" s="103"/>
      <c r="K1085" s="104"/>
      <c r="L1085" s="105"/>
      <c r="M1085" s="106" t="str">
        <f t="shared" si="241"/>
        <v/>
      </c>
      <c r="N1085" s="5" t="s">
        <v>1673</v>
      </c>
    </row>
    <row r="1086" spans="1:14" s="5" customFormat="1" ht="30" customHeight="1" x14ac:dyDescent="0.25">
      <c r="A1086" s="14" t="s">
        <v>19</v>
      </c>
      <c r="B1086" s="16" t="s">
        <v>1642</v>
      </c>
      <c r="C1086" s="25" t="s">
        <v>61</v>
      </c>
      <c r="D1086" s="168" t="s">
        <v>1643</v>
      </c>
      <c r="E1086" s="38">
        <v>0</v>
      </c>
      <c r="F1086" s="39">
        <v>0</v>
      </c>
      <c r="G1086" s="40">
        <v>0</v>
      </c>
      <c r="H1086" s="41">
        <v>0</v>
      </c>
      <c r="I1086" s="42">
        <f t="shared" ref="I1086" si="249">SUM(E1086:H1086)</f>
        <v>0</v>
      </c>
      <c r="J1086" s="103" t="str">
        <f>IFERROR(E1086/$I1086*100,"")</f>
        <v/>
      </c>
      <c r="K1086" s="104" t="str">
        <f>IFERROR(F1086/$I1086*100,"")</f>
        <v/>
      </c>
      <c r="L1086" s="105" t="str">
        <f>IFERROR(G1086/$I1086*100,"")</f>
        <v/>
      </c>
      <c r="M1086" s="106" t="str">
        <f t="shared" si="241"/>
        <v/>
      </c>
      <c r="N1086" s="5" t="s">
        <v>1671</v>
      </c>
    </row>
    <row r="1087" spans="1:14" ht="5.0999999999999996" customHeight="1" x14ac:dyDescent="0.25">
      <c r="A1087" s="14" t="s">
        <v>19</v>
      </c>
      <c r="B1087" s="16" t="s">
        <v>1642</v>
      </c>
      <c r="C1087"/>
      <c r="D1087" s="57"/>
      <c r="E1087" s="59"/>
      <c r="F1087" s="59"/>
      <c r="G1087" s="59"/>
      <c r="H1087" s="59"/>
      <c r="I1087" s="59"/>
      <c r="J1087" s="103"/>
      <c r="K1087" s="104"/>
      <c r="L1087" s="105"/>
      <c r="M1087" s="106" t="str">
        <f t="shared" si="241"/>
        <v/>
      </c>
    </row>
    <row r="1088" spans="1:14" s="5" customFormat="1" ht="20.100000000000001" customHeight="1" x14ac:dyDescent="0.25">
      <c r="A1088" s="14" t="s">
        <v>19</v>
      </c>
      <c r="B1088" s="16" t="s">
        <v>91</v>
      </c>
      <c r="C1088" s="25" t="s">
        <v>60</v>
      </c>
      <c r="D1088" s="6" t="s">
        <v>89</v>
      </c>
      <c r="E1088" s="37"/>
      <c r="F1088" s="37"/>
      <c r="G1088" s="37"/>
      <c r="H1088" s="37"/>
      <c r="I1088" s="48"/>
      <c r="J1088" s="103"/>
      <c r="K1088" s="104"/>
      <c r="L1088" s="105"/>
      <c r="M1088" s="106" t="str">
        <f t="shared" si="241"/>
        <v/>
      </c>
      <c r="N1088" s="5" t="s">
        <v>1673</v>
      </c>
    </row>
    <row r="1089" spans="1:14" s="5" customFormat="1" ht="30" customHeight="1" x14ac:dyDescent="0.25">
      <c r="A1089" s="14" t="s">
        <v>19</v>
      </c>
      <c r="B1089" s="16" t="s">
        <v>91</v>
      </c>
      <c r="C1089" s="25" t="s">
        <v>61</v>
      </c>
      <c r="D1089" s="168" t="s">
        <v>90</v>
      </c>
      <c r="E1089" s="38">
        <v>0</v>
      </c>
      <c r="F1089" s="39">
        <v>0</v>
      </c>
      <c r="G1089" s="40">
        <v>0</v>
      </c>
      <c r="H1089" s="41">
        <v>0</v>
      </c>
      <c r="I1089" s="42">
        <f t="shared" ref="I1089" si="250">SUM(E1089:H1089)</f>
        <v>0</v>
      </c>
      <c r="J1089" s="103" t="str">
        <f>IFERROR(E1089/$I1089*100,"")</f>
        <v/>
      </c>
      <c r="K1089" s="104" t="str">
        <f>IFERROR(F1089/$I1089*100,"")</f>
        <v/>
      </c>
      <c r="L1089" s="105" t="str">
        <f>IFERROR(G1089/$I1089*100,"")</f>
        <v/>
      </c>
      <c r="M1089" s="106" t="str">
        <f t="shared" si="241"/>
        <v/>
      </c>
      <c r="N1089" s="5" t="s">
        <v>1671</v>
      </c>
    </row>
    <row r="1090" spans="1:14" ht="5.0999999999999996" customHeight="1" x14ac:dyDescent="0.25">
      <c r="A1090" s="14" t="s">
        <v>19</v>
      </c>
      <c r="B1090" s="16" t="s">
        <v>91</v>
      </c>
      <c r="C1090"/>
      <c r="D1090" s="57"/>
      <c r="E1090" s="59"/>
      <c r="F1090" s="59"/>
      <c r="G1090" s="59"/>
      <c r="H1090" s="59"/>
      <c r="I1090" s="59"/>
      <c r="J1090" s="103"/>
      <c r="K1090" s="104"/>
      <c r="L1090" s="105"/>
      <c r="M1090" s="106" t="str">
        <f t="shared" si="241"/>
        <v/>
      </c>
    </row>
    <row r="1091" spans="1:14" s="5" customFormat="1" ht="20.100000000000001" customHeight="1" x14ac:dyDescent="0.25">
      <c r="A1091" s="14" t="s">
        <v>19</v>
      </c>
      <c r="B1091" s="16" t="s">
        <v>1637</v>
      </c>
      <c r="C1091" s="25" t="s">
        <v>60</v>
      </c>
      <c r="D1091" s="6" t="s">
        <v>1636</v>
      </c>
      <c r="E1091" s="37"/>
      <c r="F1091" s="37"/>
      <c r="G1091" s="37"/>
      <c r="H1091" s="37"/>
      <c r="I1091" s="48"/>
      <c r="J1091" s="103"/>
      <c r="K1091" s="104"/>
      <c r="L1091" s="105"/>
      <c r="M1091" s="106" t="str">
        <f t="shared" si="241"/>
        <v/>
      </c>
      <c r="N1091" s="5" t="s">
        <v>1673</v>
      </c>
    </row>
    <row r="1092" spans="1:14" s="3" customFormat="1" ht="30" customHeight="1" x14ac:dyDescent="0.25">
      <c r="A1092" s="14" t="s">
        <v>19</v>
      </c>
      <c r="B1092" s="16" t="s">
        <v>1637</v>
      </c>
      <c r="C1092" s="25" t="s">
        <v>61</v>
      </c>
      <c r="D1092" s="168" t="s">
        <v>1638</v>
      </c>
      <c r="E1092" s="38">
        <v>0</v>
      </c>
      <c r="F1092" s="39">
        <v>0</v>
      </c>
      <c r="G1092" s="40">
        <v>0</v>
      </c>
      <c r="H1092" s="41">
        <v>0</v>
      </c>
      <c r="I1092" s="42">
        <f t="shared" ref="I1092:I1097" si="251">SUM(E1092:H1092)</f>
        <v>0</v>
      </c>
      <c r="J1092" s="103" t="str">
        <f t="shared" ref="J1092:L1096" si="252">IFERROR(E1092/$I1092*100,"")</f>
        <v/>
      </c>
      <c r="K1092" s="104" t="str">
        <f t="shared" si="252"/>
        <v/>
      </c>
      <c r="L1092" s="105" t="str">
        <f t="shared" si="252"/>
        <v/>
      </c>
      <c r="M1092" s="106" t="str">
        <f t="shared" si="241"/>
        <v/>
      </c>
    </row>
    <row r="1093" spans="1:14" s="3" customFormat="1" ht="30" customHeight="1" x14ac:dyDescent="0.25">
      <c r="A1093" s="14" t="s">
        <v>19</v>
      </c>
      <c r="B1093" s="16" t="s">
        <v>1637</v>
      </c>
      <c r="C1093" s="25" t="s">
        <v>61</v>
      </c>
      <c r="D1093" s="168" t="s">
        <v>1669</v>
      </c>
      <c r="E1093" s="38">
        <v>0</v>
      </c>
      <c r="F1093" s="39">
        <v>0</v>
      </c>
      <c r="G1093" s="40">
        <v>0</v>
      </c>
      <c r="H1093" s="41">
        <v>0</v>
      </c>
      <c r="I1093" s="42">
        <f t="shared" si="251"/>
        <v>0</v>
      </c>
      <c r="J1093" s="103" t="str">
        <f t="shared" si="252"/>
        <v/>
      </c>
      <c r="K1093" s="104" t="str">
        <f t="shared" si="252"/>
        <v/>
      </c>
      <c r="L1093" s="105" t="str">
        <f t="shared" si="252"/>
        <v/>
      </c>
      <c r="M1093" s="106" t="str">
        <f t="shared" si="241"/>
        <v/>
      </c>
    </row>
    <row r="1094" spans="1:14" s="3" customFormat="1" ht="30" customHeight="1" x14ac:dyDescent="0.25">
      <c r="A1094" s="14" t="s">
        <v>19</v>
      </c>
      <c r="B1094" s="16" t="s">
        <v>1637</v>
      </c>
      <c r="C1094" s="25" t="s">
        <v>61</v>
      </c>
      <c r="D1094" s="168" t="s">
        <v>1640</v>
      </c>
      <c r="E1094" s="38">
        <v>0</v>
      </c>
      <c r="F1094" s="39">
        <v>0</v>
      </c>
      <c r="G1094" s="40">
        <v>0</v>
      </c>
      <c r="H1094" s="41">
        <v>0</v>
      </c>
      <c r="I1094" s="42">
        <f t="shared" si="251"/>
        <v>0</v>
      </c>
      <c r="J1094" s="103" t="str">
        <f t="shared" si="252"/>
        <v/>
      </c>
      <c r="K1094" s="104" t="str">
        <f t="shared" si="252"/>
        <v/>
      </c>
      <c r="L1094" s="105" t="str">
        <f t="shared" si="252"/>
        <v/>
      </c>
      <c r="M1094" s="106" t="str">
        <f t="shared" si="241"/>
        <v/>
      </c>
    </row>
    <row r="1095" spans="1:14" s="3" customFormat="1" ht="30" customHeight="1" x14ac:dyDescent="0.25">
      <c r="A1095" s="14" t="s">
        <v>19</v>
      </c>
      <c r="B1095" s="16" t="s">
        <v>1637</v>
      </c>
      <c r="C1095" s="25" t="s">
        <v>61</v>
      </c>
      <c r="D1095" s="168" t="s">
        <v>1639</v>
      </c>
      <c r="E1095" s="38">
        <v>0</v>
      </c>
      <c r="F1095" s="39">
        <v>0</v>
      </c>
      <c r="G1095" s="40">
        <v>0</v>
      </c>
      <c r="H1095" s="41">
        <v>0</v>
      </c>
      <c r="I1095" s="42">
        <f t="shared" si="251"/>
        <v>0</v>
      </c>
      <c r="J1095" s="103" t="str">
        <f t="shared" si="252"/>
        <v/>
      </c>
      <c r="K1095" s="104" t="str">
        <f t="shared" si="252"/>
        <v/>
      </c>
      <c r="L1095" s="105" t="str">
        <f t="shared" si="252"/>
        <v/>
      </c>
      <c r="M1095" s="106" t="str">
        <f t="shared" si="241"/>
        <v/>
      </c>
    </row>
    <row r="1096" spans="1:14" s="3" customFormat="1" ht="30" customHeight="1" x14ac:dyDescent="0.25">
      <c r="A1096" s="14" t="s">
        <v>19</v>
      </c>
      <c r="B1096" s="16" t="s">
        <v>1637</v>
      </c>
      <c r="C1096" s="25" t="s">
        <v>61</v>
      </c>
      <c r="D1096" s="168" t="s">
        <v>1641</v>
      </c>
      <c r="E1096" s="38">
        <v>0</v>
      </c>
      <c r="F1096" s="39">
        <v>0</v>
      </c>
      <c r="G1096" s="40">
        <v>0</v>
      </c>
      <c r="H1096" s="41">
        <v>0</v>
      </c>
      <c r="I1096" s="42">
        <f t="shared" si="251"/>
        <v>0</v>
      </c>
      <c r="J1096" s="103" t="str">
        <f t="shared" si="252"/>
        <v/>
      </c>
      <c r="K1096" s="104" t="str">
        <f t="shared" si="252"/>
        <v/>
      </c>
      <c r="L1096" s="105" t="str">
        <f t="shared" si="252"/>
        <v/>
      </c>
      <c r="M1096" s="106" t="str">
        <f t="shared" si="241"/>
        <v/>
      </c>
    </row>
    <row r="1097" spans="1:14" s="3" customFormat="1" ht="30" customHeight="1" x14ac:dyDescent="0.25">
      <c r="A1097" s="14" t="s">
        <v>19</v>
      </c>
      <c r="B1097" s="16" t="s">
        <v>1637</v>
      </c>
      <c r="C1097" s="25"/>
      <c r="D1097" s="168" t="s">
        <v>29</v>
      </c>
      <c r="E1097" s="38">
        <f>SUM(E1092:E1096)</f>
        <v>0</v>
      </c>
      <c r="F1097" s="39">
        <f>SUM(F1092:F1096)</f>
        <v>0</v>
      </c>
      <c r="G1097" s="40">
        <f>SUM(G1092:G1096)</f>
        <v>0</v>
      </c>
      <c r="H1097" s="41">
        <f>SUM(H1092:H1096)</f>
        <v>0</v>
      </c>
      <c r="I1097" s="42">
        <f t="shared" si="251"/>
        <v>0</v>
      </c>
      <c r="J1097" s="103" t="str">
        <f>IFERROR(E1097/SUM($E1097:$H1097)*100,"")</f>
        <v/>
      </c>
      <c r="K1097" s="104" t="str">
        <f>IFERROR(F1097/SUM($E1097:$H1097)*100,"")</f>
        <v/>
      </c>
      <c r="L1097" s="105" t="str">
        <f>IFERROR(G1097/SUM($E1097:$H1097)*100,"")</f>
        <v/>
      </c>
      <c r="M1097" s="106" t="str">
        <f t="shared" si="241"/>
        <v/>
      </c>
      <c r="N1097" s="5" t="s">
        <v>1671</v>
      </c>
    </row>
    <row r="1098" spans="1:14" ht="5.0999999999999996" customHeight="1" x14ac:dyDescent="0.25">
      <c r="A1098" s="14" t="s">
        <v>19</v>
      </c>
      <c r="B1098" s="16" t="s">
        <v>1637</v>
      </c>
      <c r="C1098"/>
      <c r="J1098" s="103"/>
      <c r="K1098" s="104"/>
      <c r="L1098" s="105"/>
      <c r="M1098" s="106" t="str">
        <f t="shared" si="241"/>
        <v/>
      </c>
    </row>
    <row r="1099" spans="1:14" s="5" customFormat="1" ht="20.100000000000001" customHeight="1" x14ac:dyDescent="0.25">
      <c r="A1099" s="14" t="s">
        <v>19</v>
      </c>
      <c r="B1099" s="16" t="s">
        <v>42</v>
      </c>
      <c r="C1099" s="25" t="s">
        <v>60</v>
      </c>
      <c r="D1099" s="6" t="s">
        <v>1744</v>
      </c>
      <c r="E1099" s="37"/>
      <c r="F1099" s="37"/>
      <c r="G1099" s="37"/>
      <c r="H1099" s="37"/>
      <c r="I1099" s="48"/>
      <c r="J1099" s="103"/>
      <c r="K1099" s="104"/>
      <c r="L1099" s="105"/>
      <c r="M1099" s="106" t="str">
        <f t="shared" si="241"/>
        <v/>
      </c>
      <c r="N1099" s="5" t="s">
        <v>1673</v>
      </c>
    </row>
    <row r="1100" spans="1:14" s="3" customFormat="1" ht="30" customHeight="1" x14ac:dyDescent="0.25">
      <c r="A1100" s="14" t="s">
        <v>19</v>
      </c>
      <c r="B1100" s="16" t="s">
        <v>42</v>
      </c>
      <c r="C1100" s="25" t="s">
        <v>61</v>
      </c>
      <c r="D1100" s="168" t="s">
        <v>43</v>
      </c>
      <c r="E1100" s="38">
        <v>0</v>
      </c>
      <c r="F1100" s="39">
        <v>0</v>
      </c>
      <c r="G1100" s="40">
        <v>0</v>
      </c>
      <c r="H1100" s="41">
        <v>0</v>
      </c>
      <c r="I1100" s="42">
        <f t="shared" ref="I1100:I1109" si="253">SUM(E1100:H1100)</f>
        <v>0</v>
      </c>
      <c r="J1100" s="103" t="str">
        <f t="shared" ref="J1100:L1109" si="254">IFERROR(E1100/$I1100*100,"")</f>
        <v/>
      </c>
      <c r="K1100" s="104" t="str">
        <f t="shared" si="254"/>
        <v/>
      </c>
      <c r="L1100" s="105" t="str">
        <f t="shared" si="254"/>
        <v/>
      </c>
      <c r="M1100" s="106" t="str">
        <f t="shared" si="241"/>
        <v/>
      </c>
    </row>
    <row r="1101" spans="1:14" s="3" customFormat="1" ht="30" customHeight="1" x14ac:dyDescent="0.25">
      <c r="A1101" s="14" t="s">
        <v>19</v>
      </c>
      <c r="B1101" s="16" t="s">
        <v>42</v>
      </c>
      <c r="C1101" s="25" t="s">
        <v>61</v>
      </c>
      <c r="D1101" s="168" t="s">
        <v>44</v>
      </c>
      <c r="E1101" s="38">
        <v>0</v>
      </c>
      <c r="F1101" s="39">
        <v>0</v>
      </c>
      <c r="G1101" s="40">
        <v>0</v>
      </c>
      <c r="H1101" s="41">
        <v>0</v>
      </c>
      <c r="I1101" s="42">
        <f t="shared" si="253"/>
        <v>0</v>
      </c>
      <c r="J1101" s="103" t="str">
        <f t="shared" si="254"/>
        <v/>
      </c>
      <c r="K1101" s="104" t="str">
        <f t="shared" si="254"/>
        <v/>
      </c>
      <c r="L1101" s="105" t="str">
        <f t="shared" si="254"/>
        <v/>
      </c>
      <c r="M1101" s="106" t="str">
        <f t="shared" si="241"/>
        <v/>
      </c>
    </row>
    <row r="1102" spans="1:14" s="3" customFormat="1" ht="30" customHeight="1" x14ac:dyDescent="0.25">
      <c r="A1102" s="14" t="s">
        <v>19</v>
      </c>
      <c r="B1102" s="16" t="s">
        <v>42</v>
      </c>
      <c r="C1102" s="25" t="s">
        <v>61</v>
      </c>
      <c r="D1102" s="168" t="s">
        <v>45</v>
      </c>
      <c r="E1102" s="38">
        <v>0</v>
      </c>
      <c r="F1102" s="39">
        <v>0</v>
      </c>
      <c r="G1102" s="40">
        <v>0</v>
      </c>
      <c r="H1102" s="41">
        <v>0</v>
      </c>
      <c r="I1102" s="42">
        <f t="shared" si="253"/>
        <v>0</v>
      </c>
      <c r="J1102" s="103" t="str">
        <f t="shared" si="254"/>
        <v/>
      </c>
      <c r="K1102" s="104" t="str">
        <f t="shared" si="254"/>
        <v/>
      </c>
      <c r="L1102" s="105" t="str">
        <f t="shared" si="254"/>
        <v/>
      </c>
      <c r="M1102" s="106" t="str">
        <f t="shared" si="241"/>
        <v/>
      </c>
    </row>
    <row r="1103" spans="1:14" s="3" customFormat="1" ht="30" customHeight="1" x14ac:dyDescent="0.25">
      <c r="A1103" s="14" t="s">
        <v>19</v>
      </c>
      <c r="B1103" s="16" t="s">
        <v>42</v>
      </c>
      <c r="C1103" s="25" t="s">
        <v>61</v>
      </c>
      <c r="D1103" s="168" t="s">
        <v>46</v>
      </c>
      <c r="E1103" s="38">
        <v>0</v>
      </c>
      <c r="F1103" s="39">
        <v>0</v>
      </c>
      <c r="G1103" s="40">
        <v>0</v>
      </c>
      <c r="H1103" s="41">
        <v>0</v>
      </c>
      <c r="I1103" s="42">
        <f t="shared" si="253"/>
        <v>0</v>
      </c>
      <c r="J1103" s="103" t="str">
        <f t="shared" si="254"/>
        <v/>
      </c>
      <c r="K1103" s="104" t="str">
        <f t="shared" si="254"/>
        <v/>
      </c>
      <c r="L1103" s="105" t="str">
        <f t="shared" si="254"/>
        <v/>
      </c>
      <c r="M1103" s="106" t="str">
        <f t="shared" si="241"/>
        <v/>
      </c>
    </row>
    <row r="1104" spans="1:14" s="3" customFormat="1" ht="30" customHeight="1" x14ac:dyDescent="0.25">
      <c r="A1104" s="14" t="s">
        <v>19</v>
      </c>
      <c r="B1104" s="16" t="s">
        <v>42</v>
      </c>
      <c r="C1104" s="25" t="s">
        <v>61</v>
      </c>
      <c r="D1104" s="168" t="s">
        <v>51</v>
      </c>
      <c r="E1104" s="38">
        <v>0</v>
      </c>
      <c r="F1104" s="39">
        <v>0</v>
      </c>
      <c r="G1104" s="40">
        <v>0</v>
      </c>
      <c r="H1104" s="41">
        <v>0</v>
      </c>
      <c r="I1104" s="42">
        <f t="shared" si="253"/>
        <v>0</v>
      </c>
      <c r="J1104" s="103" t="str">
        <f t="shared" si="254"/>
        <v/>
      </c>
      <c r="K1104" s="104" t="str">
        <f t="shared" si="254"/>
        <v/>
      </c>
      <c r="L1104" s="105" t="str">
        <f t="shared" si="254"/>
        <v/>
      </c>
      <c r="M1104" s="106" t="str">
        <f t="shared" si="241"/>
        <v/>
      </c>
    </row>
    <row r="1105" spans="1:14" s="3" customFormat="1" ht="30" customHeight="1" x14ac:dyDescent="0.25">
      <c r="A1105" s="14" t="s">
        <v>19</v>
      </c>
      <c r="B1105" s="16" t="s">
        <v>42</v>
      </c>
      <c r="C1105" s="25" t="s">
        <v>61</v>
      </c>
      <c r="D1105" s="168" t="s">
        <v>52</v>
      </c>
      <c r="E1105" s="38">
        <v>0</v>
      </c>
      <c r="F1105" s="39">
        <v>0</v>
      </c>
      <c r="G1105" s="40">
        <v>0</v>
      </c>
      <c r="H1105" s="41">
        <v>0</v>
      </c>
      <c r="I1105" s="42">
        <f t="shared" si="253"/>
        <v>0</v>
      </c>
      <c r="J1105" s="103" t="str">
        <f t="shared" si="254"/>
        <v/>
      </c>
      <c r="K1105" s="104" t="str">
        <f t="shared" si="254"/>
        <v/>
      </c>
      <c r="L1105" s="105" t="str">
        <f t="shared" si="254"/>
        <v/>
      </c>
      <c r="M1105" s="106" t="str">
        <f t="shared" si="241"/>
        <v/>
      </c>
    </row>
    <row r="1106" spans="1:14" s="3" customFormat="1" ht="30" customHeight="1" x14ac:dyDescent="0.25">
      <c r="A1106" s="14" t="s">
        <v>19</v>
      </c>
      <c r="B1106" s="16" t="s">
        <v>42</v>
      </c>
      <c r="C1106" s="25" t="s">
        <v>61</v>
      </c>
      <c r="D1106" s="168" t="s">
        <v>47</v>
      </c>
      <c r="E1106" s="38">
        <v>0</v>
      </c>
      <c r="F1106" s="39">
        <v>0</v>
      </c>
      <c r="G1106" s="40">
        <v>0</v>
      </c>
      <c r="H1106" s="41">
        <v>0</v>
      </c>
      <c r="I1106" s="42">
        <f t="shared" si="253"/>
        <v>0</v>
      </c>
      <c r="J1106" s="103" t="str">
        <f t="shared" si="254"/>
        <v/>
      </c>
      <c r="K1106" s="104" t="str">
        <f t="shared" si="254"/>
        <v/>
      </c>
      <c r="L1106" s="105" t="str">
        <f t="shared" si="254"/>
        <v/>
      </c>
      <c r="M1106" s="106" t="str">
        <f t="shared" si="241"/>
        <v/>
      </c>
    </row>
    <row r="1107" spans="1:14" s="3" customFormat="1" ht="30" customHeight="1" x14ac:dyDescent="0.25">
      <c r="A1107" s="14" t="s">
        <v>19</v>
      </c>
      <c r="B1107" s="16" t="s">
        <v>42</v>
      </c>
      <c r="C1107" s="25" t="s">
        <v>61</v>
      </c>
      <c r="D1107" s="168" t="s">
        <v>48</v>
      </c>
      <c r="E1107" s="38">
        <v>0</v>
      </c>
      <c r="F1107" s="39">
        <v>0</v>
      </c>
      <c r="G1107" s="40">
        <v>0</v>
      </c>
      <c r="H1107" s="41">
        <v>0</v>
      </c>
      <c r="I1107" s="42">
        <f t="shared" si="253"/>
        <v>0</v>
      </c>
      <c r="J1107" s="103" t="str">
        <f t="shared" si="254"/>
        <v/>
      </c>
      <c r="K1107" s="104" t="str">
        <f t="shared" si="254"/>
        <v/>
      </c>
      <c r="L1107" s="105" t="str">
        <f t="shared" si="254"/>
        <v/>
      </c>
      <c r="M1107" s="106" t="str">
        <f t="shared" si="241"/>
        <v/>
      </c>
    </row>
    <row r="1108" spans="1:14" s="3" customFormat="1" ht="30" customHeight="1" x14ac:dyDescent="0.25">
      <c r="A1108" s="14" t="s">
        <v>19</v>
      </c>
      <c r="B1108" s="16" t="s">
        <v>42</v>
      </c>
      <c r="C1108" s="25" t="s">
        <v>61</v>
      </c>
      <c r="D1108" s="168" t="s">
        <v>49</v>
      </c>
      <c r="E1108" s="38">
        <v>0</v>
      </c>
      <c r="F1108" s="39">
        <v>0</v>
      </c>
      <c r="G1108" s="40">
        <v>0</v>
      </c>
      <c r="H1108" s="41">
        <v>0</v>
      </c>
      <c r="I1108" s="42">
        <f t="shared" si="253"/>
        <v>0</v>
      </c>
      <c r="J1108" s="103" t="str">
        <f t="shared" si="254"/>
        <v/>
      </c>
      <c r="K1108" s="104" t="str">
        <f t="shared" si="254"/>
        <v/>
      </c>
      <c r="L1108" s="105" t="str">
        <f t="shared" si="254"/>
        <v/>
      </c>
      <c r="M1108" s="106" t="str">
        <f t="shared" si="241"/>
        <v/>
      </c>
    </row>
    <row r="1109" spans="1:14" s="3" customFormat="1" ht="30" customHeight="1" x14ac:dyDescent="0.25">
      <c r="A1109" s="14" t="s">
        <v>19</v>
      </c>
      <c r="B1109" s="16" t="s">
        <v>42</v>
      </c>
      <c r="C1109" s="25" t="s">
        <v>61</v>
      </c>
      <c r="D1109" s="168" t="s">
        <v>50</v>
      </c>
      <c r="E1109" s="38">
        <v>0</v>
      </c>
      <c r="F1109" s="39">
        <v>0</v>
      </c>
      <c r="G1109" s="40">
        <v>0</v>
      </c>
      <c r="H1109" s="41">
        <v>0</v>
      </c>
      <c r="I1109" s="42">
        <f t="shared" si="253"/>
        <v>0</v>
      </c>
      <c r="J1109" s="103" t="str">
        <f t="shared" si="254"/>
        <v/>
      </c>
      <c r="K1109" s="104" t="str">
        <f t="shared" si="254"/>
        <v/>
      </c>
      <c r="L1109" s="105" t="str">
        <f t="shared" si="254"/>
        <v/>
      </c>
      <c r="M1109" s="106" t="str">
        <f t="shared" si="241"/>
        <v/>
      </c>
    </row>
    <row r="1110" spans="1:14" s="8" customFormat="1" ht="30" customHeight="1" x14ac:dyDescent="0.25">
      <c r="A1110" s="14" t="s">
        <v>19</v>
      </c>
      <c r="B1110" s="16" t="s">
        <v>42</v>
      </c>
      <c r="C1110" s="25"/>
      <c r="D1110" s="9" t="s">
        <v>29</v>
      </c>
      <c r="E1110" s="38">
        <f>SUM(E1100:E1109)</f>
        <v>0</v>
      </c>
      <c r="F1110" s="39">
        <f t="shared" ref="F1110:I1110" si="255">SUM(F1100:F1109)</f>
        <v>0</v>
      </c>
      <c r="G1110" s="40">
        <f t="shared" si="255"/>
        <v>0</v>
      </c>
      <c r="H1110" s="41">
        <f t="shared" si="255"/>
        <v>0</v>
      </c>
      <c r="I1110" s="43">
        <f t="shared" si="255"/>
        <v>0</v>
      </c>
      <c r="J1110" s="103" t="str">
        <f>IFERROR(E1110/SUM($E1110:$H1110)*100,"")</f>
        <v/>
      </c>
      <c r="K1110" s="104" t="str">
        <f>IFERROR(F1110/SUM($E1110:$H1110)*100,"")</f>
        <v/>
      </c>
      <c r="L1110" s="105" t="str">
        <f>IFERROR(G1110/SUM($E1110:$H1110)*100,"")</f>
        <v/>
      </c>
      <c r="M1110" s="106" t="str">
        <f t="shared" si="241"/>
        <v/>
      </c>
      <c r="N1110" s="5" t="s">
        <v>1671</v>
      </c>
    </row>
    <row r="1111" spans="1:14" ht="5.0999999999999996" customHeight="1" x14ac:dyDescent="0.25">
      <c r="A1111" s="14" t="s">
        <v>19</v>
      </c>
      <c r="B1111" s="16" t="s">
        <v>42</v>
      </c>
      <c r="C1111"/>
      <c r="D1111" s="57"/>
      <c r="E1111" s="59"/>
      <c r="F1111" s="59"/>
      <c r="G1111" s="59"/>
      <c r="H1111" s="59"/>
      <c r="I1111" s="59"/>
      <c r="J1111" s="103"/>
      <c r="K1111" s="104"/>
      <c r="L1111" s="105"/>
      <c r="M1111" s="106" t="str">
        <f t="shared" si="241"/>
        <v/>
      </c>
    </row>
    <row r="1112" spans="1:14" s="7" customFormat="1" ht="20.100000000000001" customHeight="1" x14ac:dyDescent="0.25">
      <c r="A1112" s="14" t="s">
        <v>19</v>
      </c>
      <c r="B1112" s="16" t="s">
        <v>62</v>
      </c>
      <c r="C1112" s="25" t="s">
        <v>60</v>
      </c>
      <c r="D1112" s="62" t="s">
        <v>63</v>
      </c>
      <c r="E1112" s="63"/>
      <c r="F1112" s="63"/>
      <c r="G1112" s="63"/>
      <c r="H1112" s="63"/>
      <c r="I1112" s="64"/>
      <c r="J1112" s="103"/>
      <c r="K1112" s="104"/>
      <c r="L1112" s="105"/>
      <c r="M1112" s="106" t="str">
        <f t="shared" si="241"/>
        <v/>
      </c>
      <c r="N1112" s="5" t="s">
        <v>1673</v>
      </c>
    </row>
    <row r="1113" spans="1:14" s="8" customFormat="1" ht="30" customHeight="1" x14ac:dyDescent="0.25">
      <c r="A1113" s="14" t="s">
        <v>19</v>
      </c>
      <c r="B1113" s="16" t="s">
        <v>62</v>
      </c>
      <c r="C1113" s="25"/>
      <c r="D1113" s="168" t="s">
        <v>29</v>
      </c>
      <c r="E1113" s="38">
        <f>SUM(E1063,E1052,E1071,E1110,E1066,E1074,E1083,E1089,E1097,E1086)</f>
        <v>0</v>
      </c>
      <c r="F1113" s="39">
        <f>SUM(F1063,F1052,F1071,F1110,F1066,F1074,F1083,F1089,F1097,F1086)</f>
        <v>0</v>
      </c>
      <c r="G1113" s="40">
        <f>SUM(G1063,G1052,G1071,G1110,G1066,G1074,G1083,G1089,G1097,G1086)</f>
        <v>0</v>
      </c>
      <c r="H1113" s="41">
        <f>SUM(H1063,H1052,H1071,H1110,H1066,H1074,H1083,H1089,H1097,H1086)</f>
        <v>0</v>
      </c>
      <c r="I1113" s="42">
        <f>SUM(I1063,I1052,I1071,I1110,I1066,I1074,I1083,I1089,I1097,I1086)</f>
        <v>0</v>
      </c>
      <c r="J1113" s="103" t="str">
        <f>IFERROR(E1113/SUM($E1113:$H1113)*100,"")</f>
        <v/>
      </c>
      <c r="K1113" s="104" t="str">
        <f>IFERROR(F1113/SUM($E1113:$H1113)*100,"")</f>
        <v/>
      </c>
      <c r="L1113" s="105" t="str">
        <f>IFERROR(G1113/SUM($E1113:$H1113)*100,"")</f>
        <v/>
      </c>
      <c r="M1113" s="106" t="str">
        <f t="shared" si="241"/>
        <v/>
      </c>
      <c r="N1113" s="5" t="s">
        <v>1671</v>
      </c>
    </row>
    <row r="1114" spans="1:14" s="5" customFormat="1" ht="20.100000000000001" customHeight="1" x14ac:dyDescent="0.25">
      <c r="A1114" s="14" t="s">
        <v>19</v>
      </c>
      <c r="B1114" s="14"/>
      <c r="C1114" s="25" t="s">
        <v>60</v>
      </c>
      <c r="D1114" s="58"/>
      <c r="E1114" s="60"/>
      <c r="F1114" s="60"/>
      <c r="G1114" s="60"/>
      <c r="H1114" s="60"/>
      <c r="I1114" s="60"/>
      <c r="J1114" s="103"/>
      <c r="K1114" s="104"/>
      <c r="L1114" s="105"/>
      <c r="M1114" s="106"/>
    </row>
  </sheetData>
  <mergeCells count="5">
    <mergeCell ref="H1:I1"/>
    <mergeCell ref="D2:I2"/>
    <mergeCell ref="D3:I3"/>
    <mergeCell ref="D4:I4"/>
    <mergeCell ref="D5:D6"/>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63"/>
  <sheetViews>
    <sheetView showGridLines="0" zoomScale="85" zoomScaleNormal="85" workbookViewId="0">
      <pane ySplit="5" topLeftCell="A57" activePane="bottomLeft" state="frozen"/>
      <selection pane="bottomLeft" activeCell="K47" sqref="K47"/>
    </sheetView>
  </sheetViews>
  <sheetFormatPr defaultRowHeight="15" x14ac:dyDescent="0.25"/>
  <cols>
    <col min="1" max="1" width="9.140625" style="13"/>
    <col min="2" max="2" width="8" style="13" bestFit="1" customWidth="1"/>
    <col min="3" max="3" width="0.85546875" style="13" customWidth="1"/>
    <col min="4" max="4" width="40.7109375" style="19" customWidth="1"/>
    <col min="5" max="5" width="11.85546875" style="19" customWidth="1"/>
    <col min="6" max="6" width="11.85546875" style="171" customWidth="1"/>
    <col min="7" max="8" width="12.7109375" style="19" customWidth="1"/>
  </cols>
  <sheetData>
    <row r="1" spans="1:9" ht="39.950000000000003" customHeight="1" x14ac:dyDescent="0.25">
      <c r="D1" s="197" t="s">
        <v>73</v>
      </c>
      <c r="E1" s="197"/>
      <c r="F1" s="197"/>
      <c r="G1" s="180"/>
      <c r="H1" s="180"/>
    </row>
    <row r="2" spans="1:9" s="5" customFormat="1" ht="5.0999999999999996" customHeight="1" x14ac:dyDescent="0.25">
      <c r="A2" s="14"/>
      <c r="B2" s="14"/>
      <c r="C2" s="14"/>
      <c r="D2" s="11"/>
      <c r="E2" s="7"/>
      <c r="F2" s="67"/>
      <c r="G2" s="7"/>
      <c r="H2" s="10"/>
      <c r="I2" s="10"/>
    </row>
    <row r="3" spans="1:9" s="2" customFormat="1" ht="15" customHeight="1" x14ac:dyDescent="0.25">
      <c r="A3" s="15"/>
      <c r="B3" s="15"/>
      <c r="C3" s="15"/>
      <c r="D3" s="198" t="s">
        <v>72</v>
      </c>
      <c r="E3" s="198"/>
      <c r="F3" s="201" t="s">
        <v>58</v>
      </c>
      <c r="G3" s="27" t="s">
        <v>30</v>
      </c>
      <c r="H3" s="28" t="s">
        <v>32</v>
      </c>
    </row>
    <row r="4" spans="1:9" s="2" customFormat="1" ht="15" customHeight="1" x14ac:dyDescent="0.25">
      <c r="A4" s="15"/>
      <c r="B4" s="15"/>
      <c r="C4" s="15"/>
      <c r="D4" s="198"/>
      <c r="E4" s="198"/>
      <c r="F4" s="201"/>
      <c r="G4" s="29" t="s">
        <v>54</v>
      </c>
      <c r="H4" s="30" t="s">
        <v>59</v>
      </c>
    </row>
    <row r="5" spans="1:9" s="13" customFormat="1" ht="5.0999999999999996" customHeight="1" x14ac:dyDescent="0.25">
      <c r="D5" s="19"/>
      <c r="E5" s="19"/>
      <c r="F5" s="4"/>
      <c r="G5" s="19"/>
      <c r="H5" s="19"/>
    </row>
    <row r="6" spans="1:9" s="5" customFormat="1" ht="20.100000000000001" customHeight="1" x14ac:dyDescent="0.25">
      <c r="A6" s="14" t="s">
        <v>53</v>
      </c>
      <c r="B6" s="16" t="s">
        <v>20</v>
      </c>
      <c r="C6" s="16"/>
      <c r="D6" s="6" t="s">
        <v>20</v>
      </c>
      <c r="E6" s="73"/>
      <c r="F6" s="74"/>
      <c r="G6" s="73"/>
      <c r="H6" s="48"/>
      <c r="I6" s="65"/>
    </row>
    <row r="7" spans="1:9" s="3" customFormat="1" ht="30" customHeight="1" x14ac:dyDescent="0.25">
      <c r="A7" s="14" t="s">
        <v>53</v>
      </c>
      <c r="B7" s="16" t="s">
        <v>20</v>
      </c>
      <c r="C7" s="16"/>
      <c r="D7" s="194" t="s">
        <v>25</v>
      </c>
      <c r="E7" s="194"/>
      <c r="F7" s="75"/>
      <c r="G7" s="191"/>
      <c r="H7" s="191"/>
    </row>
    <row r="8" spans="1:9" ht="9.9499999999999993" customHeight="1" x14ac:dyDescent="0.25">
      <c r="A8" s="14" t="s">
        <v>53</v>
      </c>
      <c r="B8" s="16" t="s">
        <v>20</v>
      </c>
      <c r="D8" s="57"/>
      <c r="E8" s="57"/>
      <c r="F8" s="72"/>
      <c r="G8" s="57"/>
      <c r="H8" s="57"/>
    </row>
    <row r="9" spans="1:9" s="5" customFormat="1" ht="20.100000000000001" customHeight="1" x14ac:dyDescent="0.25">
      <c r="A9" s="14" t="s">
        <v>53</v>
      </c>
      <c r="B9" s="16" t="s">
        <v>26</v>
      </c>
      <c r="C9" s="16"/>
      <c r="D9" s="17" t="s">
        <v>98</v>
      </c>
      <c r="E9" s="68"/>
      <c r="F9" s="69"/>
      <c r="G9" s="68"/>
      <c r="H9" s="55"/>
    </row>
    <row r="10" spans="1:9" s="3" customFormat="1" ht="30" customHeight="1" x14ac:dyDescent="0.25">
      <c r="A10" s="14" t="s">
        <v>53</v>
      </c>
      <c r="B10" s="16" t="s">
        <v>26</v>
      </c>
      <c r="C10" s="16"/>
      <c r="D10" s="202" t="s">
        <v>21</v>
      </c>
      <c r="E10" s="203"/>
      <c r="F10" s="70"/>
      <c r="G10" s="191"/>
      <c r="H10" s="191"/>
    </row>
    <row r="11" spans="1:9" s="3" customFormat="1" ht="30" customHeight="1" x14ac:dyDescent="0.25">
      <c r="A11" s="14" t="s">
        <v>53</v>
      </c>
      <c r="B11" s="16" t="s">
        <v>26</v>
      </c>
      <c r="C11" s="16"/>
      <c r="D11" s="202" t="s">
        <v>22</v>
      </c>
      <c r="E11" s="203"/>
      <c r="F11" s="70"/>
      <c r="G11" s="200"/>
      <c r="H11" s="191"/>
    </row>
    <row r="12" spans="1:9" s="3" customFormat="1" ht="30" customHeight="1" x14ac:dyDescent="0.25">
      <c r="A12" s="14" t="s">
        <v>53</v>
      </c>
      <c r="B12" s="16" t="s">
        <v>26</v>
      </c>
      <c r="C12" s="16"/>
      <c r="D12" s="202" t="s">
        <v>27</v>
      </c>
      <c r="E12" s="203"/>
      <c r="F12" s="70"/>
      <c r="G12" s="200"/>
      <c r="H12" s="191"/>
    </row>
    <row r="13" spans="1:9" s="3" customFormat="1" ht="30" customHeight="1" x14ac:dyDescent="0.25">
      <c r="A13" s="14" t="s">
        <v>53</v>
      </c>
      <c r="B13" s="16" t="s">
        <v>26</v>
      </c>
      <c r="C13" s="16"/>
      <c r="D13" s="202" t="s">
        <v>23</v>
      </c>
      <c r="E13" s="203"/>
      <c r="F13" s="70"/>
      <c r="G13" s="200"/>
      <c r="H13" s="191"/>
    </row>
    <row r="14" spans="1:9" s="3" customFormat="1" ht="30" customHeight="1" x14ac:dyDescent="0.25">
      <c r="A14" s="14" t="s">
        <v>53</v>
      </c>
      <c r="B14" s="16" t="s">
        <v>26</v>
      </c>
      <c r="C14" s="16"/>
      <c r="D14" s="202" t="s">
        <v>24</v>
      </c>
      <c r="E14" s="203"/>
      <c r="F14" s="70"/>
      <c r="G14" s="200"/>
      <c r="H14" s="191"/>
    </row>
    <row r="15" spans="1:9" s="3" customFormat="1" ht="30" customHeight="1" x14ac:dyDescent="0.25">
      <c r="A15" s="14" t="s">
        <v>53</v>
      </c>
      <c r="B15" s="16" t="s">
        <v>26</v>
      </c>
      <c r="C15" s="16"/>
      <c r="D15" s="205" t="s">
        <v>41</v>
      </c>
      <c r="E15" s="206"/>
      <c r="F15" s="70"/>
      <c r="G15" s="200"/>
      <c r="H15" s="191"/>
    </row>
    <row r="16" spans="1:9" s="3" customFormat="1" ht="30" customHeight="1" x14ac:dyDescent="0.25">
      <c r="A16" s="14" t="s">
        <v>53</v>
      </c>
      <c r="B16" s="16" t="s">
        <v>26</v>
      </c>
      <c r="C16" s="16"/>
      <c r="D16" s="202" t="s">
        <v>28</v>
      </c>
      <c r="E16" s="203"/>
      <c r="F16" s="70"/>
      <c r="G16" s="200"/>
      <c r="H16" s="191"/>
    </row>
    <row r="17" spans="1:9" s="3" customFormat="1" ht="30" customHeight="1" x14ac:dyDescent="0.25">
      <c r="A17" s="14" t="s">
        <v>53</v>
      </c>
      <c r="B17" s="16" t="s">
        <v>26</v>
      </c>
      <c r="C17" s="16"/>
      <c r="D17" s="204" t="s">
        <v>40</v>
      </c>
      <c r="E17" s="204"/>
      <c r="F17" s="71"/>
      <c r="G17" s="191"/>
      <c r="H17" s="191"/>
      <c r="I17" s="18"/>
    </row>
    <row r="18" spans="1:9" ht="9.9499999999999993" customHeight="1" x14ac:dyDescent="0.25">
      <c r="A18" s="14" t="s">
        <v>53</v>
      </c>
      <c r="B18" s="16" t="s">
        <v>26</v>
      </c>
      <c r="D18" s="57"/>
      <c r="E18" s="57"/>
      <c r="F18" s="72"/>
      <c r="G18" s="57"/>
      <c r="H18" s="57"/>
    </row>
    <row r="19" spans="1:9" s="5" customFormat="1" ht="20.100000000000001" customHeight="1" x14ac:dyDescent="0.25">
      <c r="A19" s="14" t="s">
        <v>53</v>
      </c>
      <c r="B19" s="16" t="s">
        <v>64</v>
      </c>
      <c r="C19" s="16"/>
      <c r="D19" s="6" t="s">
        <v>65</v>
      </c>
      <c r="E19" s="73"/>
      <c r="F19" s="74"/>
      <c r="G19" s="73"/>
      <c r="H19" s="48"/>
    </row>
    <row r="20" spans="1:9" s="3" customFormat="1" ht="30" customHeight="1" x14ac:dyDescent="0.25">
      <c r="A20" s="14" t="s">
        <v>53</v>
      </c>
      <c r="B20" s="16" t="s">
        <v>64</v>
      </c>
      <c r="C20" s="16"/>
      <c r="D20" s="195" t="s">
        <v>66</v>
      </c>
      <c r="E20" s="196"/>
      <c r="F20" s="88"/>
      <c r="G20" s="191"/>
      <c r="H20" s="199"/>
      <c r="I20" s="18"/>
    </row>
    <row r="21" spans="1:9" ht="9.9499999999999993" customHeight="1" x14ac:dyDescent="0.25">
      <c r="A21" s="14" t="s">
        <v>53</v>
      </c>
      <c r="B21" s="16" t="s">
        <v>64</v>
      </c>
      <c r="D21" s="90"/>
      <c r="E21" s="90"/>
      <c r="F21" s="89"/>
      <c r="G21" s="57"/>
      <c r="H21" s="57"/>
    </row>
    <row r="22" spans="1:9" s="5" customFormat="1" ht="20.100000000000001" customHeight="1" x14ac:dyDescent="0.25">
      <c r="A22" s="14" t="s">
        <v>53</v>
      </c>
      <c r="B22" s="16" t="s">
        <v>55</v>
      </c>
      <c r="C22" s="16"/>
      <c r="D22" s="54" t="s">
        <v>55</v>
      </c>
      <c r="E22" s="76"/>
      <c r="F22" s="77"/>
      <c r="G22" s="76"/>
      <c r="H22" s="56"/>
    </row>
    <row r="23" spans="1:9" s="3" customFormat="1" ht="30" customHeight="1" x14ac:dyDescent="0.25">
      <c r="A23" s="14" t="s">
        <v>53</v>
      </c>
      <c r="B23" s="16" t="s">
        <v>55</v>
      </c>
      <c r="C23" s="16"/>
      <c r="D23" s="194" t="s">
        <v>56</v>
      </c>
      <c r="E23" s="194"/>
      <c r="F23" s="75"/>
      <c r="G23" s="191"/>
      <c r="H23" s="191"/>
    </row>
    <row r="24" spans="1:9" s="3" customFormat="1" ht="30" customHeight="1" x14ac:dyDescent="0.25">
      <c r="A24" s="14" t="s">
        <v>53</v>
      </c>
      <c r="B24" s="16" t="s">
        <v>55</v>
      </c>
      <c r="C24" s="16"/>
      <c r="D24" s="194" t="s">
        <v>57</v>
      </c>
      <c r="E24" s="194"/>
      <c r="F24" s="75"/>
      <c r="G24" s="191"/>
      <c r="H24" s="191"/>
    </row>
    <row r="25" spans="1:9" ht="9.9499999999999993" customHeight="1" x14ac:dyDescent="0.25">
      <c r="A25" s="14" t="s">
        <v>53</v>
      </c>
      <c r="B25" s="16" t="s">
        <v>55</v>
      </c>
      <c r="D25" s="57"/>
      <c r="E25" s="57"/>
      <c r="F25" s="72"/>
      <c r="G25" s="57"/>
      <c r="H25" s="57"/>
    </row>
    <row r="26" spans="1:9" s="5" customFormat="1" ht="20.100000000000001" customHeight="1" x14ac:dyDescent="0.25">
      <c r="A26" s="14" t="s">
        <v>53</v>
      </c>
      <c r="B26" s="16" t="s">
        <v>74</v>
      </c>
      <c r="C26" s="16"/>
      <c r="D26" s="6" t="s">
        <v>75</v>
      </c>
      <c r="E26" s="73"/>
      <c r="F26" s="74"/>
      <c r="G26" s="73"/>
      <c r="H26" s="48"/>
    </row>
    <row r="27" spans="1:9" s="3" customFormat="1" ht="30" customHeight="1" x14ac:dyDescent="0.25">
      <c r="A27" s="14" t="s">
        <v>53</v>
      </c>
      <c r="B27" s="16" t="s">
        <v>74</v>
      </c>
      <c r="C27" s="16"/>
      <c r="D27" s="207" t="s">
        <v>77</v>
      </c>
      <c r="E27" s="207"/>
      <c r="F27" s="75"/>
      <c r="G27" s="191"/>
      <c r="H27" s="191"/>
      <c r="I27" s="66"/>
    </row>
    <row r="28" spans="1:9" ht="9.9499999999999993" customHeight="1" x14ac:dyDescent="0.25">
      <c r="A28" s="14" t="s">
        <v>53</v>
      </c>
      <c r="B28" s="16" t="s">
        <v>74</v>
      </c>
      <c r="D28" s="57"/>
      <c r="E28" s="57"/>
      <c r="F28" s="72"/>
      <c r="G28" s="57"/>
      <c r="H28" s="57"/>
    </row>
    <row r="29" spans="1:9" s="5" customFormat="1" ht="20.100000000000001" customHeight="1" x14ac:dyDescent="0.25">
      <c r="A29" s="14" t="s">
        <v>53</v>
      </c>
      <c r="B29" s="16" t="s">
        <v>78</v>
      </c>
      <c r="C29" s="16"/>
      <c r="D29" s="6" t="s">
        <v>80</v>
      </c>
      <c r="E29" s="73"/>
      <c r="F29" s="74"/>
      <c r="G29" s="73"/>
      <c r="H29" s="48"/>
    </row>
    <row r="30" spans="1:9" s="3" customFormat="1" ht="30" customHeight="1" x14ac:dyDescent="0.25">
      <c r="A30" s="14" t="s">
        <v>53</v>
      </c>
      <c r="B30" s="16" t="s">
        <v>78</v>
      </c>
      <c r="C30" s="16"/>
      <c r="D30" s="207" t="s">
        <v>81</v>
      </c>
      <c r="E30" s="207"/>
      <c r="F30" s="75"/>
      <c r="G30" s="191"/>
      <c r="H30" s="191"/>
      <c r="I30" s="66"/>
    </row>
    <row r="31" spans="1:9" s="3" customFormat="1" ht="30" customHeight="1" x14ac:dyDescent="0.25">
      <c r="A31" s="14" t="s">
        <v>53</v>
      </c>
      <c r="B31" s="16" t="s">
        <v>78</v>
      </c>
      <c r="C31" s="16"/>
      <c r="D31" s="207" t="s">
        <v>82</v>
      </c>
      <c r="E31" s="207"/>
      <c r="F31" s="75"/>
      <c r="G31" s="191"/>
      <c r="H31" s="191"/>
      <c r="I31" s="66"/>
    </row>
    <row r="32" spans="1:9" s="3" customFormat="1" ht="30" customHeight="1" x14ac:dyDescent="0.25">
      <c r="A32" s="14" t="s">
        <v>53</v>
      </c>
      <c r="B32" s="16" t="s">
        <v>78</v>
      </c>
      <c r="C32" s="16"/>
      <c r="D32" s="207" t="s">
        <v>83</v>
      </c>
      <c r="E32" s="207"/>
      <c r="F32" s="75"/>
      <c r="G32" s="191"/>
      <c r="H32" s="191"/>
      <c r="I32" s="66"/>
    </row>
    <row r="33" spans="1:9" s="3" customFormat="1" ht="30" customHeight="1" x14ac:dyDescent="0.25">
      <c r="A33" s="14" t="s">
        <v>53</v>
      </c>
      <c r="B33" s="16" t="s">
        <v>78</v>
      </c>
      <c r="C33" s="16"/>
      <c r="D33" s="209" t="s">
        <v>88</v>
      </c>
      <c r="E33" s="207"/>
      <c r="F33" s="75"/>
      <c r="G33" s="191"/>
      <c r="H33" s="191"/>
      <c r="I33" s="66"/>
    </row>
    <row r="34" spans="1:9" s="3" customFormat="1" ht="30" customHeight="1" x14ac:dyDescent="0.25">
      <c r="A34" s="14" t="s">
        <v>53</v>
      </c>
      <c r="B34" s="16" t="s">
        <v>78</v>
      </c>
      <c r="C34" s="16"/>
      <c r="D34" s="207" t="s">
        <v>87</v>
      </c>
      <c r="E34" s="207"/>
      <c r="F34" s="75"/>
      <c r="G34" s="191"/>
      <c r="H34" s="191"/>
      <c r="I34" s="66"/>
    </row>
    <row r="35" spans="1:9" s="3" customFormat="1" ht="30" customHeight="1" x14ac:dyDescent="0.25">
      <c r="A35" s="14" t="s">
        <v>53</v>
      </c>
      <c r="B35" s="16" t="s">
        <v>78</v>
      </c>
      <c r="C35" s="16"/>
      <c r="D35" s="207" t="s">
        <v>84</v>
      </c>
      <c r="E35" s="207"/>
      <c r="F35" s="75"/>
      <c r="G35" s="191"/>
      <c r="H35" s="191"/>
      <c r="I35" s="66"/>
    </row>
    <row r="36" spans="1:9" s="3" customFormat="1" ht="30" customHeight="1" x14ac:dyDescent="0.25">
      <c r="A36" s="14" t="s">
        <v>53</v>
      </c>
      <c r="B36" s="16" t="s">
        <v>78</v>
      </c>
      <c r="C36" s="16"/>
      <c r="D36" s="207" t="s">
        <v>79</v>
      </c>
      <c r="E36" s="207"/>
      <c r="F36" s="75"/>
      <c r="G36" s="191"/>
      <c r="H36" s="191"/>
      <c r="I36" s="66"/>
    </row>
    <row r="37" spans="1:9" s="3" customFormat="1" ht="30" customHeight="1" x14ac:dyDescent="0.25">
      <c r="A37" s="14" t="s">
        <v>53</v>
      </c>
      <c r="B37" s="16" t="s">
        <v>78</v>
      </c>
      <c r="C37" s="16"/>
      <c r="D37" s="207" t="s">
        <v>85</v>
      </c>
      <c r="E37" s="207"/>
      <c r="F37" s="75"/>
      <c r="G37" s="191"/>
      <c r="H37" s="191"/>
      <c r="I37" s="66"/>
    </row>
    <row r="38" spans="1:9" ht="9.9499999999999993" customHeight="1" x14ac:dyDescent="0.25">
      <c r="A38" s="14" t="s">
        <v>53</v>
      </c>
      <c r="B38" s="16" t="s">
        <v>78</v>
      </c>
      <c r="D38" s="57"/>
      <c r="E38" s="57"/>
      <c r="F38" s="72"/>
      <c r="G38" s="57"/>
      <c r="H38" s="57"/>
    </row>
    <row r="39" spans="1:9" s="5" customFormat="1" ht="20.100000000000001" customHeight="1" x14ac:dyDescent="0.25">
      <c r="A39" s="14" t="s">
        <v>53</v>
      </c>
      <c r="B39" s="16" t="s">
        <v>1642</v>
      </c>
      <c r="C39" s="16"/>
      <c r="D39" s="6" t="s">
        <v>1644</v>
      </c>
      <c r="E39" s="73"/>
      <c r="F39" s="74"/>
      <c r="G39" s="73"/>
      <c r="H39" s="48"/>
    </row>
    <row r="40" spans="1:9" s="3" customFormat="1" ht="30" customHeight="1" x14ac:dyDescent="0.25">
      <c r="A40" s="14" t="s">
        <v>53</v>
      </c>
      <c r="B40" s="16" t="s">
        <v>1642</v>
      </c>
      <c r="C40" s="16"/>
      <c r="D40" s="189" t="s">
        <v>1643</v>
      </c>
      <c r="E40" s="190"/>
      <c r="F40" s="75"/>
      <c r="G40" s="191"/>
      <c r="H40" s="191"/>
      <c r="I40" s="66"/>
    </row>
    <row r="41" spans="1:9" ht="9.9499999999999993" customHeight="1" x14ac:dyDescent="0.25">
      <c r="A41" s="14" t="s">
        <v>53</v>
      </c>
      <c r="B41" s="16" t="s">
        <v>1642</v>
      </c>
      <c r="D41" s="57"/>
      <c r="E41" s="57"/>
      <c r="F41" s="72"/>
      <c r="G41" s="57"/>
      <c r="H41" s="57"/>
    </row>
    <row r="42" spans="1:9" s="5" customFormat="1" ht="20.100000000000001" customHeight="1" x14ac:dyDescent="0.25">
      <c r="A42" s="14" t="s">
        <v>53</v>
      </c>
      <c r="B42" s="16" t="s">
        <v>91</v>
      </c>
      <c r="C42" s="16"/>
      <c r="D42" s="6" t="s">
        <v>89</v>
      </c>
      <c r="E42" s="73"/>
      <c r="F42" s="74"/>
      <c r="G42" s="73"/>
      <c r="H42" s="48"/>
    </row>
    <row r="43" spans="1:9" s="3" customFormat="1" ht="30" customHeight="1" x14ac:dyDescent="0.25">
      <c r="A43" s="14" t="s">
        <v>53</v>
      </c>
      <c r="B43" s="16" t="s">
        <v>91</v>
      </c>
      <c r="C43" s="16"/>
      <c r="D43" s="189" t="s">
        <v>90</v>
      </c>
      <c r="E43" s="190"/>
      <c r="F43" s="75"/>
      <c r="G43" s="191"/>
      <c r="H43" s="191"/>
      <c r="I43" s="66"/>
    </row>
    <row r="44" spans="1:9" ht="9.9499999999999993" customHeight="1" x14ac:dyDescent="0.25">
      <c r="A44" s="14" t="s">
        <v>53</v>
      </c>
      <c r="B44" s="16" t="s">
        <v>91</v>
      </c>
      <c r="D44" s="57"/>
      <c r="E44" s="57"/>
      <c r="F44" s="72"/>
      <c r="G44" s="57"/>
      <c r="H44" s="57"/>
    </row>
    <row r="45" spans="1:9" s="5" customFormat="1" ht="20.100000000000001" customHeight="1" x14ac:dyDescent="0.25">
      <c r="A45" s="14" t="s">
        <v>53</v>
      </c>
      <c r="B45" s="16" t="s">
        <v>1637</v>
      </c>
      <c r="C45" s="16"/>
      <c r="D45" s="6" t="s">
        <v>1636</v>
      </c>
      <c r="E45" s="73"/>
      <c r="F45" s="74"/>
      <c r="G45" s="73"/>
      <c r="H45" s="48"/>
    </row>
    <row r="46" spans="1:9" s="3" customFormat="1" ht="30" customHeight="1" x14ac:dyDescent="0.25">
      <c r="A46" s="14" t="s">
        <v>53</v>
      </c>
      <c r="B46" s="16" t="s">
        <v>1637</v>
      </c>
      <c r="C46" s="16"/>
      <c r="D46" s="194" t="s">
        <v>1638</v>
      </c>
      <c r="E46" s="194"/>
      <c r="F46" s="75"/>
      <c r="G46" s="191"/>
      <c r="H46" s="191"/>
    </row>
    <row r="47" spans="1:9" s="3" customFormat="1" ht="30" customHeight="1" x14ac:dyDescent="0.25">
      <c r="A47" s="14" t="s">
        <v>53</v>
      </c>
      <c r="B47" s="16" t="s">
        <v>1637</v>
      </c>
      <c r="C47" s="16"/>
      <c r="D47" s="194" t="s">
        <v>1669</v>
      </c>
      <c r="E47" s="194"/>
      <c r="F47" s="75"/>
      <c r="G47" s="191"/>
      <c r="H47" s="191"/>
    </row>
    <row r="48" spans="1:9" s="3" customFormat="1" ht="30" customHeight="1" x14ac:dyDescent="0.25">
      <c r="A48" s="14" t="s">
        <v>53</v>
      </c>
      <c r="B48" s="16" t="s">
        <v>1637</v>
      </c>
      <c r="C48" s="16"/>
      <c r="D48" s="192" t="s">
        <v>1640</v>
      </c>
      <c r="E48" s="193"/>
      <c r="F48" s="75"/>
      <c r="G48" s="191"/>
      <c r="H48" s="191"/>
    </row>
    <row r="49" spans="1:8" s="3" customFormat="1" ht="30" customHeight="1" x14ac:dyDescent="0.25">
      <c r="A49" s="14" t="s">
        <v>53</v>
      </c>
      <c r="B49" s="16" t="s">
        <v>1637</v>
      </c>
      <c r="C49" s="16"/>
      <c r="D49" s="192" t="s">
        <v>1639</v>
      </c>
      <c r="E49" s="193"/>
      <c r="F49" s="75"/>
      <c r="G49" s="191"/>
      <c r="H49" s="191"/>
    </row>
    <row r="50" spans="1:8" s="3" customFormat="1" ht="30" customHeight="1" x14ac:dyDescent="0.25">
      <c r="A50" s="14" t="s">
        <v>53</v>
      </c>
      <c r="B50" s="16" t="s">
        <v>1637</v>
      </c>
      <c r="C50" s="16"/>
      <c r="D50" s="194" t="s">
        <v>1641</v>
      </c>
      <c r="E50" s="194"/>
      <c r="F50" s="75"/>
      <c r="G50" s="191"/>
      <c r="H50" s="191"/>
    </row>
    <row r="51" spans="1:8" ht="9.9499999999999993" customHeight="1" x14ac:dyDescent="0.25">
      <c r="A51" s="14" t="s">
        <v>53</v>
      </c>
      <c r="B51" s="16" t="s">
        <v>1637</v>
      </c>
      <c r="D51" s="57"/>
      <c r="E51" s="57"/>
      <c r="F51" s="72"/>
      <c r="G51" s="57"/>
      <c r="H51" s="57"/>
    </row>
    <row r="52" spans="1:8" s="5" customFormat="1" ht="20.100000000000001" customHeight="1" x14ac:dyDescent="0.25">
      <c r="A52" s="14" t="s">
        <v>53</v>
      </c>
      <c r="B52" s="16" t="s">
        <v>42</v>
      </c>
      <c r="C52" s="16"/>
      <c r="D52" s="6" t="s">
        <v>1744</v>
      </c>
      <c r="E52" s="73"/>
      <c r="F52" s="74"/>
      <c r="G52" s="73"/>
      <c r="H52" s="48"/>
    </row>
    <row r="53" spans="1:8" s="3" customFormat="1" ht="30" customHeight="1" x14ac:dyDescent="0.25">
      <c r="A53" s="14" t="s">
        <v>53</v>
      </c>
      <c r="B53" s="16" t="s">
        <v>42</v>
      </c>
      <c r="C53" s="16"/>
      <c r="D53" s="208" t="s">
        <v>43</v>
      </c>
      <c r="E53" s="208"/>
      <c r="F53" s="75"/>
      <c r="G53" s="191"/>
      <c r="H53" s="191"/>
    </row>
    <row r="54" spans="1:8" s="3" customFormat="1" ht="30" customHeight="1" x14ac:dyDescent="0.25">
      <c r="A54" s="14" t="s">
        <v>53</v>
      </c>
      <c r="B54" s="16" t="s">
        <v>42</v>
      </c>
      <c r="C54" s="16"/>
      <c r="D54" s="208" t="s">
        <v>44</v>
      </c>
      <c r="E54" s="208"/>
      <c r="F54" s="75"/>
      <c r="G54" s="191"/>
      <c r="H54" s="191"/>
    </row>
    <row r="55" spans="1:8" s="3" customFormat="1" ht="30" customHeight="1" x14ac:dyDescent="0.25">
      <c r="A55" s="14" t="s">
        <v>53</v>
      </c>
      <c r="B55" s="16" t="s">
        <v>42</v>
      </c>
      <c r="C55" s="16"/>
      <c r="D55" s="208" t="s">
        <v>45</v>
      </c>
      <c r="E55" s="208"/>
      <c r="F55" s="75"/>
      <c r="G55" s="191"/>
      <c r="H55" s="191"/>
    </row>
    <row r="56" spans="1:8" s="3" customFormat="1" ht="30" customHeight="1" x14ac:dyDescent="0.25">
      <c r="A56" s="14" t="s">
        <v>53</v>
      </c>
      <c r="B56" s="16" t="s">
        <v>42</v>
      </c>
      <c r="C56" s="16"/>
      <c r="D56" s="208" t="s">
        <v>46</v>
      </c>
      <c r="E56" s="208"/>
      <c r="F56" s="75"/>
      <c r="G56" s="191"/>
      <c r="H56" s="191"/>
    </row>
    <row r="57" spans="1:8" s="3" customFormat="1" ht="30" customHeight="1" x14ac:dyDescent="0.25">
      <c r="A57" s="14" t="s">
        <v>53</v>
      </c>
      <c r="B57" s="16" t="s">
        <v>42</v>
      </c>
      <c r="C57" s="16"/>
      <c r="D57" s="208" t="s">
        <v>51</v>
      </c>
      <c r="E57" s="208"/>
      <c r="F57" s="75"/>
      <c r="G57" s="191"/>
      <c r="H57" s="191"/>
    </row>
    <row r="58" spans="1:8" s="3" customFormat="1" ht="30" customHeight="1" x14ac:dyDescent="0.25">
      <c r="A58" s="14" t="s">
        <v>53</v>
      </c>
      <c r="B58" s="16" t="s">
        <v>42</v>
      </c>
      <c r="C58" s="16"/>
      <c r="D58" s="208" t="s">
        <v>52</v>
      </c>
      <c r="E58" s="208"/>
      <c r="F58" s="75"/>
      <c r="G58" s="191"/>
      <c r="H58" s="191"/>
    </row>
    <row r="59" spans="1:8" s="3" customFormat="1" ht="30" customHeight="1" x14ac:dyDescent="0.25">
      <c r="A59" s="14" t="s">
        <v>53</v>
      </c>
      <c r="B59" s="16" t="s">
        <v>42</v>
      </c>
      <c r="C59" s="16"/>
      <c r="D59" s="208" t="s">
        <v>47</v>
      </c>
      <c r="E59" s="208"/>
      <c r="F59" s="75"/>
      <c r="G59" s="191"/>
      <c r="H59" s="191"/>
    </row>
    <row r="60" spans="1:8" s="3" customFormat="1" ht="30" customHeight="1" x14ac:dyDescent="0.25">
      <c r="A60" s="14" t="s">
        <v>53</v>
      </c>
      <c r="B60" s="16" t="s">
        <v>42</v>
      </c>
      <c r="C60" s="16"/>
      <c r="D60" s="208" t="s">
        <v>48</v>
      </c>
      <c r="E60" s="208"/>
      <c r="F60" s="75"/>
      <c r="G60" s="191"/>
      <c r="H60" s="191"/>
    </row>
    <row r="61" spans="1:8" s="3" customFormat="1" ht="30" customHeight="1" x14ac:dyDescent="0.25">
      <c r="A61" s="14" t="s">
        <v>53</v>
      </c>
      <c r="B61" s="16" t="s">
        <v>42</v>
      </c>
      <c r="C61" s="16"/>
      <c r="D61" s="208" t="s">
        <v>49</v>
      </c>
      <c r="E61" s="208"/>
      <c r="F61" s="75"/>
      <c r="G61" s="191"/>
      <c r="H61" s="191"/>
    </row>
    <row r="62" spans="1:8" s="3" customFormat="1" ht="30" customHeight="1" x14ac:dyDescent="0.25">
      <c r="A62" s="14" t="s">
        <v>53</v>
      </c>
      <c r="B62" s="16" t="s">
        <v>42</v>
      </c>
      <c r="C62" s="16"/>
      <c r="D62" s="208" t="s">
        <v>50</v>
      </c>
      <c r="E62" s="208"/>
      <c r="F62" s="75"/>
      <c r="G62" s="191"/>
      <c r="H62" s="191"/>
    </row>
    <row r="63" spans="1:8" ht="9.9499999999999993" customHeight="1" x14ac:dyDescent="0.25">
      <c r="A63" s="14" t="s">
        <v>53</v>
      </c>
      <c r="B63" s="16" t="s">
        <v>42</v>
      </c>
    </row>
  </sheetData>
  <mergeCells count="80">
    <mergeCell ref="D62:E62"/>
    <mergeCell ref="G62:H62"/>
    <mergeCell ref="D59:E59"/>
    <mergeCell ref="G59:H59"/>
    <mergeCell ref="D60:E60"/>
    <mergeCell ref="G60:H60"/>
    <mergeCell ref="D61:E61"/>
    <mergeCell ref="G61:H61"/>
    <mergeCell ref="D56:E56"/>
    <mergeCell ref="G56:H56"/>
    <mergeCell ref="D57:E57"/>
    <mergeCell ref="G57:H57"/>
    <mergeCell ref="D58:E58"/>
    <mergeCell ref="G58:H58"/>
    <mergeCell ref="D53:E53"/>
    <mergeCell ref="G53:H53"/>
    <mergeCell ref="D54:E54"/>
    <mergeCell ref="G54:H54"/>
    <mergeCell ref="D55:E55"/>
    <mergeCell ref="G55:H55"/>
    <mergeCell ref="D48:E48"/>
    <mergeCell ref="G48:H48"/>
    <mergeCell ref="D49:E49"/>
    <mergeCell ref="G49:H49"/>
    <mergeCell ref="D50:E50"/>
    <mergeCell ref="G50:H50"/>
    <mergeCell ref="D43:E43"/>
    <mergeCell ref="G43:H43"/>
    <mergeCell ref="D46:E46"/>
    <mergeCell ref="G46:H46"/>
    <mergeCell ref="D47:E47"/>
    <mergeCell ref="G47:H47"/>
    <mergeCell ref="D36:E36"/>
    <mergeCell ref="G36:H36"/>
    <mergeCell ref="D37:E37"/>
    <mergeCell ref="G37:H37"/>
    <mergeCell ref="D40:E40"/>
    <mergeCell ref="G40:H40"/>
    <mergeCell ref="D33:E33"/>
    <mergeCell ref="G33:H33"/>
    <mergeCell ref="D34:E34"/>
    <mergeCell ref="G34:H34"/>
    <mergeCell ref="D35:E35"/>
    <mergeCell ref="G35:H35"/>
    <mergeCell ref="D30:E30"/>
    <mergeCell ref="G30:H30"/>
    <mergeCell ref="D31:E31"/>
    <mergeCell ref="G31:H31"/>
    <mergeCell ref="D32:E32"/>
    <mergeCell ref="G32:H32"/>
    <mergeCell ref="D23:E23"/>
    <mergeCell ref="G23:H23"/>
    <mergeCell ref="D24:E24"/>
    <mergeCell ref="G24:H24"/>
    <mergeCell ref="D27:E27"/>
    <mergeCell ref="G27:H27"/>
    <mergeCell ref="D16:E16"/>
    <mergeCell ref="G16:H16"/>
    <mergeCell ref="D17:E17"/>
    <mergeCell ref="G17:H17"/>
    <mergeCell ref="D20:E20"/>
    <mergeCell ref="G20:H20"/>
    <mergeCell ref="D13:E13"/>
    <mergeCell ref="G13:H13"/>
    <mergeCell ref="D14:E14"/>
    <mergeCell ref="G14:H14"/>
    <mergeCell ref="D15:E15"/>
    <mergeCell ref="G15:H15"/>
    <mergeCell ref="D10:E10"/>
    <mergeCell ref="G10:H10"/>
    <mergeCell ref="D11:E11"/>
    <mergeCell ref="G11:H11"/>
    <mergeCell ref="D12:E12"/>
    <mergeCell ref="G12:H12"/>
    <mergeCell ref="D1:F1"/>
    <mergeCell ref="G1:H1"/>
    <mergeCell ref="D3:E4"/>
    <mergeCell ref="F3:F4"/>
    <mergeCell ref="D7:E7"/>
    <mergeCell ref="G7:H7"/>
  </mergeCells>
  <hyperlinks>
    <hyperlink ref="D16:E16" r:id="rId1" display="Religious Freedom Trng (Formerly Free Ex of Religion)"/>
    <hyperlink ref="D7:E7" r:id="rId2" display="Last Checked Date"/>
    <hyperlink ref="D23:E24" r:id="rId3" display="GTC Expiration Date"/>
    <hyperlink ref="D20:E20" r:id="rId4" display="Account is active and linked to unit?"/>
    <hyperlink ref="D27:E27" r:id="rId5" display="GTC Expiration Date"/>
    <hyperlink ref="D36:E36" r:id="rId6" display="Overall Status"/>
    <hyperlink ref="D35:E35" r:id="rId7" display="Overall Status"/>
    <hyperlink ref="D34:E34" r:id="rId8" display="Overall Status"/>
    <hyperlink ref="D33:E33" r:id="rId9" display="Overall Status"/>
    <hyperlink ref="D32:E32" r:id="rId10" display="Overall Status"/>
    <hyperlink ref="D31:E31" r:id="rId11" display="Overall Status"/>
    <hyperlink ref="D30:E30" r:id="rId12" display="Overall Status"/>
    <hyperlink ref="D37:E37" r:id="rId13" display="Overall Status"/>
    <hyperlink ref="D10:E14" r:id="rId14" display="DoD IAA Cyber Awareness Challenge"/>
    <hyperlink ref="D48:E48" r:id="rId15" display="Risk Management"/>
    <hyperlink ref="D49:E49" r:id="rId16" display="SST CBT"/>
    <hyperlink ref="D46:E46" r:id="rId17" display="Initial JSTO"/>
    <hyperlink ref="D47:E47" r:id="rId18" display="JSTO - 2018 Job Safety"/>
    <hyperlink ref="D50:E50" r:id="rId19" display="SST In Person"/>
  </hyperlinks>
  <pageMargins left="0" right="0" top="0" bottom="0" header="0" footer="0"/>
  <pageSetup orientation="portrait" r:id="rId20"/>
  <legacyDrawing r:id="rId2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K227"/>
  <sheetViews>
    <sheetView showGridLines="0" zoomScale="87" zoomScaleNormal="87" workbookViewId="0">
      <pane ySplit="6" topLeftCell="A7" activePane="bottomLeft" state="frozen"/>
      <selection pane="bottomLeft"/>
    </sheetView>
  </sheetViews>
  <sheetFormatPr defaultRowHeight="15" x14ac:dyDescent="0.25"/>
  <cols>
    <col min="1" max="2" width="9.140625" style="19"/>
    <col min="3" max="3" width="0.85546875" style="143" customWidth="1"/>
    <col min="4" max="4" width="4.7109375" style="174" customWidth="1"/>
    <col min="5" max="5" width="13.7109375" style="44" customWidth="1"/>
    <col min="6" max="9" width="12.7109375" style="130" hidden="1" customWidth="1"/>
    <col min="10" max="13" width="12.7109375" style="130" customWidth="1"/>
    <col min="14" max="14" width="12.7109375" style="57" customWidth="1"/>
    <col min="15" max="114" width="0.5703125" style="19" customWidth="1"/>
    <col min="115" max="115" width="9.140625" style="19" hidden="1" customWidth="1"/>
    <col min="116" max="116" width="9.140625" style="19" customWidth="1"/>
    <col min="117" max="16384" width="9.140625" style="19"/>
  </cols>
  <sheetData>
    <row r="1" spans="1:115" ht="39.950000000000003" customHeight="1" x14ac:dyDescent="0.25">
      <c r="D1" s="172" t="s">
        <v>1675</v>
      </c>
      <c r="E1" s="32"/>
      <c r="F1" s="128"/>
      <c r="G1" s="128"/>
      <c r="H1" s="128"/>
      <c r="I1" s="129"/>
      <c r="J1" s="129"/>
      <c r="K1" s="129"/>
      <c r="L1" s="129"/>
      <c r="M1" s="129"/>
      <c r="N1" s="127"/>
      <c r="O1" s="210" t="s">
        <v>71</v>
      </c>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1"/>
      <c r="BU1" s="211"/>
      <c r="BV1" s="211"/>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c r="DA1" s="211"/>
      <c r="DB1" s="211"/>
      <c r="DC1" s="211"/>
      <c r="DD1" s="211"/>
      <c r="DE1" s="211"/>
      <c r="DF1" s="211"/>
      <c r="DG1" s="211"/>
      <c r="DH1" s="211"/>
      <c r="DI1" s="211"/>
      <c r="DJ1" s="211"/>
    </row>
    <row r="2" spans="1:115" s="93" customFormat="1" ht="30" customHeight="1" x14ac:dyDescent="0.25">
      <c r="C2" s="94"/>
      <c r="D2" s="183" t="s">
        <v>69</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5"/>
    </row>
    <row r="3" spans="1:115" s="14" customFormat="1" x14ac:dyDescent="0.25">
      <c r="C3" s="23"/>
      <c r="D3" s="186" t="s">
        <v>68</v>
      </c>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8"/>
    </row>
    <row r="4" spans="1:115" s="14" customFormat="1" x14ac:dyDescent="0.25">
      <c r="C4" s="23"/>
      <c r="D4" s="212" t="s">
        <v>70</v>
      </c>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3"/>
      <c r="DD4" s="213"/>
      <c r="DE4" s="213"/>
      <c r="DF4" s="213"/>
      <c r="DG4" s="213"/>
      <c r="DH4" s="213"/>
      <c r="DI4" s="213"/>
      <c r="DJ4" s="214"/>
    </row>
    <row r="5" spans="1:115" ht="5.0999999999999996" customHeight="1" x14ac:dyDescent="0.25"/>
    <row r="6" spans="1:115" s="13" customFormat="1" ht="15" customHeight="1" x14ac:dyDescent="0.25">
      <c r="C6" s="22"/>
      <c r="D6" s="174"/>
      <c r="E6" s="156"/>
      <c r="F6" s="145" t="s">
        <v>32</v>
      </c>
      <c r="G6" s="29" t="s">
        <v>54</v>
      </c>
      <c r="H6" s="30" t="s">
        <v>59</v>
      </c>
      <c r="I6" s="21" t="s">
        <v>31</v>
      </c>
      <c r="J6" s="27" t="s">
        <v>30</v>
      </c>
      <c r="K6" s="28" t="s">
        <v>32</v>
      </c>
      <c r="L6" s="29" t="s">
        <v>54</v>
      </c>
      <c r="M6" s="30" t="s">
        <v>59</v>
      </c>
      <c r="N6" s="21" t="s">
        <v>31</v>
      </c>
    </row>
    <row r="7" spans="1:115" s="146" customFormat="1" ht="5.0999999999999996" customHeight="1" x14ac:dyDescent="0.25">
      <c r="C7" s="147"/>
      <c r="D7" s="148"/>
      <c r="E7" s="156"/>
      <c r="F7" s="149"/>
      <c r="G7" s="150"/>
      <c r="H7" s="151"/>
      <c r="I7" s="150"/>
      <c r="J7" s="152"/>
      <c r="K7" s="153"/>
      <c r="L7" s="152"/>
      <c r="M7" s="154"/>
    </row>
    <row r="8" spans="1:115" s="7" customFormat="1" ht="20.100000000000001" customHeight="1" x14ac:dyDescent="0.25">
      <c r="B8" s="7" t="s">
        <v>20</v>
      </c>
      <c r="C8" s="144"/>
      <c r="D8" s="125" t="s">
        <v>20</v>
      </c>
      <c r="E8" s="157"/>
      <c r="F8" s="131"/>
      <c r="G8" s="131"/>
      <c r="H8" s="131"/>
      <c r="I8" s="131"/>
      <c r="J8" s="131"/>
      <c r="K8" s="131"/>
      <c r="L8" s="131"/>
      <c r="M8" s="131"/>
      <c r="N8" s="12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c r="BA8" s="217"/>
      <c r="BB8" s="217"/>
      <c r="BC8" s="217"/>
      <c r="BD8" s="217"/>
      <c r="BE8" s="217"/>
      <c r="BF8" s="217"/>
      <c r="BG8" s="217"/>
      <c r="BH8" s="217"/>
      <c r="BI8" s="217"/>
      <c r="BJ8" s="217"/>
      <c r="BK8" s="217"/>
      <c r="BL8" s="217"/>
      <c r="BM8" s="217"/>
      <c r="BN8" s="217"/>
      <c r="BO8" s="217"/>
      <c r="BP8" s="217"/>
      <c r="BQ8" s="217"/>
      <c r="BR8" s="217"/>
      <c r="BS8" s="217"/>
      <c r="BT8" s="217"/>
      <c r="BU8" s="217"/>
      <c r="BV8" s="217"/>
      <c r="BW8" s="217"/>
      <c r="BX8" s="217"/>
      <c r="BY8" s="217"/>
      <c r="BZ8" s="217"/>
      <c r="CA8" s="217"/>
      <c r="CB8" s="217"/>
      <c r="CC8" s="217"/>
      <c r="CD8" s="217"/>
      <c r="CE8" s="217"/>
      <c r="CF8" s="217"/>
      <c r="CG8" s="217"/>
      <c r="CH8" s="217"/>
      <c r="CI8" s="217"/>
      <c r="CJ8" s="217"/>
      <c r="CK8" s="217"/>
      <c r="CL8" s="217"/>
      <c r="CM8" s="217"/>
      <c r="CN8" s="217"/>
      <c r="CO8" s="217"/>
      <c r="CP8" s="217"/>
      <c r="CQ8" s="217"/>
      <c r="CR8" s="217"/>
      <c r="CS8" s="217"/>
      <c r="CT8" s="217"/>
      <c r="CU8" s="217"/>
      <c r="CV8" s="217"/>
      <c r="CW8" s="217"/>
      <c r="CX8" s="217"/>
      <c r="CY8" s="217"/>
      <c r="CZ8" s="217"/>
      <c r="DA8" s="217"/>
      <c r="DB8" s="217"/>
      <c r="DC8" s="217"/>
      <c r="DD8" s="217"/>
      <c r="DE8" s="217"/>
      <c r="DF8" s="217"/>
      <c r="DG8" s="217"/>
      <c r="DH8" s="217"/>
      <c r="DI8" s="217"/>
      <c r="DJ8" s="218"/>
    </row>
    <row r="9" spans="1:115" s="7" customFormat="1" ht="30" customHeight="1" x14ac:dyDescent="0.25">
      <c r="A9" s="7" t="s">
        <v>4</v>
      </c>
      <c r="B9" s="7" t="s">
        <v>20</v>
      </c>
      <c r="C9" s="144"/>
      <c r="D9" s="120"/>
      <c r="E9" s="155" t="str">
        <f>IFERROR(A9&amp;"   ("&amp;COUNTIFS(#REF!,"="&amp;A9)&amp;")",A9)</f>
        <v>11 SOIS</v>
      </c>
      <c r="F9" s="132"/>
      <c r="G9" s="133"/>
      <c r="H9" s="134"/>
      <c r="I9" s="135"/>
      <c r="J9" s="132"/>
      <c r="K9" s="133"/>
      <c r="L9" s="134"/>
      <c r="M9" s="139"/>
      <c r="N9" s="142"/>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c r="CA9" s="119"/>
      <c r="CB9" s="119"/>
      <c r="CC9" s="119"/>
      <c r="CD9" s="119"/>
      <c r="CE9" s="119"/>
      <c r="CF9" s="119"/>
      <c r="CG9" s="119"/>
      <c r="CH9" s="119"/>
      <c r="CI9" s="119"/>
      <c r="CJ9" s="119"/>
      <c r="CK9" s="119"/>
      <c r="CL9" s="119"/>
      <c r="CM9" s="119"/>
      <c r="CN9" s="119"/>
      <c r="CO9" s="119"/>
      <c r="CP9" s="119"/>
      <c r="CQ9" s="119"/>
      <c r="CR9" s="119"/>
      <c r="CS9" s="119"/>
      <c r="CT9" s="119"/>
      <c r="CU9" s="119"/>
      <c r="CV9" s="119"/>
      <c r="CW9" s="119"/>
      <c r="CX9" s="119"/>
      <c r="CY9" s="119"/>
      <c r="CZ9" s="119"/>
      <c r="DA9" s="119"/>
      <c r="DB9" s="119"/>
      <c r="DC9" s="119"/>
      <c r="DD9" s="119"/>
      <c r="DE9" s="119"/>
      <c r="DF9" s="119"/>
      <c r="DG9" s="119"/>
      <c r="DH9" s="119"/>
      <c r="DI9" s="119"/>
      <c r="DJ9" s="173"/>
    </row>
    <row r="10" spans="1:115" s="7" customFormat="1" ht="9.9499999999999993" customHeight="1" x14ac:dyDescent="0.25">
      <c r="A10" s="7" t="s">
        <v>4</v>
      </c>
      <c r="B10" s="7" t="s">
        <v>20</v>
      </c>
      <c r="C10" s="144"/>
      <c r="D10" s="124"/>
      <c r="E10" s="158"/>
      <c r="F10" s="136"/>
      <c r="G10" s="136"/>
      <c r="H10" s="136"/>
      <c r="I10" s="136"/>
      <c r="J10" s="136"/>
      <c r="K10" s="136"/>
      <c r="L10" s="136"/>
      <c r="M10" s="136"/>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row>
    <row r="11" spans="1:115" s="7" customFormat="1" ht="30" customHeight="1" x14ac:dyDescent="0.25">
      <c r="A11" s="7" t="s">
        <v>6</v>
      </c>
      <c r="B11" s="7" t="s">
        <v>20</v>
      </c>
      <c r="C11" s="144" t="s">
        <v>1674</v>
      </c>
      <c r="D11" s="120">
        <f>COUNTA($E$11:$E11)</f>
        <v>1</v>
      </c>
      <c r="E11" s="155" t="str">
        <f>IFERROR(A11&amp;"   ("&amp;COUNTIFS(#REF!,"="&amp;A11)&amp;")",A11)</f>
        <v>CCI</v>
      </c>
      <c r="F11" s="132"/>
      <c r="G11" s="133"/>
      <c r="H11" s="134"/>
      <c r="I11" s="135"/>
      <c r="J11" s="132"/>
      <c r="K11" s="133"/>
      <c r="L11" s="134"/>
      <c r="M11" s="139"/>
      <c r="N11" s="142"/>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73"/>
    </row>
    <row r="12" spans="1:115" s="7" customFormat="1" ht="30" customHeight="1" x14ac:dyDescent="0.25">
      <c r="A12" s="7" t="s">
        <v>11</v>
      </c>
      <c r="B12" s="7" t="s">
        <v>20</v>
      </c>
      <c r="C12" s="144" t="s">
        <v>1674</v>
      </c>
      <c r="D12" s="120">
        <f>COUNTA($E$11:$E12)</f>
        <v>2</v>
      </c>
      <c r="E12" s="155" t="str">
        <f>IFERROR(A12&amp;"   ("&amp;COUNTIFS(#REF!,"="&amp;A12)&amp;")",A12)</f>
        <v>CCV</v>
      </c>
      <c r="F12" s="132"/>
      <c r="G12" s="133"/>
      <c r="H12" s="134"/>
      <c r="I12" s="135"/>
      <c r="J12" s="132"/>
      <c r="K12" s="133"/>
      <c r="L12" s="134"/>
      <c r="M12" s="139"/>
      <c r="N12" s="14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1"/>
    </row>
    <row r="13" spans="1:115" s="7" customFormat="1" ht="30" customHeight="1" x14ac:dyDescent="0.25">
      <c r="A13" s="7" t="s">
        <v>1670</v>
      </c>
      <c r="B13" s="7" t="s">
        <v>20</v>
      </c>
      <c r="C13" s="144" t="s">
        <v>1674</v>
      </c>
      <c r="D13" s="120">
        <f>COUNTA($E$11:$E13)</f>
        <v>3</v>
      </c>
      <c r="E13" s="155" t="str">
        <f>IFERROR(A13&amp;"   ("&amp;COUNTIFS(#REF!,"="&amp;A13)&amp;")",A13)</f>
        <v>CMD</v>
      </c>
      <c r="F13" s="132"/>
      <c r="G13" s="133"/>
      <c r="H13" s="134"/>
      <c r="I13" s="135"/>
      <c r="J13" s="132"/>
      <c r="K13" s="133"/>
      <c r="L13" s="134"/>
      <c r="M13" s="139"/>
      <c r="N13" s="142"/>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73"/>
    </row>
    <row r="14" spans="1:115" s="7" customFormat="1" ht="30" customHeight="1" x14ac:dyDescent="0.25">
      <c r="A14" s="7" t="s">
        <v>17</v>
      </c>
      <c r="B14" s="7" t="s">
        <v>20</v>
      </c>
      <c r="C14" s="144" t="s">
        <v>1674</v>
      </c>
      <c r="D14" s="120">
        <f>COUNTA($E$11:$E14)</f>
        <v>4</v>
      </c>
      <c r="E14" s="155" t="str">
        <f>IFERROR(A14&amp;"   ("&amp;COUNTIFS(#REF!,"="&amp;A14)&amp;")",A14)</f>
        <v>DO</v>
      </c>
      <c r="F14" s="132"/>
      <c r="G14" s="133"/>
      <c r="H14" s="134"/>
      <c r="I14" s="135"/>
      <c r="J14" s="132"/>
      <c r="K14" s="133"/>
      <c r="L14" s="134"/>
      <c r="M14" s="139"/>
      <c r="N14" s="142"/>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73"/>
    </row>
    <row r="15" spans="1:115" s="7" customFormat="1" ht="30" customHeight="1" x14ac:dyDescent="0.25">
      <c r="A15" s="7" t="s">
        <v>8</v>
      </c>
      <c r="B15" s="7" t="s">
        <v>20</v>
      </c>
      <c r="C15" s="144" t="s">
        <v>1674</v>
      </c>
      <c r="D15" s="120">
        <f>COUNTA($E$11:$E15)</f>
        <v>5</v>
      </c>
      <c r="E15" s="155" t="str">
        <f>IFERROR(A15&amp;"   ("&amp;COUNTIFS(#REF!,"="&amp;A15)&amp;")",A15)</f>
        <v>DOA</v>
      </c>
      <c r="F15" s="132"/>
      <c r="G15" s="133"/>
      <c r="H15" s="134"/>
      <c r="I15" s="135"/>
      <c r="J15" s="132"/>
      <c r="K15" s="133"/>
      <c r="L15" s="134"/>
      <c r="M15" s="139"/>
      <c r="N15" s="142"/>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73"/>
    </row>
    <row r="16" spans="1:115" s="7" customFormat="1" ht="30" customHeight="1" x14ac:dyDescent="0.25">
      <c r="A16" s="7" t="s">
        <v>12</v>
      </c>
      <c r="B16" s="7" t="s">
        <v>20</v>
      </c>
      <c r="C16" s="144" t="s">
        <v>1674</v>
      </c>
      <c r="D16" s="120">
        <f>COUNTA($E$11:$E16)</f>
        <v>6</v>
      </c>
      <c r="E16" s="155" t="str">
        <f>IFERROR(A16&amp;"   ("&amp;COUNTIFS(#REF!,"="&amp;A16)&amp;")",A16)</f>
        <v>DOB</v>
      </c>
      <c r="F16" s="132"/>
      <c r="G16" s="133"/>
      <c r="H16" s="134"/>
      <c r="I16" s="135"/>
      <c r="J16" s="132"/>
      <c r="K16" s="133"/>
      <c r="L16" s="134"/>
      <c r="M16" s="139"/>
      <c r="N16" s="142"/>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73"/>
    </row>
    <row r="17" spans="1:114" s="7" customFormat="1" ht="30" customHeight="1" x14ac:dyDescent="0.25">
      <c r="A17" s="7" t="s">
        <v>5</v>
      </c>
      <c r="B17" s="7" t="s">
        <v>20</v>
      </c>
      <c r="C17" s="144" t="s">
        <v>1674</v>
      </c>
      <c r="D17" s="120">
        <f>COUNTA($E$11:$E17)</f>
        <v>7</v>
      </c>
      <c r="E17" s="155" t="str">
        <f>IFERROR(A17&amp;"   ("&amp;COUNTIFS(#REF!,"="&amp;A17)&amp;")",A17)</f>
        <v>DOC</v>
      </c>
      <c r="F17" s="132"/>
      <c r="G17" s="133"/>
      <c r="H17" s="134"/>
      <c r="I17" s="135"/>
      <c r="J17" s="132"/>
      <c r="K17" s="133"/>
      <c r="L17" s="134"/>
      <c r="M17" s="139"/>
      <c r="N17" s="142"/>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73"/>
    </row>
    <row r="18" spans="1:114" s="7" customFormat="1" ht="30" customHeight="1" x14ac:dyDescent="0.25">
      <c r="A18" s="7" t="s">
        <v>7</v>
      </c>
      <c r="B18" s="7" t="s">
        <v>20</v>
      </c>
      <c r="C18" s="144" t="s">
        <v>1674</v>
      </c>
      <c r="D18" s="120">
        <f>COUNTA($E$11:$E18)</f>
        <v>8</v>
      </c>
      <c r="E18" s="155" t="str">
        <f>IFERROR(A18&amp;"   ("&amp;COUNTIFS(#REF!,"="&amp;A18)&amp;")",A18)</f>
        <v>DOD</v>
      </c>
      <c r="F18" s="132"/>
      <c r="G18" s="133"/>
      <c r="H18" s="134"/>
      <c r="I18" s="135"/>
      <c r="J18" s="132"/>
      <c r="K18" s="133"/>
      <c r="L18" s="134"/>
      <c r="M18" s="139"/>
      <c r="N18" s="142"/>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c r="CB18" s="119"/>
      <c r="CC18" s="119"/>
      <c r="CD18" s="119"/>
      <c r="CE18" s="119"/>
      <c r="CF18" s="119"/>
      <c r="CG18" s="119"/>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73"/>
    </row>
    <row r="19" spans="1:114" s="7" customFormat="1" ht="30" customHeight="1" x14ac:dyDescent="0.25">
      <c r="A19" s="7" t="s">
        <v>13</v>
      </c>
      <c r="B19" s="7" t="s">
        <v>20</v>
      </c>
      <c r="C19" s="144" t="s">
        <v>1674</v>
      </c>
      <c r="D19" s="120">
        <f>COUNTA($E$11:$E19)</f>
        <v>9</v>
      </c>
      <c r="E19" s="155" t="str">
        <f>IFERROR(A19&amp;"   ("&amp;COUNTIFS(#REF!,"="&amp;A19)&amp;")",A19)</f>
        <v>DOF</v>
      </c>
      <c r="F19" s="132"/>
      <c r="G19" s="133"/>
      <c r="H19" s="134"/>
      <c r="I19" s="135"/>
      <c r="J19" s="132"/>
      <c r="K19" s="133"/>
      <c r="L19" s="134"/>
      <c r="M19" s="139"/>
      <c r="N19" s="142"/>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c r="CB19" s="119"/>
      <c r="CC19" s="119"/>
      <c r="CD19" s="119"/>
      <c r="CE19" s="119"/>
      <c r="CF19" s="119"/>
      <c r="CG19" s="119"/>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73"/>
    </row>
    <row r="20" spans="1:114" s="7" customFormat="1" ht="30" customHeight="1" x14ac:dyDescent="0.25">
      <c r="A20" s="7" t="s">
        <v>14</v>
      </c>
      <c r="B20" s="7" t="s">
        <v>20</v>
      </c>
      <c r="C20" s="144" t="s">
        <v>1674</v>
      </c>
      <c r="D20" s="120">
        <f>COUNTA($E$11:$E20)</f>
        <v>10</v>
      </c>
      <c r="E20" s="155" t="str">
        <f>IFERROR(A20&amp;"   ("&amp;COUNTIFS(#REF!,"="&amp;A20)&amp;")",A20)</f>
        <v>DOK</v>
      </c>
      <c r="F20" s="132"/>
      <c r="G20" s="133"/>
      <c r="H20" s="134"/>
      <c r="I20" s="135"/>
      <c r="J20" s="132"/>
      <c r="K20" s="133"/>
      <c r="L20" s="134"/>
      <c r="M20" s="139"/>
      <c r="N20" s="142"/>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73"/>
    </row>
    <row r="21" spans="1:114" s="7" customFormat="1" ht="30" customHeight="1" x14ac:dyDescent="0.25">
      <c r="A21" s="7" t="s">
        <v>18</v>
      </c>
      <c r="B21" s="7" t="s">
        <v>20</v>
      </c>
      <c r="C21" s="144" t="s">
        <v>1674</v>
      </c>
      <c r="D21" s="120">
        <f>COUNTA($E$11:$E21)</f>
        <v>11</v>
      </c>
      <c r="E21" s="155" t="str">
        <f>IFERROR(A21&amp;"   ("&amp;COUNTIFS(#REF!,"="&amp;A21)&amp;")",A21)</f>
        <v>DOM</v>
      </c>
      <c r="F21" s="132"/>
      <c r="G21" s="133"/>
      <c r="H21" s="134"/>
      <c r="I21" s="135"/>
      <c r="J21" s="132"/>
      <c r="K21" s="133"/>
      <c r="L21" s="134"/>
      <c r="M21" s="139"/>
      <c r="N21" s="142"/>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73"/>
    </row>
    <row r="22" spans="1:114" s="7" customFormat="1" ht="30" customHeight="1" x14ac:dyDescent="0.25">
      <c r="A22" s="7" t="s">
        <v>9</v>
      </c>
      <c r="B22" s="7" t="s">
        <v>20</v>
      </c>
      <c r="C22" s="144" t="s">
        <v>1674</v>
      </c>
      <c r="D22" s="120">
        <f>COUNTA($E$11:$E22)</f>
        <v>12</v>
      </c>
      <c r="E22" s="155" t="str">
        <f>IFERROR(A22&amp;"   ("&amp;COUNTIFS(#REF!,"="&amp;A22)&amp;")",A22)</f>
        <v>DOT</v>
      </c>
      <c r="F22" s="132"/>
      <c r="G22" s="133"/>
      <c r="H22" s="134"/>
      <c r="I22" s="135"/>
      <c r="J22" s="132"/>
      <c r="K22" s="133"/>
      <c r="L22" s="134"/>
      <c r="M22" s="139"/>
      <c r="N22" s="142"/>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73"/>
    </row>
    <row r="23" spans="1:114" s="7" customFormat="1" ht="30" customHeight="1" x14ac:dyDescent="0.25">
      <c r="A23" s="7" t="s">
        <v>15</v>
      </c>
      <c r="B23" s="7" t="s">
        <v>20</v>
      </c>
      <c r="C23" s="144" t="s">
        <v>1674</v>
      </c>
      <c r="D23" s="120">
        <f>COUNTA($E$11:$E23)</f>
        <v>13</v>
      </c>
      <c r="E23" s="155" t="str">
        <f>IFERROR(A23&amp;"   ("&amp;COUNTIFS(#REF!,"="&amp;A23)&amp;")",A23)</f>
        <v>DOX</v>
      </c>
      <c r="F23" s="132"/>
      <c r="G23" s="133"/>
      <c r="H23" s="134"/>
      <c r="I23" s="135"/>
      <c r="J23" s="132"/>
      <c r="K23" s="133"/>
      <c r="L23" s="134"/>
      <c r="M23" s="139"/>
      <c r="N23" s="142"/>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73"/>
    </row>
    <row r="24" spans="1:114" s="7" customFormat="1" ht="30" customHeight="1" x14ac:dyDescent="0.25">
      <c r="A24" s="7" t="s">
        <v>10</v>
      </c>
      <c r="B24" s="7" t="s">
        <v>20</v>
      </c>
      <c r="C24" s="144" t="s">
        <v>1674</v>
      </c>
      <c r="D24" s="120">
        <f>COUNTA($E$11:$E24)</f>
        <v>14</v>
      </c>
      <c r="E24" s="155" t="str">
        <f>IFERROR(A24&amp;"   ("&amp;COUNTIFS(#REF!,"="&amp;A24)&amp;")",A24)</f>
        <v>MS</v>
      </c>
      <c r="F24" s="132"/>
      <c r="G24" s="133"/>
      <c r="H24" s="134"/>
      <c r="I24" s="135"/>
      <c r="J24" s="132"/>
      <c r="K24" s="133"/>
      <c r="L24" s="134"/>
      <c r="M24" s="139"/>
      <c r="N24" s="142"/>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73"/>
    </row>
    <row r="25" spans="1:114" s="7" customFormat="1" ht="30" customHeight="1" x14ac:dyDescent="0.25">
      <c r="A25" s="7" t="s">
        <v>16</v>
      </c>
      <c r="B25" s="7" t="s">
        <v>20</v>
      </c>
      <c r="C25" s="144" t="s">
        <v>1674</v>
      </c>
      <c r="D25" s="120">
        <f>COUNTA($E$11:$E25)</f>
        <v>15</v>
      </c>
      <c r="E25" s="155" t="str">
        <f>IFERROR(A25&amp;"   ("&amp;COUNTIFS(#REF!,"="&amp;A25)&amp;")",A25)</f>
        <v>UDM</v>
      </c>
      <c r="F25" s="132"/>
      <c r="G25" s="133"/>
      <c r="H25" s="134"/>
      <c r="I25" s="135"/>
      <c r="J25" s="132"/>
      <c r="K25" s="133"/>
      <c r="L25" s="134"/>
      <c r="M25" s="139"/>
      <c r="N25" s="142"/>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73"/>
    </row>
    <row r="26" spans="1:114" s="7" customFormat="1" ht="30" customHeight="1" x14ac:dyDescent="0.25">
      <c r="A26" s="7" t="s">
        <v>19</v>
      </c>
      <c r="B26" s="7" t="s">
        <v>20</v>
      </c>
      <c r="C26" s="144" t="s">
        <v>1674</v>
      </c>
      <c r="D26" s="120">
        <f>COUNTA($E$11:$E26)</f>
        <v>16</v>
      </c>
      <c r="E26" s="155" t="str">
        <f>IFERROR(A26&amp;"   ("&amp;COUNTIFS(#REF!,"="&amp;A26)&amp;")",A26)</f>
        <v>UTM</v>
      </c>
      <c r="F26" s="132"/>
      <c r="G26" s="133"/>
      <c r="H26" s="134"/>
      <c r="I26" s="135"/>
      <c r="J26" s="132"/>
      <c r="K26" s="133"/>
      <c r="L26" s="134"/>
      <c r="M26" s="139"/>
      <c r="N26" s="142"/>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73"/>
    </row>
    <row r="27" spans="1:114" s="7" customFormat="1" ht="20.100000000000001" customHeight="1" x14ac:dyDescent="0.25">
      <c r="A27" s="7" t="s">
        <v>60</v>
      </c>
      <c r="B27" s="7" t="s">
        <v>20</v>
      </c>
      <c r="C27" s="144"/>
      <c r="D27" s="67"/>
      <c r="E27" s="8"/>
      <c r="F27" s="130"/>
      <c r="G27" s="130"/>
      <c r="H27" s="130"/>
      <c r="I27" s="130"/>
      <c r="J27" s="130"/>
      <c r="K27" s="130"/>
      <c r="L27" s="130"/>
      <c r="M27" s="130"/>
      <c r="N27" s="58"/>
    </row>
    <row r="28" spans="1:114" ht="20.100000000000001" customHeight="1" x14ac:dyDescent="0.25">
      <c r="A28" s="7" t="s">
        <v>60</v>
      </c>
      <c r="B28" s="7" t="s">
        <v>26</v>
      </c>
      <c r="C28" s="144"/>
      <c r="D28" s="125" t="s">
        <v>98</v>
      </c>
      <c r="E28" s="159"/>
      <c r="F28" s="131"/>
      <c r="G28" s="131"/>
      <c r="H28" s="131"/>
      <c r="I28" s="131"/>
      <c r="J28" s="131"/>
      <c r="K28" s="131"/>
      <c r="L28" s="131"/>
      <c r="M28" s="131"/>
      <c r="N28" s="140"/>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217"/>
      <c r="AM28" s="217"/>
      <c r="AN28" s="217"/>
      <c r="AO28" s="217"/>
      <c r="AP28" s="217"/>
      <c r="AQ28" s="217"/>
      <c r="AR28" s="217"/>
      <c r="AS28" s="217"/>
      <c r="AT28" s="217"/>
      <c r="AU28" s="217"/>
      <c r="AV28" s="217"/>
      <c r="AW28" s="217"/>
      <c r="AX28" s="217"/>
      <c r="AY28" s="217"/>
      <c r="AZ28" s="217"/>
      <c r="BA28" s="217"/>
      <c r="BB28" s="217"/>
      <c r="BC28" s="217"/>
      <c r="BD28" s="217"/>
      <c r="BE28" s="217"/>
      <c r="BF28" s="217"/>
      <c r="BG28" s="217"/>
      <c r="BH28" s="217"/>
      <c r="BI28" s="217"/>
      <c r="BJ28" s="217"/>
      <c r="BK28" s="217"/>
      <c r="BL28" s="217"/>
      <c r="BM28" s="217"/>
      <c r="BN28" s="217"/>
      <c r="BO28" s="217"/>
      <c r="BP28" s="217"/>
      <c r="BQ28" s="217"/>
      <c r="BR28" s="217"/>
      <c r="BS28" s="217"/>
      <c r="BT28" s="217"/>
      <c r="BU28" s="217"/>
      <c r="BV28" s="217"/>
      <c r="BW28" s="217"/>
      <c r="BX28" s="217"/>
      <c r="BY28" s="217"/>
      <c r="BZ28" s="217"/>
      <c r="CA28" s="217"/>
      <c r="CB28" s="217"/>
      <c r="CC28" s="217"/>
      <c r="CD28" s="217"/>
      <c r="CE28" s="217"/>
      <c r="CF28" s="217"/>
      <c r="CG28" s="217"/>
      <c r="CH28" s="217"/>
      <c r="CI28" s="217"/>
      <c r="CJ28" s="217"/>
      <c r="CK28" s="217"/>
      <c r="CL28" s="217"/>
      <c r="CM28" s="217"/>
      <c r="CN28" s="217"/>
      <c r="CO28" s="217"/>
      <c r="CP28" s="217"/>
      <c r="CQ28" s="217"/>
      <c r="CR28" s="217"/>
      <c r="CS28" s="217"/>
      <c r="CT28" s="217"/>
      <c r="CU28" s="217"/>
      <c r="CV28" s="217"/>
      <c r="CW28" s="217"/>
      <c r="CX28" s="217"/>
      <c r="CY28" s="217"/>
      <c r="CZ28" s="217"/>
      <c r="DA28" s="217"/>
      <c r="DB28" s="217"/>
      <c r="DC28" s="217"/>
      <c r="DD28" s="217"/>
      <c r="DE28" s="217"/>
      <c r="DF28" s="217"/>
      <c r="DG28" s="217"/>
      <c r="DH28" s="217"/>
      <c r="DI28" s="217"/>
      <c r="DJ28" s="218"/>
    </row>
    <row r="29" spans="1:114" ht="30" customHeight="1" x14ac:dyDescent="0.25">
      <c r="A29" s="7" t="s">
        <v>4</v>
      </c>
      <c r="B29" s="7" t="s">
        <v>26</v>
      </c>
      <c r="C29" s="144"/>
      <c r="D29" s="120"/>
      <c r="E29" s="155" t="str">
        <f>IFERROR(A29&amp;"   ("&amp;COUNTIFS(#REF!,"="&amp;A29)&amp;")",A29)</f>
        <v>11 SOIS</v>
      </c>
      <c r="F29" s="132"/>
      <c r="G29" s="133"/>
      <c r="H29" s="134"/>
      <c r="I29" s="135"/>
      <c r="J29" s="132"/>
      <c r="K29" s="133"/>
      <c r="L29" s="134"/>
      <c r="M29" s="139"/>
      <c r="N29" s="142"/>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73"/>
    </row>
    <row r="30" spans="1:114" ht="9.9499999999999993" customHeight="1" x14ac:dyDescent="0.25">
      <c r="A30" s="7" t="s">
        <v>4</v>
      </c>
      <c r="B30" s="58" t="s">
        <v>26</v>
      </c>
      <c r="C30" s="144"/>
      <c r="D30" s="124"/>
      <c r="E30" s="158"/>
      <c r="F30" s="136"/>
      <c r="G30" s="136"/>
      <c r="H30" s="136"/>
      <c r="I30" s="136"/>
      <c r="J30" s="136"/>
      <c r="K30" s="136"/>
      <c r="L30" s="136"/>
      <c r="M30" s="136"/>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c r="CE30" s="58"/>
      <c r="CF30" s="58"/>
      <c r="CG30" s="58"/>
      <c r="CH30" s="58"/>
      <c r="CI30" s="58"/>
      <c r="CJ30" s="58"/>
      <c r="CK30" s="58"/>
      <c r="CL30" s="58"/>
      <c r="CM30" s="58"/>
      <c r="CN30" s="58"/>
      <c r="CO30" s="58"/>
      <c r="CP30" s="58"/>
      <c r="CQ30" s="58"/>
      <c r="CR30" s="58"/>
      <c r="CS30" s="58"/>
      <c r="CT30" s="58"/>
      <c r="CU30" s="58"/>
      <c r="CV30" s="58"/>
      <c r="CW30" s="58"/>
      <c r="CX30" s="58"/>
      <c r="CY30" s="58"/>
      <c r="CZ30" s="58"/>
      <c r="DA30" s="58"/>
      <c r="DB30" s="58"/>
      <c r="DC30" s="58"/>
      <c r="DD30" s="58"/>
      <c r="DE30" s="58"/>
      <c r="DF30" s="58"/>
      <c r="DG30" s="58"/>
      <c r="DH30" s="58"/>
      <c r="DI30" s="58"/>
      <c r="DJ30" s="58"/>
    </row>
    <row r="31" spans="1:114" ht="30" customHeight="1" x14ac:dyDescent="0.25">
      <c r="A31" s="7" t="s">
        <v>6</v>
      </c>
      <c r="B31" s="7" t="s">
        <v>26</v>
      </c>
      <c r="C31" s="144" t="s">
        <v>1674</v>
      </c>
      <c r="D31" s="120">
        <f>COUNTA($E$31:$E31)</f>
        <v>1</v>
      </c>
      <c r="E31" s="155" t="str">
        <f>IFERROR(A31&amp;"   ("&amp;COUNTIFS(#REF!,"="&amp;A31)&amp;")",A31)</f>
        <v>CCI</v>
      </c>
      <c r="F31" s="132"/>
      <c r="G31" s="133"/>
      <c r="H31" s="134"/>
      <c r="I31" s="135"/>
      <c r="J31" s="132"/>
      <c r="K31" s="133"/>
      <c r="L31" s="134"/>
      <c r="M31" s="139"/>
      <c r="N31" s="142"/>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73"/>
    </row>
    <row r="32" spans="1:114" ht="30" customHeight="1" x14ac:dyDescent="0.25">
      <c r="A32" s="7" t="s">
        <v>11</v>
      </c>
      <c r="B32" s="7" t="s">
        <v>26</v>
      </c>
      <c r="C32" s="144" t="s">
        <v>1674</v>
      </c>
      <c r="D32" s="120">
        <f>COUNTA($E$31:$E32)</f>
        <v>2</v>
      </c>
      <c r="E32" s="155" t="str">
        <f>IFERROR(A32&amp;"   ("&amp;COUNTIFS(#REF!,"="&amp;A32)&amp;")",A32)</f>
        <v>CCV</v>
      </c>
      <c r="F32" s="132"/>
      <c r="G32" s="133"/>
      <c r="H32" s="134"/>
      <c r="I32" s="135"/>
      <c r="J32" s="132"/>
      <c r="K32" s="133"/>
      <c r="L32" s="134"/>
      <c r="M32" s="139"/>
      <c r="N32" s="14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2"/>
      <c r="BK32" s="122"/>
      <c r="BL32" s="122"/>
      <c r="BM32" s="122"/>
      <c r="BN32" s="122"/>
      <c r="BO32" s="122"/>
      <c r="BP32" s="122"/>
      <c r="BQ32" s="122"/>
      <c r="BR32" s="122"/>
      <c r="BS32" s="122"/>
      <c r="BT32" s="122"/>
      <c r="BU32" s="122"/>
      <c r="BV32" s="122"/>
      <c r="BW32" s="122"/>
      <c r="BX32" s="122"/>
      <c r="BY32" s="122"/>
      <c r="BZ32" s="122"/>
      <c r="CA32" s="122"/>
      <c r="CB32" s="122"/>
      <c r="CC32" s="122"/>
      <c r="CD32" s="122"/>
      <c r="CE32" s="122"/>
      <c r="CF32" s="122"/>
      <c r="CG32" s="122"/>
      <c r="CH32" s="122"/>
      <c r="CI32" s="122"/>
      <c r="CJ32" s="122"/>
      <c r="CK32" s="122"/>
      <c r="CL32" s="122"/>
      <c r="CM32" s="122"/>
      <c r="CN32" s="122"/>
      <c r="CO32" s="122"/>
      <c r="CP32" s="122"/>
      <c r="CQ32" s="122"/>
      <c r="CR32" s="122"/>
      <c r="CS32" s="122"/>
      <c r="CT32" s="122"/>
      <c r="CU32" s="122"/>
      <c r="CV32" s="122"/>
      <c r="CW32" s="122"/>
      <c r="CX32" s="122"/>
      <c r="CY32" s="122"/>
      <c r="CZ32" s="122"/>
      <c r="DA32" s="122"/>
      <c r="DB32" s="122"/>
      <c r="DC32" s="122"/>
      <c r="DD32" s="122"/>
      <c r="DE32" s="122"/>
      <c r="DF32" s="122"/>
      <c r="DG32" s="122"/>
      <c r="DH32" s="122"/>
      <c r="DI32" s="122"/>
      <c r="DJ32" s="121"/>
    </row>
    <row r="33" spans="1:114" ht="30" customHeight="1" x14ac:dyDescent="0.25">
      <c r="A33" s="7" t="s">
        <v>1670</v>
      </c>
      <c r="B33" s="7" t="s">
        <v>26</v>
      </c>
      <c r="C33" s="144" t="s">
        <v>1674</v>
      </c>
      <c r="D33" s="120">
        <f>COUNTA($E$31:$E33)</f>
        <v>3</v>
      </c>
      <c r="E33" s="155" t="str">
        <f>IFERROR(A33&amp;"   ("&amp;COUNTIFS(#REF!,"="&amp;A33)&amp;")",A33)</f>
        <v>CMD</v>
      </c>
      <c r="F33" s="132"/>
      <c r="G33" s="133"/>
      <c r="H33" s="134"/>
      <c r="I33" s="135"/>
      <c r="J33" s="132"/>
      <c r="K33" s="133"/>
      <c r="L33" s="134"/>
      <c r="M33" s="139"/>
      <c r="N33" s="142"/>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73"/>
    </row>
    <row r="34" spans="1:114" ht="30" customHeight="1" x14ac:dyDescent="0.25">
      <c r="A34" s="7" t="s">
        <v>17</v>
      </c>
      <c r="B34" s="7" t="s">
        <v>26</v>
      </c>
      <c r="C34" s="144" t="s">
        <v>1674</v>
      </c>
      <c r="D34" s="120">
        <f>COUNTA($E$31:$E34)</f>
        <v>4</v>
      </c>
      <c r="E34" s="155" t="str">
        <f>IFERROR(A34&amp;"   ("&amp;COUNTIFS(#REF!,"="&amp;A34)&amp;")",A34)</f>
        <v>DO</v>
      </c>
      <c r="F34" s="132"/>
      <c r="G34" s="133"/>
      <c r="H34" s="134"/>
      <c r="I34" s="135"/>
      <c r="J34" s="132"/>
      <c r="K34" s="133"/>
      <c r="L34" s="134"/>
      <c r="M34" s="139"/>
      <c r="N34" s="142"/>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73"/>
    </row>
    <row r="35" spans="1:114" ht="30" customHeight="1" x14ac:dyDescent="0.25">
      <c r="A35" s="7" t="s">
        <v>8</v>
      </c>
      <c r="B35" s="7" t="s">
        <v>26</v>
      </c>
      <c r="C35" s="144" t="s">
        <v>1674</v>
      </c>
      <c r="D35" s="120">
        <f>COUNTA($E$31:$E35)</f>
        <v>5</v>
      </c>
      <c r="E35" s="155" t="str">
        <f>IFERROR(A35&amp;"   ("&amp;COUNTIFS(#REF!,"="&amp;A35)&amp;")",A35)</f>
        <v>DOA</v>
      </c>
      <c r="F35" s="132"/>
      <c r="G35" s="133"/>
      <c r="H35" s="134"/>
      <c r="I35" s="135"/>
      <c r="J35" s="132"/>
      <c r="K35" s="133"/>
      <c r="L35" s="134"/>
      <c r="M35" s="139"/>
      <c r="N35" s="142"/>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73"/>
    </row>
    <row r="36" spans="1:114" ht="30" customHeight="1" x14ac:dyDescent="0.25">
      <c r="A36" s="7" t="s">
        <v>12</v>
      </c>
      <c r="B36" s="7" t="s">
        <v>26</v>
      </c>
      <c r="C36" s="144" t="s">
        <v>1674</v>
      </c>
      <c r="D36" s="120">
        <f>COUNTA($E$31:$E36)</f>
        <v>6</v>
      </c>
      <c r="E36" s="155" t="str">
        <f>IFERROR(A36&amp;"   ("&amp;COUNTIFS(#REF!,"="&amp;A36)&amp;")",A36)</f>
        <v>DOB</v>
      </c>
      <c r="F36" s="132"/>
      <c r="G36" s="133"/>
      <c r="H36" s="134"/>
      <c r="I36" s="135"/>
      <c r="J36" s="132"/>
      <c r="K36" s="133"/>
      <c r="L36" s="134"/>
      <c r="M36" s="139"/>
      <c r="N36" s="142"/>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73"/>
    </row>
    <row r="37" spans="1:114" ht="30" customHeight="1" x14ac:dyDescent="0.25">
      <c r="A37" s="7" t="s">
        <v>5</v>
      </c>
      <c r="B37" s="7" t="s">
        <v>26</v>
      </c>
      <c r="C37" s="144" t="s">
        <v>1674</v>
      </c>
      <c r="D37" s="120">
        <f>COUNTA($E$31:$E37)</f>
        <v>7</v>
      </c>
      <c r="E37" s="155" t="str">
        <f>IFERROR(A37&amp;"   ("&amp;COUNTIFS(#REF!,"="&amp;A37)&amp;")",A37)</f>
        <v>DOC</v>
      </c>
      <c r="F37" s="132"/>
      <c r="G37" s="133"/>
      <c r="H37" s="134"/>
      <c r="I37" s="135"/>
      <c r="J37" s="132"/>
      <c r="K37" s="133"/>
      <c r="L37" s="134"/>
      <c r="M37" s="139"/>
      <c r="N37" s="142"/>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73"/>
    </row>
    <row r="38" spans="1:114" ht="30" customHeight="1" x14ac:dyDescent="0.25">
      <c r="A38" s="7" t="s">
        <v>7</v>
      </c>
      <c r="B38" s="7" t="s">
        <v>26</v>
      </c>
      <c r="C38" s="144" t="s">
        <v>1674</v>
      </c>
      <c r="D38" s="120">
        <f>COUNTA($E$31:$E38)</f>
        <v>8</v>
      </c>
      <c r="E38" s="155" t="str">
        <f>IFERROR(A38&amp;"   ("&amp;COUNTIFS(#REF!,"="&amp;A38)&amp;")",A38)</f>
        <v>DOD</v>
      </c>
      <c r="F38" s="132"/>
      <c r="G38" s="133"/>
      <c r="H38" s="134"/>
      <c r="I38" s="135"/>
      <c r="J38" s="132"/>
      <c r="K38" s="133"/>
      <c r="L38" s="134"/>
      <c r="M38" s="139"/>
      <c r="N38" s="142"/>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73"/>
    </row>
    <row r="39" spans="1:114" ht="30" customHeight="1" x14ac:dyDescent="0.25">
      <c r="A39" s="7" t="s">
        <v>13</v>
      </c>
      <c r="B39" s="7" t="s">
        <v>26</v>
      </c>
      <c r="C39" s="144" t="s">
        <v>1674</v>
      </c>
      <c r="D39" s="120">
        <f>COUNTA($E$31:$E39)</f>
        <v>9</v>
      </c>
      <c r="E39" s="155" t="str">
        <f>IFERROR(A39&amp;"   ("&amp;COUNTIFS(#REF!,"="&amp;A39)&amp;")",A39)</f>
        <v>DOF</v>
      </c>
      <c r="F39" s="132"/>
      <c r="G39" s="133"/>
      <c r="H39" s="134"/>
      <c r="I39" s="135"/>
      <c r="J39" s="132"/>
      <c r="K39" s="133"/>
      <c r="L39" s="134"/>
      <c r="M39" s="139"/>
      <c r="N39" s="142"/>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73"/>
    </row>
    <row r="40" spans="1:114" ht="30" customHeight="1" x14ac:dyDescent="0.25">
      <c r="A40" s="7" t="s">
        <v>14</v>
      </c>
      <c r="B40" s="7" t="s">
        <v>26</v>
      </c>
      <c r="C40" s="144" t="s">
        <v>1674</v>
      </c>
      <c r="D40" s="120">
        <f>COUNTA($E$31:$E40)</f>
        <v>10</v>
      </c>
      <c r="E40" s="155" t="str">
        <f>IFERROR(A40&amp;"   ("&amp;COUNTIFS(#REF!,"="&amp;A40)&amp;")",A40)</f>
        <v>DOK</v>
      </c>
      <c r="F40" s="132"/>
      <c r="G40" s="133"/>
      <c r="H40" s="134"/>
      <c r="I40" s="135"/>
      <c r="J40" s="132"/>
      <c r="K40" s="133"/>
      <c r="L40" s="134"/>
      <c r="M40" s="139"/>
      <c r="N40" s="142"/>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73"/>
    </row>
    <row r="41" spans="1:114" ht="30" customHeight="1" x14ac:dyDescent="0.25">
      <c r="A41" s="7" t="s">
        <v>18</v>
      </c>
      <c r="B41" s="7" t="s">
        <v>26</v>
      </c>
      <c r="C41" s="144" t="s">
        <v>1674</v>
      </c>
      <c r="D41" s="120">
        <f>COUNTA($E$31:$E41)</f>
        <v>11</v>
      </c>
      <c r="E41" s="155" t="str">
        <f>IFERROR(A41&amp;"   ("&amp;COUNTIFS(#REF!,"="&amp;A41)&amp;")",A41)</f>
        <v>DOM</v>
      </c>
      <c r="F41" s="132"/>
      <c r="G41" s="133"/>
      <c r="H41" s="134"/>
      <c r="I41" s="135"/>
      <c r="J41" s="132"/>
      <c r="K41" s="133"/>
      <c r="L41" s="134"/>
      <c r="M41" s="139"/>
      <c r="N41" s="142"/>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73"/>
    </row>
    <row r="42" spans="1:114" ht="30" customHeight="1" x14ac:dyDescent="0.25">
      <c r="A42" s="7" t="s">
        <v>9</v>
      </c>
      <c r="B42" s="7" t="s">
        <v>26</v>
      </c>
      <c r="C42" s="144" t="s">
        <v>1674</v>
      </c>
      <c r="D42" s="120">
        <f>COUNTA($E$31:$E42)</f>
        <v>12</v>
      </c>
      <c r="E42" s="155" t="str">
        <f>IFERROR(A42&amp;"   ("&amp;COUNTIFS(#REF!,"="&amp;A42)&amp;")",A42)</f>
        <v>DOT</v>
      </c>
      <c r="F42" s="132"/>
      <c r="G42" s="133"/>
      <c r="H42" s="134"/>
      <c r="I42" s="135"/>
      <c r="J42" s="132"/>
      <c r="K42" s="133"/>
      <c r="L42" s="134"/>
      <c r="M42" s="139"/>
      <c r="N42" s="142"/>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73"/>
    </row>
    <row r="43" spans="1:114" ht="30" customHeight="1" x14ac:dyDescent="0.25">
      <c r="A43" s="7" t="s">
        <v>15</v>
      </c>
      <c r="B43" s="7" t="s">
        <v>26</v>
      </c>
      <c r="C43" s="144" t="s">
        <v>1674</v>
      </c>
      <c r="D43" s="120">
        <f>COUNTA($E$31:$E43)</f>
        <v>13</v>
      </c>
      <c r="E43" s="155" t="str">
        <f>IFERROR(A43&amp;"   ("&amp;COUNTIFS(#REF!,"="&amp;A43)&amp;")",A43)</f>
        <v>DOX</v>
      </c>
      <c r="F43" s="132"/>
      <c r="G43" s="133"/>
      <c r="H43" s="134"/>
      <c r="I43" s="135"/>
      <c r="J43" s="132"/>
      <c r="K43" s="133"/>
      <c r="L43" s="134"/>
      <c r="M43" s="139"/>
      <c r="N43" s="142"/>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73"/>
    </row>
    <row r="44" spans="1:114" ht="30" customHeight="1" x14ac:dyDescent="0.25">
      <c r="A44" s="7" t="s">
        <v>10</v>
      </c>
      <c r="B44" s="7" t="s">
        <v>26</v>
      </c>
      <c r="C44" s="144" t="s">
        <v>1674</v>
      </c>
      <c r="D44" s="120">
        <f>COUNTA($E$31:$E44)</f>
        <v>14</v>
      </c>
      <c r="E44" s="155" t="str">
        <f>IFERROR(A44&amp;"   ("&amp;COUNTIFS(#REF!,"="&amp;A44)&amp;")",A44)</f>
        <v>MS</v>
      </c>
      <c r="F44" s="132"/>
      <c r="G44" s="133"/>
      <c r="H44" s="134"/>
      <c r="I44" s="135"/>
      <c r="J44" s="132"/>
      <c r="K44" s="133"/>
      <c r="L44" s="134"/>
      <c r="M44" s="139"/>
      <c r="N44" s="142"/>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73"/>
    </row>
    <row r="45" spans="1:114" ht="30" customHeight="1" x14ac:dyDescent="0.25">
      <c r="A45" s="7" t="s">
        <v>16</v>
      </c>
      <c r="B45" s="7" t="s">
        <v>26</v>
      </c>
      <c r="C45" s="144" t="s">
        <v>1674</v>
      </c>
      <c r="D45" s="120">
        <f>COUNTA($E$31:$E45)</f>
        <v>15</v>
      </c>
      <c r="E45" s="155" t="str">
        <f>IFERROR(A45&amp;"   ("&amp;COUNTIFS(#REF!,"="&amp;A45)&amp;")",A45)</f>
        <v>UDM</v>
      </c>
      <c r="F45" s="132"/>
      <c r="G45" s="133"/>
      <c r="H45" s="134"/>
      <c r="I45" s="135"/>
      <c r="J45" s="132"/>
      <c r="K45" s="133"/>
      <c r="L45" s="134"/>
      <c r="M45" s="139"/>
      <c r="N45" s="142"/>
      <c r="O45" s="119"/>
      <c r="P45" s="119"/>
      <c r="Q45" s="119"/>
      <c r="R45" s="119"/>
      <c r="S45" s="119"/>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119"/>
      <c r="AT45" s="119"/>
      <c r="AU45" s="119"/>
      <c r="AV45" s="119"/>
      <c r="AW45" s="119"/>
      <c r="AX45" s="119"/>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73"/>
    </row>
    <row r="46" spans="1:114" ht="30" customHeight="1" x14ac:dyDescent="0.25">
      <c r="A46" s="7" t="s">
        <v>19</v>
      </c>
      <c r="B46" s="7" t="s">
        <v>26</v>
      </c>
      <c r="C46" s="144" t="s">
        <v>1674</v>
      </c>
      <c r="D46" s="120">
        <f>COUNTA($E$31:$E46)</f>
        <v>16</v>
      </c>
      <c r="E46" s="155" t="str">
        <f>IFERROR(A46&amp;"   ("&amp;COUNTIFS(#REF!,"="&amp;A46)&amp;")",A46)</f>
        <v>UTM</v>
      </c>
      <c r="F46" s="132"/>
      <c r="G46" s="133"/>
      <c r="H46" s="134"/>
      <c r="I46" s="135"/>
      <c r="J46" s="132"/>
      <c r="K46" s="133"/>
      <c r="L46" s="134"/>
      <c r="M46" s="139"/>
      <c r="N46" s="142"/>
      <c r="O46" s="119"/>
      <c r="P46" s="119"/>
      <c r="Q46" s="119"/>
      <c r="R46" s="119"/>
      <c r="S46" s="119"/>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119"/>
      <c r="AT46" s="119"/>
      <c r="AU46" s="119"/>
      <c r="AV46" s="119"/>
      <c r="AW46" s="119"/>
      <c r="AX46" s="119"/>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73"/>
    </row>
    <row r="47" spans="1:114" ht="20.100000000000001" customHeight="1" x14ac:dyDescent="0.25">
      <c r="A47" s="7" t="s">
        <v>60</v>
      </c>
      <c r="B47" s="7" t="s">
        <v>26</v>
      </c>
      <c r="C47" s="144"/>
      <c r="D47" s="67"/>
      <c r="E47" s="8"/>
      <c r="N47" s="58"/>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row>
    <row r="48" spans="1:114" ht="20.100000000000001" customHeight="1" x14ac:dyDescent="0.25">
      <c r="A48" s="7" t="s">
        <v>60</v>
      </c>
      <c r="B48" s="7" t="s">
        <v>64</v>
      </c>
      <c r="C48" s="144"/>
      <c r="D48" s="125" t="s">
        <v>65</v>
      </c>
      <c r="E48" s="159"/>
      <c r="F48" s="131"/>
      <c r="G48" s="131"/>
      <c r="H48" s="131"/>
      <c r="I48" s="131"/>
      <c r="J48" s="131"/>
      <c r="K48" s="131"/>
      <c r="L48" s="131"/>
      <c r="M48" s="131"/>
      <c r="N48" s="140"/>
      <c r="O48" s="217"/>
      <c r="P48" s="217"/>
      <c r="Q48" s="217"/>
      <c r="R48" s="217"/>
      <c r="S48" s="217"/>
      <c r="T48" s="217"/>
      <c r="U48" s="217"/>
      <c r="V48" s="217"/>
      <c r="W48" s="217"/>
      <c r="X48" s="217"/>
      <c r="Y48" s="217"/>
      <c r="Z48" s="217"/>
      <c r="AA48" s="217"/>
      <c r="AB48" s="217"/>
      <c r="AC48" s="217"/>
      <c r="AD48" s="217"/>
      <c r="AE48" s="217"/>
      <c r="AF48" s="217"/>
      <c r="AG48" s="217"/>
      <c r="AH48" s="217"/>
      <c r="AI48" s="217"/>
      <c r="AJ48" s="217"/>
      <c r="AK48" s="217"/>
      <c r="AL48" s="217"/>
      <c r="AM48" s="217"/>
      <c r="AN48" s="217"/>
      <c r="AO48" s="217"/>
      <c r="AP48" s="217"/>
      <c r="AQ48" s="217"/>
      <c r="AR48" s="217"/>
      <c r="AS48" s="217"/>
      <c r="AT48" s="217"/>
      <c r="AU48" s="217"/>
      <c r="AV48" s="217"/>
      <c r="AW48" s="217"/>
      <c r="AX48" s="217"/>
      <c r="AY48" s="217"/>
      <c r="AZ48" s="217"/>
      <c r="BA48" s="217"/>
      <c r="BB48" s="217"/>
      <c r="BC48" s="217"/>
      <c r="BD48" s="217"/>
      <c r="BE48" s="217"/>
      <c r="BF48" s="217"/>
      <c r="BG48" s="217"/>
      <c r="BH48" s="217"/>
      <c r="BI48" s="217"/>
      <c r="BJ48" s="217"/>
      <c r="BK48" s="217"/>
      <c r="BL48" s="217"/>
      <c r="BM48" s="217"/>
      <c r="BN48" s="217"/>
      <c r="BO48" s="217"/>
      <c r="BP48" s="217"/>
      <c r="BQ48" s="217"/>
      <c r="BR48" s="217"/>
      <c r="BS48" s="217"/>
      <c r="BT48" s="217"/>
      <c r="BU48" s="217"/>
      <c r="BV48" s="217"/>
      <c r="BW48" s="217"/>
      <c r="BX48" s="217"/>
      <c r="BY48" s="217"/>
      <c r="BZ48" s="217"/>
      <c r="CA48" s="217"/>
      <c r="CB48" s="217"/>
      <c r="CC48" s="217"/>
      <c r="CD48" s="217"/>
      <c r="CE48" s="217"/>
      <c r="CF48" s="217"/>
      <c r="CG48" s="217"/>
      <c r="CH48" s="217"/>
      <c r="CI48" s="217"/>
      <c r="CJ48" s="217"/>
      <c r="CK48" s="217"/>
      <c r="CL48" s="217"/>
      <c r="CM48" s="217"/>
      <c r="CN48" s="217"/>
      <c r="CO48" s="217"/>
      <c r="CP48" s="217"/>
      <c r="CQ48" s="217"/>
      <c r="CR48" s="217"/>
      <c r="CS48" s="217"/>
      <c r="CT48" s="217"/>
      <c r="CU48" s="217"/>
      <c r="CV48" s="217"/>
      <c r="CW48" s="217"/>
      <c r="CX48" s="217"/>
      <c r="CY48" s="217"/>
      <c r="CZ48" s="217"/>
      <c r="DA48" s="217"/>
      <c r="DB48" s="217"/>
      <c r="DC48" s="217"/>
      <c r="DD48" s="217"/>
      <c r="DE48" s="217"/>
      <c r="DF48" s="217"/>
      <c r="DG48" s="217"/>
      <c r="DH48" s="217"/>
      <c r="DI48" s="217"/>
      <c r="DJ48" s="218"/>
    </row>
    <row r="49" spans="1:114" ht="30" customHeight="1" x14ac:dyDescent="0.25">
      <c r="A49" s="7" t="s">
        <v>4</v>
      </c>
      <c r="B49" s="7" t="s">
        <v>64</v>
      </c>
      <c r="C49" s="144"/>
      <c r="D49" s="120"/>
      <c r="E49" s="155" t="str">
        <f>IFERROR(A49&amp;"   ("&amp;COUNTIFS(#REF!,"="&amp;A49)&amp;")",A49)</f>
        <v>11 SOIS</v>
      </c>
      <c r="F49" s="132"/>
      <c r="G49" s="133"/>
      <c r="H49" s="134"/>
      <c r="I49" s="135"/>
      <c r="J49" s="132"/>
      <c r="K49" s="133"/>
      <c r="L49" s="134"/>
      <c r="M49" s="139"/>
      <c r="N49" s="142"/>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73"/>
    </row>
    <row r="50" spans="1:114" ht="9.9499999999999993" customHeight="1" x14ac:dyDescent="0.25">
      <c r="A50" s="7" t="s">
        <v>4</v>
      </c>
      <c r="B50" s="7" t="s">
        <v>64</v>
      </c>
      <c r="C50" s="144"/>
      <c r="D50" s="124"/>
      <c r="E50" s="158"/>
      <c r="F50" s="136"/>
      <c r="G50" s="136"/>
      <c r="H50" s="136"/>
      <c r="I50" s="136"/>
      <c r="J50" s="136"/>
      <c r="K50" s="136"/>
      <c r="L50" s="136"/>
      <c r="M50" s="136"/>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c r="BA50" s="58"/>
      <c r="BB50" s="58"/>
      <c r="BC50" s="58"/>
      <c r="BD50" s="58"/>
      <c r="BE50" s="58"/>
      <c r="BF50" s="58"/>
      <c r="BG50" s="58"/>
      <c r="BH50" s="58"/>
      <c r="BI50" s="58"/>
      <c r="BJ50" s="58"/>
      <c r="BK50" s="58"/>
      <c r="BL50" s="58"/>
      <c r="BM50" s="58"/>
      <c r="BN50" s="58"/>
      <c r="BO50" s="58"/>
      <c r="BP50" s="58"/>
      <c r="BQ50" s="58"/>
      <c r="BR50" s="58"/>
      <c r="BS50" s="58"/>
      <c r="BT50" s="58"/>
      <c r="BU50" s="58"/>
      <c r="BV50" s="58"/>
      <c r="BW50" s="58"/>
      <c r="BX50" s="58"/>
      <c r="BY50" s="58"/>
      <c r="BZ50" s="58"/>
      <c r="CA50" s="58"/>
      <c r="CB50" s="58"/>
      <c r="CC50" s="58"/>
      <c r="CD50" s="58"/>
      <c r="CE50" s="58"/>
      <c r="CF50" s="58"/>
      <c r="CG50" s="58"/>
      <c r="CH50" s="58"/>
      <c r="CI50" s="58"/>
      <c r="CJ50" s="58"/>
      <c r="CK50" s="58"/>
      <c r="CL50" s="58"/>
      <c r="CM50" s="58"/>
      <c r="CN50" s="58"/>
      <c r="CO50" s="58"/>
      <c r="CP50" s="58"/>
      <c r="CQ50" s="58"/>
      <c r="CR50" s="58"/>
      <c r="CS50" s="58"/>
      <c r="CT50" s="58"/>
      <c r="CU50" s="58"/>
      <c r="CV50" s="58"/>
      <c r="CW50" s="58"/>
      <c r="CX50" s="58"/>
      <c r="CY50" s="58"/>
      <c r="CZ50" s="58"/>
      <c r="DA50" s="58"/>
      <c r="DB50" s="58"/>
      <c r="DC50" s="58"/>
      <c r="DD50" s="58"/>
      <c r="DE50" s="58"/>
      <c r="DF50" s="58"/>
      <c r="DG50" s="58"/>
      <c r="DH50" s="58"/>
      <c r="DI50" s="58"/>
      <c r="DJ50" s="58"/>
    </row>
    <row r="51" spans="1:114" ht="30" customHeight="1" x14ac:dyDescent="0.25">
      <c r="A51" s="7" t="s">
        <v>6</v>
      </c>
      <c r="B51" s="7" t="s">
        <v>64</v>
      </c>
      <c r="C51" s="144" t="s">
        <v>1674</v>
      </c>
      <c r="D51" s="120">
        <f>COUNTA($E$51:$E51)</f>
        <v>1</v>
      </c>
      <c r="E51" s="155" t="str">
        <f>IFERROR(A51&amp;"   ("&amp;COUNTIFS(#REF!,"="&amp;A51)&amp;")",A51)</f>
        <v>CCI</v>
      </c>
      <c r="F51" s="132"/>
      <c r="G51" s="133"/>
      <c r="H51" s="134"/>
      <c r="I51" s="135"/>
      <c r="J51" s="132"/>
      <c r="K51" s="133"/>
      <c r="L51" s="134"/>
      <c r="M51" s="139"/>
      <c r="N51" s="142"/>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73"/>
    </row>
    <row r="52" spans="1:114" ht="30" customHeight="1" x14ac:dyDescent="0.25">
      <c r="A52" s="7" t="s">
        <v>11</v>
      </c>
      <c r="B52" s="7" t="s">
        <v>64</v>
      </c>
      <c r="C52" s="144" t="s">
        <v>1674</v>
      </c>
      <c r="D52" s="120">
        <f>COUNTA($E$51:$E52)</f>
        <v>2</v>
      </c>
      <c r="E52" s="155" t="str">
        <f>IFERROR(A52&amp;"   ("&amp;COUNTIFS(#REF!,"="&amp;A52)&amp;")",A52)</f>
        <v>CCV</v>
      </c>
      <c r="F52" s="132"/>
      <c r="G52" s="133"/>
      <c r="H52" s="134"/>
      <c r="I52" s="135"/>
      <c r="J52" s="132"/>
      <c r="K52" s="133"/>
      <c r="L52" s="134"/>
      <c r="M52" s="139"/>
      <c r="N52" s="142"/>
      <c r="O52" s="122"/>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c r="AX52" s="122"/>
      <c r="AY52" s="122"/>
      <c r="AZ52" s="122"/>
      <c r="BA52" s="122"/>
      <c r="BB52" s="122"/>
      <c r="BC52" s="122"/>
      <c r="BD52" s="122"/>
      <c r="BE52" s="122"/>
      <c r="BF52" s="122"/>
      <c r="BG52" s="122"/>
      <c r="BH52" s="122"/>
      <c r="BI52" s="122"/>
      <c r="BJ52" s="122"/>
      <c r="BK52" s="122"/>
      <c r="BL52" s="122"/>
      <c r="BM52" s="122"/>
      <c r="BN52" s="122"/>
      <c r="BO52" s="122"/>
      <c r="BP52" s="122"/>
      <c r="BQ52" s="122"/>
      <c r="BR52" s="122"/>
      <c r="BS52" s="122"/>
      <c r="BT52" s="122"/>
      <c r="BU52" s="122"/>
      <c r="BV52" s="122"/>
      <c r="BW52" s="122"/>
      <c r="BX52" s="122"/>
      <c r="BY52" s="122"/>
      <c r="BZ52" s="122"/>
      <c r="CA52" s="122"/>
      <c r="CB52" s="122"/>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1"/>
    </row>
    <row r="53" spans="1:114" ht="30" customHeight="1" x14ac:dyDescent="0.25">
      <c r="A53" s="7" t="s">
        <v>1670</v>
      </c>
      <c r="B53" s="7" t="s">
        <v>64</v>
      </c>
      <c r="C53" s="144" t="s">
        <v>1674</v>
      </c>
      <c r="D53" s="120">
        <f>COUNTA($E$51:$E53)</f>
        <v>3</v>
      </c>
      <c r="E53" s="155" t="str">
        <f>IFERROR(A53&amp;"   ("&amp;COUNTIFS(#REF!,"="&amp;A53)&amp;")",A53)</f>
        <v>CMD</v>
      </c>
      <c r="F53" s="132"/>
      <c r="G53" s="133"/>
      <c r="H53" s="134"/>
      <c r="I53" s="135"/>
      <c r="J53" s="132"/>
      <c r="K53" s="133"/>
      <c r="L53" s="134"/>
      <c r="M53" s="139"/>
      <c r="N53" s="142"/>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73"/>
    </row>
    <row r="54" spans="1:114" ht="30" customHeight="1" x14ac:dyDescent="0.25">
      <c r="A54" s="7" t="s">
        <v>17</v>
      </c>
      <c r="B54" s="7" t="s">
        <v>64</v>
      </c>
      <c r="C54" s="144" t="s">
        <v>1674</v>
      </c>
      <c r="D54" s="120">
        <f>COUNTA($E$51:$E54)</f>
        <v>4</v>
      </c>
      <c r="E54" s="155" t="str">
        <f>IFERROR(A54&amp;"   ("&amp;COUNTIFS(#REF!,"="&amp;A54)&amp;")",A54)</f>
        <v>DO</v>
      </c>
      <c r="F54" s="132"/>
      <c r="G54" s="133"/>
      <c r="H54" s="134"/>
      <c r="I54" s="135"/>
      <c r="J54" s="132"/>
      <c r="K54" s="133"/>
      <c r="L54" s="134"/>
      <c r="M54" s="139"/>
      <c r="N54" s="142"/>
      <c r="O54" s="119"/>
      <c r="P54" s="119"/>
      <c r="Q54" s="119"/>
      <c r="R54" s="119"/>
      <c r="S54" s="119"/>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119"/>
      <c r="AT54" s="119"/>
      <c r="AU54" s="119"/>
      <c r="AV54" s="119"/>
      <c r="AW54" s="119"/>
      <c r="AX54" s="119"/>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73"/>
    </row>
    <row r="55" spans="1:114" ht="30" customHeight="1" x14ac:dyDescent="0.25">
      <c r="A55" s="7" t="s">
        <v>8</v>
      </c>
      <c r="B55" s="7" t="s">
        <v>64</v>
      </c>
      <c r="C55" s="144" t="s">
        <v>1674</v>
      </c>
      <c r="D55" s="120">
        <f>COUNTA($E$51:$E55)</f>
        <v>5</v>
      </c>
      <c r="E55" s="155" t="str">
        <f>IFERROR(A55&amp;"   ("&amp;COUNTIFS(#REF!,"="&amp;A55)&amp;")",A55)</f>
        <v>DOA</v>
      </c>
      <c r="F55" s="132"/>
      <c r="G55" s="133"/>
      <c r="H55" s="134"/>
      <c r="I55" s="135"/>
      <c r="J55" s="132"/>
      <c r="K55" s="133"/>
      <c r="L55" s="134"/>
      <c r="M55" s="139"/>
      <c r="N55" s="142"/>
      <c r="O55" s="119"/>
      <c r="P55" s="119"/>
      <c r="Q55" s="119"/>
      <c r="R55" s="119"/>
      <c r="S55" s="119"/>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119"/>
      <c r="AT55" s="119"/>
      <c r="AU55" s="119"/>
      <c r="AV55" s="119"/>
      <c r="AW55" s="119"/>
      <c r="AX55" s="119"/>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73"/>
    </row>
    <row r="56" spans="1:114" ht="30" customHeight="1" x14ac:dyDescent="0.25">
      <c r="A56" s="7" t="s">
        <v>12</v>
      </c>
      <c r="B56" s="7" t="s">
        <v>64</v>
      </c>
      <c r="C56" s="144" t="s">
        <v>1674</v>
      </c>
      <c r="D56" s="120">
        <f>COUNTA($E$51:$E56)</f>
        <v>6</v>
      </c>
      <c r="E56" s="155" t="str">
        <f>IFERROR(A56&amp;"   ("&amp;COUNTIFS(#REF!,"="&amp;A56)&amp;")",A56)</f>
        <v>DOB</v>
      </c>
      <c r="F56" s="132"/>
      <c r="G56" s="133"/>
      <c r="H56" s="134"/>
      <c r="I56" s="135"/>
      <c r="J56" s="132"/>
      <c r="K56" s="133"/>
      <c r="L56" s="134"/>
      <c r="M56" s="139"/>
      <c r="N56" s="142"/>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73"/>
    </row>
    <row r="57" spans="1:114" ht="30" customHeight="1" x14ac:dyDescent="0.25">
      <c r="A57" s="7" t="s">
        <v>5</v>
      </c>
      <c r="B57" s="7" t="s">
        <v>64</v>
      </c>
      <c r="C57" s="144" t="s">
        <v>1674</v>
      </c>
      <c r="D57" s="120">
        <f>COUNTA($E$51:$E57)</f>
        <v>7</v>
      </c>
      <c r="E57" s="155" t="str">
        <f>IFERROR(A57&amp;"   ("&amp;COUNTIFS(#REF!,"="&amp;A57)&amp;")",A57)</f>
        <v>DOC</v>
      </c>
      <c r="F57" s="132"/>
      <c r="G57" s="133"/>
      <c r="H57" s="134"/>
      <c r="I57" s="135"/>
      <c r="J57" s="132"/>
      <c r="K57" s="133"/>
      <c r="L57" s="134"/>
      <c r="M57" s="139"/>
      <c r="N57" s="142"/>
      <c r="O57" s="119"/>
      <c r="P57" s="119"/>
      <c r="Q57" s="119"/>
      <c r="R57" s="119"/>
      <c r="S57" s="119"/>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73"/>
    </row>
    <row r="58" spans="1:114" ht="30" customHeight="1" x14ac:dyDescent="0.25">
      <c r="A58" s="7" t="s">
        <v>7</v>
      </c>
      <c r="B58" s="7" t="s">
        <v>64</v>
      </c>
      <c r="C58" s="144" t="s">
        <v>1674</v>
      </c>
      <c r="D58" s="120">
        <f>COUNTA($E$51:$E58)</f>
        <v>8</v>
      </c>
      <c r="E58" s="155" t="str">
        <f>IFERROR(A58&amp;"   ("&amp;COUNTIFS(#REF!,"="&amp;A58)&amp;")",A58)</f>
        <v>DOD</v>
      </c>
      <c r="F58" s="132"/>
      <c r="G58" s="133"/>
      <c r="H58" s="134"/>
      <c r="I58" s="135"/>
      <c r="J58" s="132"/>
      <c r="K58" s="133"/>
      <c r="L58" s="134"/>
      <c r="M58" s="139"/>
      <c r="N58" s="142"/>
      <c r="O58" s="119"/>
      <c r="P58" s="119"/>
      <c r="Q58" s="119"/>
      <c r="R58" s="119"/>
      <c r="S58" s="119"/>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119"/>
      <c r="AT58" s="119"/>
      <c r="AU58" s="119"/>
      <c r="AV58" s="119"/>
      <c r="AW58" s="119"/>
      <c r="AX58" s="119"/>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73"/>
    </row>
    <row r="59" spans="1:114" ht="30" customHeight="1" x14ac:dyDescent="0.25">
      <c r="A59" s="7" t="s">
        <v>13</v>
      </c>
      <c r="B59" s="7" t="s">
        <v>64</v>
      </c>
      <c r="C59" s="144" t="s">
        <v>1674</v>
      </c>
      <c r="D59" s="120">
        <f>COUNTA($E$51:$E59)</f>
        <v>9</v>
      </c>
      <c r="E59" s="155" t="str">
        <f>IFERROR(A59&amp;"   ("&amp;COUNTIFS(#REF!,"="&amp;A59)&amp;")",A59)</f>
        <v>DOF</v>
      </c>
      <c r="F59" s="132"/>
      <c r="G59" s="133"/>
      <c r="H59" s="134"/>
      <c r="I59" s="135"/>
      <c r="J59" s="132"/>
      <c r="K59" s="133"/>
      <c r="L59" s="134"/>
      <c r="M59" s="139"/>
      <c r="N59" s="142"/>
      <c r="O59" s="119"/>
      <c r="P59" s="119"/>
      <c r="Q59" s="119"/>
      <c r="R59" s="119"/>
      <c r="S59" s="119"/>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119"/>
      <c r="AT59" s="119"/>
      <c r="AU59" s="119"/>
      <c r="AV59" s="119"/>
      <c r="AW59" s="119"/>
      <c r="AX59" s="119"/>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73"/>
    </row>
    <row r="60" spans="1:114" ht="30" customHeight="1" x14ac:dyDescent="0.25">
      <c r="A60" s="7" t="s">
        <v>14</v>
      </c>
      <c r="B60" s="7" t="s">
        <v>64</v>
      </c>
      <c r="C60" s="144" t="s">
        <v>1674</v>
      </c>
      <c r="D60" s="120">
        <f>COUNTA($E$51:$E60)</f>
        <v>10</v>
      </c>
      <c r="E60" s="155" t="str">
        <f>IFERROR(A60&amp;"   ("&amp;COUNTIFS(#REF!,"="&amp;A60)&amp;")",A60)</f>
        <v>DOK</v>
      </c>
      <c r="F60" s="132"/>
      <c r="G60" s="133"/>
      <c r="H60" s="134"/>
      <c r="I60" s="135"/>
      <c r="J60" s="132"/>
      <c r="K60" s="133"/>
      <c r="L60" s="134"/>
      <c r="M60" s="139"/>
      <c r="N60" s="142"/>
      <c r="O60" s="119"/>
      <c r="P60" s="119"/>
      <c r="Q60" s="119"/>
      <c r="R60" s="119"/>
      <c r="S60" s="119"/>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119"/>
      <c r="AT60" s="119"/>
      <c r="AU60" s="119"/>
      <c r="AV60" s="119"/>
      <c r="AW60" s="119"/>
      <c r="AX60" s="119"/>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73"/>
    </row>
    <row r="61" spans="1:114" ht="30" customHeight="1" x14ac:dyDescent="0.25">
      <c r="A61" s="7" t="s">
        <v>18</v>
      </c>
      <c r="B61" s="7" t="s">
        <v>64</v>
      </c>
      <c r="C61" s="144" t="s">
        <v>1674</v>
      </c>
      <c r="D61" s="120">
        <f>COUNTA($E$51:$E61)</f>
        <v>11</v>
      </c>
      <c r="E61" s="155" t="str">
        <f>IFERROR(A61&amp;"   ("&amp;COUNTIFS(#REF!,"="&amp;A61)&amp;")",A61)</f>
        <v>DOM</v>
      </c>
      <c r="F61" s="132"/>
      <c r="G61" s="133"/>
      <c r="H61" s="134"/>
      <c r="I61" s="135"/>
      <c r="J61" s="132"/>
      <c r="K61" s="133"/>
      <c r="L61" s="134"/>
      <c r="M61" s="139"/>
      <c r="N61" s="142"/>
      <c r="O61" s="119"/>
      <c r="P61" s="119"/>
      <c r="Q61" s="119"/>
      <c r="R61" s="119"/>
      <c r="S61" s="119"/>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119"/>
      <c r="AT61" s="119"/>
      <c r="AU61" s="119"/>
      <c r="AV61" s="119"/>
      <c r="AW61" s="119"/>
      <c r="AX61" s="119"/>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73"/>
    </row>
    <row r="62" spans="1:114" ht="30" customHeight="1" x14ac:dyDescent="0.25">
      <c r="A62" s="7" t="s">
        <v>9</v>
      </c>
      <c r="B62" s="7" t="s">
        <v>64</v>
      </c>
      <c r="C62" s="144" t="s">
        <v>1674</v>
      </c>
      <c r="D62" s="120">
        <f>COUNTA($E$51:$E62)</f>
        <v>12</v>
      </c>
      <c r="E62" s="155" t="str">
        <f>IFERROR(A62&amp;"   ("&amp;COUNTIFS(#REF!,"="&amp;A62)&amp;")",A62)</f>
        <v>DOT</v>
      </c>
      <c r="F62" s="132"/>
      <c r="G62" s="133"/>
      <c r="H62" s="134"/>
      <c r="I62" s="135"/>
      <c r="J62" s="132"/>
      <c r="K62" s="133"/>
      <c r="L62" s="134"/>
      <c r="M62" s="139"/>
      <c r="N62" s="142"/>
      <c r="O62" s="119"/>
      <c r="P62" s="119"/>
      <c r="Q62" s="119"/>
      <c r="R62" s="119"/>
      <c r="S62" s="119"/>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119"/>
      <c r="AT62" s="119"/>
      <c r="AU62" s="119"/>
      <c r="AV62" s="119"/>
      <c r="AW62" s="119"/>
      <c r="AX62" s="119"/>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73"/>
    </row>
    <row r="63" spans="1:114" ht="30" customHeight="1" x14ac:dyDescent="0.25">
      <c r="A63" s="7" t="s">
        <v>15</v>
      </c>
      <c r="B63" s="7" t="s">
        <v>64</v>
      </c>
      <c r="C63" s="144" t="s">
        <v>1674</v>
      </c>
      <c r="D63" s="120">
        <f>COUNTA($E$51:$E63)</f>
        <v>13</v>
      </c>
      <c r="E63" s="155" t="str">
        <f>IFERROR(A63&amp;"   ("&amp;COUNTIFS(#REF!,"="&amp;A63)&amp;")",A63)</f>
        <v>DOX</v>
      </c>
      <c r="F63" s="132"/>
      <c r="G63" s="133"/>
      <c r="H63" s="134"/>
      <c r="I63" s="135"/>
      <c r="J63" s="132"/>
      <c r="K63" s="133"/>
      <c r="L63" s="134"/>
      <c r="M63" s="139"/>
      <c r="N63" s="142"/>
      <c r="O63" s="119"/>
      <c r="P63" s="119"/>
      <c r="Q63" s="119"/>
      <c r="R63" s="119"/>
      <c r="S63" s="119"/>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119"/>
      <c r="AT63" s="119"/>
      <c r="AU63" s="119"/>
      <c r="AV63" s="119"/>
      <c r="AW63" s="119"/>
      <c r="AX63" s="119"/>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73"/>
    </row>
    <row r="64" spans="1:114" ht="30" customHeight="1" x14ac:dyDescent="0.25">
      <c r="A64" s="7" t="s">
        <v>10</v>
      </c>
      <c r="B64" s="7" t="s">
        <v>64</v>
      </c>
      <c r="C64" s="144" t="s">
        <v>1674</v>
      </c>
      <c r="D64" s="120">
        <f>COUNTA($E$51:$E64)</f>
        <v>14</v>
      </c>
      <c r="E64" s="155" t="str">
        <f>IFERROR(A64&amp;"   ("&amp;COUNTIFS(#REF!,"="&amp;A64)&amp;")",A64)</f>
        <v>MS</v>
      </c>
      <c r="F64" s="132"/>
      <c r="G64" s="133"/>
      <c r="H64" s="134"/>
      <c r="I64" s="135"/>
      <c r="J64" s="132"/>
      <c r="K64" s="133"/>
      <c r="L64" s="134"/>
      <c r="M64" s="139"/>
      <c r="N64" s="142"/>
      <c r="O64" s="119"/>
      <c r="P64" s="119"/>
      <c r="Q64" s="119"/>
      <c r="R64" s="119"/>
      <c r="S64" s="119"/>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119"/>
      <c r="AT64" s="119"/>
      <c r="AU64" s="119"/>
      <c r="AV64" s="119"/>
      <c r="AW64" s="119"/>
      <c r="AX64" s="119"/>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73"/>
    </row>
    <row r="65" spans="1:114" ht="30" customHeight="1" x14ac:dyDescent="0.25">
      <c r="A65" s="7" t="s">
        <v>16</v>
      </c>
      <c r="B65" s="7" t="s">
        <v>64</v>
      </c>
      <c r="C65" s="144" t="s">
        <v>1674</v>
      </c>
      <c r="D65" s="120">
        <f>COUNTA($E$51:$E65)</f>
        <v>15</v>
      </c>
      <c r="E65" s="155" t="str">
        <f>IFERROR(A65&amp;"   ("&amp;COUNTIFS(#REF!,"="&amp;A65)&amp;")",A65)</f>
        <v>UDM</v>
      </c>
      <c r="F65" s="132"/>
      <c r="G65" s="133"/>
      <c r="H65" s="134"/>
      <c r="I65" s="135"/>
      <c r="J65" s="132"/>
      <c r="K65" s="133"/>
      <c r="L65" s="134"/>
      <c r="M65" s="139"/>
      <c r="N65" s="142"/>
      <c r="O65" s="119"/>
      <c r="P65" s="119"/>
      <c r="Q65" s="119"/>
      <c r="R65" s="119"/>
      <c r="S65" s="119"/>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119"/>
      <c r="AT65" s="119"/>
      <c r="AU65" s="119"/>
      <c r="AV65" s="119"/>
      <c r="AW65" s="119"/>
      <c r="AX65" s="119"/>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73"/>
    </row>
    <row r="66" spans="1:114" ht="30" customHeight="1" x14ac:dyDescent="0.25">
      <c r="A66" s="7" t="s">
        <v>19</v>
      </c>
      <c r="B66" s="7" t="s">
        <v>64</v>
      </c>
      <c r="C66" s="144" t="s">
        <v>1674</v>
      </c>
      <c r="D66" s="120">
        <f>COUNTA($E$51:$E66)</f>
        <v>16</v>
      </c>
      <c r="E66" s="155" t="str">
        <f>IFERROR(A66&amp;"   ("&amp;COUNTIFS(#REF!,"="&amp;A66)&amp;")",A66)</f>
        <v>UTM</v>
      </c>
      <c r="F66" s="132"/>
      <c r="G66" s="133"/>
      <c r="H66" s="134"/>
      <c r="I66" s="135"/>
      <c r="J66" s="132"/>
      <c r="K66" s="133"/>
      <c r="L66" s="134"/>
      <c r="M66" s="139"/>
      <c r="N66" s="142"/>
      <c r="O66" s="119"/>
      <c r="P66" s="119"/>
      <c r="Q66" s="119"/>
      <c r="R66" s="119"/>
      <c r="S66" s="119"/>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73"/>
    </row>
    <row r="67" spans="1:114" ht="20.100000000000001" customHeight="1" x14ac:dyDescent="0.25">
      <c r="A67" s="7" t="s">
        <v>60</v>
      </c>
      <c r="B67" s="7" t="s">
        <v>64</v>
      </c>
      <c r="C67" s="144"/>
      <c r="D67" s="67"/>
      <c r="E67" s="8"/>
      <c r="N67" s="58"/>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c r="DA67" s="7"/>
      <c r="DB67" s="7"/>
      <c r="DC67" s="7"/>
      <c r="DD67" s="7"/>
      <c r="DE67" s="7"/>
      <c r="DF67" s="7"/>
      <c r="DG67" s="7"/>
      <c r="DH67" s="7"/>
      <c r="DI67" s="7"/>
      <c r="DJ67" s="7"/>
    </row>
    <row r="68" spans="1:114" ht="20.100000000000001" customHeight="1" x14ac:dyDescent="0.25">
      <c r="A68" s="7" t="s">
        <v>60</v>
      </c>
      <c r="B68" s="7" t="s">
        <v>55</v>
      </c>
      <c r="C68" s="144"/>
      <c r="D68" s="125" t="s">
        <v>55</v>
      </c>
      <c r="E68" s="159"/>
      <c r="F68" s="131"/>
      <c r="G68" s="131"/>
      <c r="H68" s="131"/>
      <c r="I68" s="131"/>
      <c r="J68" s="131"/>
      <c r="K68" s="131"/>
      <c r="L68" s="131"/>
      <c r="M68" s="131"/>
      <c r="N68" s="140"/>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c r="BA68" s="217"/>
      <c r="BB68" s="217"/>
      <c r="BC68" s="217"/>
      <c r="BD68" s="217"/>
      <c r="BE68" s="217"/>
      <c r="BF68" s="217"/>
      <c r="BG68" s="217"/>
      <c r="BH68" s="217"/>
      <c r="BI68" s="217"/>
      <c r="BJ68" s="217"/>
      <c r="BK68" s="217"/>
      <c r="BL68" s="217"/>
      <c r="BM68" s="217"/>
      <c r="BN68" s="217"/>
      <c r="BO68" s="217"/>
      <c r="BP68" s="217"/>
      <c r="BQ68" s="217"/>
      <c r="BR68" s="217"/>
      <c r="BS68" s="217"/>
      <c r="BT68" s="217"/>
      <c r="BU68" s="217"/>
      <c r="BV68" s="217"/>
      <c r="BW68" s="217"/>
      <c r="BX68" s="217"/>
      <c r="BY68" s="217"/>
      <c r="BZ68" s="217"/>
      <c r="CA68" s="217"/>
      <c r="CB68" s="217"/>
      <c r="CC68" s="217"/>
      <c r="CD68" s="217"/>
      <c r="CE68" s="217"/>
      <c r="CF68" s="217"/>
      <c r="CG68" s="217"/>
      <c r="CH68" s="217"/>
      <c r="CI68" s="217"/>
      <c r="CJ68" s="217"/>
      <c r="CK68" s="217"/>
      <c r="CL68" s="217"/>
      <c r="CM68" s="217"/>
      <c r="CN68" s="217"/>
      <c r="CO68" s="217"/>
      <c r="CP68" s="217"/>
      <c r="CQ68" s="217"/>
      <c r="CR68" s="217"/>
      <c r="CS68" s="217"/>
      <c r="CT68" s="217"/>
      <c r="CU68" s="217"/>
      <c r="CV68" s="217"/>
      <c r="CW68" s="217"/>
      <c r="CX68" s="217"/>
      <c r="CY68" s="217"/>
      <c r="CZ68" s="217"/>
      <c r="DA68" s="217"/>
      <c r="DB68" s="217"/>
      <c r="DC68" s="217"/>
      <c r="DD68" s="217"/>
      <c r="DE68" s="217"/>
      <c r="DF68" s="217"/>
      <c r="DG68" s="217"/>
      <c r="DH68" s="217"/>
      <c r="DI68" s="217"/>
      <c r="DJ68" s="218"/>
    </row>
    <row r="69" spans="1:114" ht="30" customHeight="1" x14ac:dyDescent="0.25">
      <c r="A69" s="7" t="s">
        <v>4</v>
      </c>
      <c r="B69" s="7" t="s">
        <v>55</v>
      </c>
      <c r="C69" s="144"/>
      <c r="D69" s="120"/>
      <c r="E69" s="155" t="str">
        <f>IFERROR(A69&amp;"   ("&amp;COUNTIFS(#REF!,"="&amp;A69)&amp;")",A69)</f>
        <v>11 SOIS</v>
      </c>
      <c r="F69" s="132"/>
      <c r="G69" s="133"/>
      <c r="H69" s="134"/>
      <c r="I69" s="135"/>
      <c r="J69" s="132"/>
      <c r="K69" s="133"/>
      <c r="L69" s="134"/>
      <c r="M69" s="139"/>
      <c r="N69" s="142"/>
      <c r="O69" s="119"/>
      <c r="P69" s="119"/>
      <c r="Q69" s="119"/>
      <c r="R69" s="119"/>
      <c r="S69" s="119"/>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119"/>
      <c r="AT69" s="119"/>
      <c r="AU69" s="119"/>
      <c r="AV69" s="119"/>
      <c r="AW69" s="119"/>
      <c r="AX69" s="119"/>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73"/>
    </row>
    <row r="70" spans="1:114" ht="9.9499999999999993" customHeight="1" x14ac:dyDescent="0.25">
      <c r="A70" s="7" t="s">
        <v>4</v>
      </c>
      <c r="B70" s="7" t="s">
        <v>55</v>
      </c>
      <c r="C70" s="144"/>
      <c r="D70" s="124"/>
      <c r="E70" s="158"/>
      <c r="F70" s="136"/>
      <c r="G70" s="136"/>
      <c r="H70" s="136"/>
      <c r="I70" s="136"/>
      <c r="J70" s="136"/>
      <c r="K70" s="136"/>
      <c r="L70" s="136"/>
      <c r="M70" s="136"/>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58"/>
      <c r="BO70" s="58"/>
      <c r="BP70" s="58"/>
      <c r="BQ70" s="58"/>
      <c r="BR70" s="58"/>
      <c r="BS70" s="58"/>
      <c r="BT70" s="58"/>
      <c r="BU70" s="58"/>
      <c r="BV70" s="58"/>
      <c r="BW70" s="58"/>
      <c r="BX70" s="58"/>
      <c r="BY70" s="58"/>
      <c r="BZ70" s="58"/>
      <c r="CA70" s="58"/>
      <c r="CB70" s="58"/>
      <c r="CC70" s="58"/>
      <c r="CD70" s="58"/>
      <c r="CE70" s="58"/>
      <c r="CF70" s="58"/>
      <c r="CG70" s="58"/>
      <c r="CH70" s="58"/>
      <c r="CI70" s="58"/>
      <c r="CJ70" s="58"/>
      <c r="CK70" s="58"/>
      <c r="CL70" s="58"/>
      <c r="CM70" s="58"/>
      <c r="CN70" s="58"/>
      <c r="CO70" s="58"/>
      <c r="CP70" s="58"/>
      <c r="CQ70" s="58"/>
      <c r="CR70" s="58"/>
      <c r="CS70" s="58"/>
      <c r="CT70" s="58"/>
      <c r="CU70" s="58"/>
      <c r="CV70" s="58"/>
      <c r="CW70" s="58"/>
      <c r="CX70" s="58"/>
      <c r="CY70" s="58"/>
      <c r="CZ70" s="58"/>
      <c r="DA70" s="58"/>
      <c r="DB70" s="58"/>
      <c r="DC70" s="58"/>
      <c r="DD70" s="58"/>
      <c r="DE70" s="58"/>
      <c r="DF70" s="58"/>
      <c r="DG70" s="58"/>
      <c r="DH70" s="58"/>
      <c r="DI70" s="58"/>
      <c r="DJ70" s="58"/>
    </row>
    <row r="71" spans="1:114" ht="30" customHeight="1" x14ac:dyDescent="0.25">
      <c r="A71" s="7" t="s">
        <v>6</v>
      </c>
      <c r="B71" s="7" t="s">
        <v>55</v>
      </c>
      <c r="C71" s="144" t="s">
        <v>1674</v>
      </c>
      <c r="D71" s="120">
        <f>COUNTA($E$71:$E71)</f>
        <v>1</v>
      </c>
      <c r="E71" s="155" t="str">
        <f>IFERROR(A71&amp;"   ("&amp;COUNTIFS(#REF!,"="&amp;A71)&amp;")",A71)</f>
        <v>CCI</v>
      </c>
      <c r="F71" s="132"/>
      <c r="G71" s="133"/>
      <c r="H71" s="134"/>
      <c r="I71" s="135"/>
      <c r="J71" s="132"/>
      <c r="K71" s="133"/>
      <c r="L71" s="134"/>
      <c r="M71" s="139"/>
      <c r="N71" s="142"/>
      <c r="O71" s="119"/>
      <c r="P71" s="119"/>
      <c r="Q71" s="119"/>
      <c r="R71" s="119"/>
      <c r="S71" s="119"/>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c r="AX71" s="119"/>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73"/>
    </row>
    <row r="72" spans="1:114" ht="30" customHeight="1" x14ac:dyDescent="0.25">
      <c r="A72" s="7" t="s">
        <v>11</v>
      </c>
      <c r="B72" s="7" t="s">
        <v>55</v>
      </c>
      <c r="C72" s="144" t="s">
        <v>1674</v>
      </c>
      <c r="D72" s="120">
        <f>COUNTA($E$71:$E72)</f>
        <v>2</v>
      </c>
      <c r="E72" s="155" t="str">
        <f>IFERROR(A72&amp;"   ("&amp;COUNTIFS(#REF!,"="&amp;A72)&amp;")",A72)</f>
        <v>CCV</v>
      </c>
      <c r="F72" s="132"/>
      <c r="G72" s="133"/>
      <c r="H72" s="134"/>
      <c r="I72" s="135"/>
      <c r="J72" s="132"/>
      <c r="K72" s="133"/>
      <c r="L72" s="134"/>
      <c r="M72" s="139"/>
      <c r="N72" s="14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1"/>
    </row>
    <row r="73" spans="1:114" ht="30" customHeight="1" x14ac:dyDescent="0.25">
      <c r="A73" s="7" t="s">
        <v>1670</v>
      </c>
      <c r="B73" s="7" t="s">
        <v>55</v>
      </c>
      <c r="C73" s="144" t="s">
        <v>1674</v>
      </c>
      <c r="D73" s="120">
        <f>COUNTA($E$71:$E73)</f>
        <v>3</v>
      </c>
      <c r="E73" s="155" t="str">
        <f>IFERROR(A73&amp;"   ("&amp;COUNTIFS(#REF!,"="&amp;A73)&amp;")",A73)</f>
        <v>CMD</v>
      </c>
      <c r="F73" s="132"/>
      <c r="G73" s="133"/>
      <c r="H73" s="134"/>
      <c r="I73" s="135"/>
      <c r="J73" s="132"/>
      <c r="K73" s="133"/>
      <c r="L73" s="134"/>
      <c r="M73" s="139"/>
      <c r="N73" s="142"/>
      <c r="O73" s="119"/>
      <c r="P73" s="119"/>
      <c r="Q73" s="119"/>
      <c r="R73" s="119"/>
      <c r="S73" s="119"/>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c r="AX73" s="119"/>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73"/>
    </row>
    <row r="74" spans="1:114" ht="30" customHeight="1" x14ac:dyDescent="0.25">
      <c r="A74" s="7" t="s">
        <v>17</v>
      </c>
      <c r="B74" s="7" t="s">
        <v>55</v>
      </c>
      <c r="C74" s="144" t="s">
        <v>1674</v>
      </c>
      <c r="D74" s="120">
        <f>COUNTA($E$71:$E74)</f>
        <v>4</v>
      </c>
      <c r="E74" s="155" t="str">
        <f>IFERROR(A74&amp;"   ("&amp;COUNTIFS(#REF!,"="&amp;A74)&amp;")",A74)</f>
        <v>DO</v>
      </c>
      <c r="F74" s="132"/>
      <c r="G74" s="133"/>
      <c r="H74" s="134"/>
      <c r="I74" s="135"/>
      <c r="J74" s="132"/>
      <c r="K74" s="133"/>
      <c r="L74" s="134"/>
      <c r="M74" s="139"/>
      <c r="N74" s="142"/>
      <c r="O74" s="119"/>
      <c r="P74" s="119"/>
      <c r="Q74" s="119"/>
      <c r="R74" s="119"/>
      <c r="S74" s="119"/>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119"/>
      <c r="AT74" s="119"/>
      <c r="AU74" s="119"/>
      <c r="AV74" s="119"/>
      <c r="AW74" s="119"/>
      <c r="AX74" s="119"/>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73"/>
    </row>
    <row r="75" spans="1:114" ht="30" customHeight="1" x14ac:dyDescent="0.25">
      <c r="A75" s="7" t="s">
        <v>8</v>
      </c>
      <c r="B75" s="7" t="s">
        <v>55</v>
      </c>
      <c r="C75" s="144" t="s">
        <v>1674</v>
      </c>
      <c r="D75" s="120">
        <f>COUNTA($E$71:$E75)</f>
        <v>5</v>
      </c>
      <c r="E75" s="155" t="str">
        <f>IFERROR(A75&amp;"   ("&amp;COUNTIFS(#REF!,"="&amp;A75)&amp;")",A75)</f>
        <v>DOA</v>
      </c>
      <c r="F75" s="132"/>
      <c r="G75" s="133"/>
      <c r="H75" s="134"/>
      <c r="I75" s="135"/>
      <c r="J75" s="132"/>
      <c r="K75" s="133"/>
      <c r="L75" s="134"/>
      <c r="M75" s="139"/>
      <c r="N75" s="142"/>
      <c r="O75" s="119"/>
      <c r="P75" s="119"/>
      <c r="Q75" s="119"/>
      <c r="R75" s="119"/>
      <c r="S75" s="119"/>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119"/>
      <c r="AT75" s="119"/>
      <c r="AU75" s="119"/>
      <c r="AV75" s="119"/>
      <c r="AW75" s="119"/>
      <c r="AX75" s="119"/>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73"/>
    </row>
    <row r="76" spans="1:114" ht="30" customHeight="1" x14ac:dyDescent="0.25">
      <c r="A76" s="7" t="s">
        <v>12</v>
      </c>
      <c r="B76" s="7" t="s">
        <v>55</v>
      </c>
      <c r="C76" s="144" t="s">
        <v>1674</v>
      </c>
      <c r="D76" s="120">
        <f>COUNTA($E$71:$E76)</f>
        <v>6</v>
      </c>
      <c r="E76" s="155" t="str">
        <f>IFERROR(A76&amp;"   ("&amp;COUNTIFS(#REF!,"="&amp;A76)&amp;")",A76)</f>
        <v>DOB</v>
      </c>
      <c r="F76" s="132"/>
      <c r="G76" s="133"/>
      <c r="H76" s="134"/>
      <c r="I76" s="135"/>
      <c r="J76" s="132"/>
      <c r="K76" s="133"/>
      <c r="L76" s="134"/>
      <c r="M76" s="139"/>
      <c r="N76" s="142"/>
      <c r="O76" s="119"/>
      <c r="P76" s="119"/>
      <c r="Q76" s="119"/>
      <c r="R76" s="119"/>
      <c r="S76" s="119"/>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119"/>
      <c r="AT76" s="119"/>
      <c r="AU76" s="119"/>
      <c r="AV76" s="119"/>
      <c r="AW76" s="119"/>
      <c r="AX76" s="119"/>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73"/>
    </row>
    <row r="77" spans="1:114" ht="30" customHeight="1" x14ac:dyDescent="0.25">
      <c r="A77" s="7" t="s">
        <v>5</v>
      </c>
      <c r="B77" s="7" t="s">
        <v>55</v>
      </c>
      <c r="C77" s="144" t="s">
        <v>1674</v>
      </c>
      <c r="D77" s="120">
        <f>COUNTA($E$71:$E77)</f>
        <v>7</v>
      </c>
      <c r="E77" s="155" t="str">
        <f>IFERROR(A77&amp;"   ("&amp;COUNTIFS(#REF!,"="&amp;A77)&amp;")",A77)</f>
        <v>DOC</v>
      </c>
      <c r="F77" s="132"/>
      <c r="G77" s="133"/>
      <c r="H77" s="134"/>
      <c r="I77" s="135"/>
      <c r="J77" s="132"/>
      <c r="K77" s="133"/>
      <c r="L77" s="134"/>
      <c r="M77" s="139"/>
      <c r="N77" s="142"/>
      <c r="O77" s="119"/>
      <c r="P77" s="119"/>
      <c r="Q77" s="119"/>
      <c r="R77" s="119"/>
      <c r="S77" s="119"/>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119"/>
      <c r="AT77" s="119"/>
      <c r="AU77" s="119"/>
      <c r="AV77" s="119"/>
      <c r="AW77" s="119"/>
      <c r="AX77" s="119"/>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73"/>
    </row>
    <row r="78" spans="1:114" ht="30" customHeight="1" x14ac:dyDescent="0.25">
      <c r="A78" s="7" t="s">
        <v>7</v>
      </c>
      <c r="B78" s="7" t="s">
        <v>55</v>
      </c>
      <c r="C78" s="144" t="s">
        <v>1674</v>
      </c>
      <c r="D78" s="120">
        <f>COUNTA($E$71:$E78)</f>
        <v>8</v>
      </c>
      <c r="E78" s="155" t="str">
        <f>IFERROR(A78&amp;"   ("&amp;COUNTIFS(#REF!,"="&amp;A78)&amp;")",A78)</f>
        <v>DOD</v>
      </c>
      <c r="F78" s="132"/>
      <c r="G78" s="133"/>
      <c r="H78" s="134"/>
      <c r="I78" s="135"/>
      <c r="J78" s="132"/>
      <c r="K78" s="133"/>
      <c r="L78" s="134"/>
      <c r="M78" s="139"/>
      <c r="N78" s="142"/>
      <c r="O78" s="119"/>
      <c r="P78" s="119"/>
      <c r="Q78" s="119"/>
      <c r="R78" s="119"/>
      <c r="S78" s="119"/>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73"/>
    </row>
    <row r="79" spans="1:114" ht="30" customHeight="1" x14ac:dyDescent="0.25">
      <c r="A79" s="7" t="s">
        <v>13</v>
      </c>
      <c r="B79" s="7" t="s">
        <v>55</v>
      </c>
      <c r="C79" s="144" t="s">
        <v>1674</v>
      </c>
      <c r="D79" s="120">
        <f>COUNTA($E$71:$E79)</f>
        <v>9</v>
      </c>
      <c r="E79" s="155" t="str">
        <f>IFERROR(A79&amp;"   ("&amp;COUNTIFS(#REF!,"="&amp;A79)&amp;")",A79)</f>
        <v>DOF</v>
      </c>
      <c r="F79" s="132"/>
      <c r="G79" s="133"/>
      <c r="H79" s="134"/>
      <c r="I79" s="135"/>
      <c r="J79" s="132"/>
      <c r="K79" s="133"/>
      <c r="L79" s="134"/>
      <c r="M79" s="139"/>
      <c r="N79" s="142"/>
      <c r="O79" s="119"/>
      <c r="P79" s="119"/>
      <c r="Q79" s="119"/>
      <c r="R79" s="119"/>
      <c r="S79" s="119"/>
      <c r="T79" s="119"/>
      <c r="U79" s="119"/>
      <c r="V79" s="119"/>
      <c r="W79" s="119"/>
      <c r="X79" s="119"/>
      <c r="Y79" s="119"/>
      <c r="Z79" s="119"/>
      <c r="AA79" s="119"/>
      <c r="AB79" s="119"/>
      <c r="AC79" s="119"/>
      <c r="AD79" s="119"/>
      <c r="AE79" s="119"/>
      <c r="AF79" s="119"/>
      <c r="AG79" s="119"/>
      <c r="AH79" s="119"/>
      <c r="AI79" s="119"/>
      <c r="AJ79" s="119"/>
      <c r="AK79" s="119"/>
      <c r="AL79" s="119"/>
      <c r="AM79" s="119"/>
      <c r="AN79" s="119"/>
      <c r="AO79" s="119"/>
      <c r="AP79" s="119"/>
      <c r="AQ79" s="119"/>
      <c r="AR79" s="119"/>
      <c r="AS79" s="119"/>
      <c r="AT79" s="119"/>
      <c r="AU79" s="119"/>
      <c r="AV79" s="119"/>
      <c r="AW79" s="119"/>
      <c r="AX79" s="119"/>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73"/>
    </row>
    <row r="80" spans="1:114" ht="30" customHeight="1" x14ac:dyDescent="0.25">
      <c r="A80" s="7" t="s">
        <v>14</v>
      </c>
      <c r="B80" s="7" t="s">
        <v>55</v>
      </c>
      <c r="C80" s="144" t="s">
        <v>1674</v>
      </c>
      <c r="D80" s="120">
        <f>COUNTA($E$71:$E80)</f>
        <v>10</v>
      </c>
      <c r="E80" s="155" t="str">
        <f>IFERROR(A80&amp;"   ("&amp;COUNTIFS(#REF!,"="&amp;A80)&amp;")",A80)</f>
        <v>DOK</v>
      </c>
      <c r="F80" s="132"/>
      <c r="G80" s="133"/>
      <c r="H80" s="134"/>
      <c r="I80" s="135"/>
      <c r="J80" s="132"/>
      <c r="K80" s="133"/>
      <c r="L80" s="134"/>
      <c r="M80" s="139"/>
      <c r="N80" s="142"/>
      <c r="O80" s="119"/>
      <c r="P80" s="119"/>
      <c r="Q80" s="119"/>
      <c r="R80" s="119"/>
      <c r="S80" s="119"/>
      <c r="T80" s="119"/>
      <c r="U80" s="119"/>
      <c r="V80" s="119"/>
      <c r="W80" s="119"/>
      <c r="X80" s="119"/>
      <c r="Y80" s="119"/>
      <c r="Z80" s="119"/>
      <c r="AA80" s="119"/>
      <c r="AB80" s="119"/>
      <c r="AC80" s="119"/>
      <c r="AD80" s="119"/>
      <c r="AE80" s="119"/>
      <c r="AF80" s="119"/>
      <c r="AG80" s="119"/>
      <c r="AH80" s="119"/>
      <c r="AI80" s="119"/>
      <c r="AJ80" s="119"/>
      <c r="AK80" s="119"/>
      <c r="AL80" s="119"/>
      <c r="AM80" s="119"/>
      <c r="AN80" s="119"/>
      <c r="AO80" s="119"/>
      <c r="AP80" s="119"/>
      <c r="AQ80" s="119"/>
      <c r="AR80" s="119"/>
      <c r="AS80" s="119"/>
      <c r="AT80" s="119"/>
      <c r="AU80" s="119"/>
      <c r="AV80" s="119"/>
      <c r="AW80" s="119"/>
      <c r="AX80" s="119"/>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73"/>
    </row>
    <row r="81" spans="1:114" ht="30" customHeight="1" x14ac:dyDescent="0.25">
      <c r="A81" s="7" t="s">
        <v>18</v>
      </c>
      <c r="B81" s="7" t="s">
        <v>55</v>
      </c>
      <c r="C81" s="144" t="s">
        <v>1674</v>
      </c>
      <c r="D81" s="120">
        <f>COUNTA($E$71:$E81)</f>
        <v>11</v>
      </c>
      <c r="E81" s="155" t="str">
        <f>IFERROR(A81&amp;"   ("&amp;COUNTIFS(#REF!,"="&amp;A81)&amp;")",A81)</f>
        <v>DOM</v>
      </c>
      <c r="F81" s="132"/>
      <c r="G81" s="133"/>
      <c r="H81" s="134"/>
      <c r="I81" s="135"/>
      <c r="J81" s="132"/>
      <c r="K81" s="133"/>
      <c r="L81" s="134"/>
      <c r="M81" s="139"/>
      <c r="N81" s="142"/>
      <c r="O81" s="119"/>
      <c r="P81" s="119"/>
      <c r="Q81" s="119"/>
      <c r="R81" s="119"/>
      <c r="S81" s="119"/>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c r="AX81" s="119"/>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73"/>
    </row>
    <row r="82" spans="1:114" ht="30" customHeight="1" x14ac:dyDescent="0.25">
      <c r="A82" s="7" t="s">
        <v>9</v>
      </c>
      <c r="B82" s="7" t="s">
        <v>55</v>
      </c>
      <c r="C82" s="144" t="s">
        <v>1674</v>
      </c>
      <c r="D82" s="120">
        <f>COUNTA($E$71:$E82)</f>
        <v>12</v>
      </c>
      <c r="E82" s="155" t="str">
        <f>IFERROR(A82&amp;"   ("&amp;COUNTIFS(#REF!,"="&amp;A82)&amp;")",A82)</f>
        <v>DOT</v>
      </c>
      <c r="F82" s="132"/>
      <c r="G82" s="133"/>
      <c r="H82" s="134"/>
      <c r="I82" s="135"/>
      <c r="J82" s="132"/>
      <c r="K82" s="133"/>
      <c r="L82" s="134"/>
      <c r="M82" s="139"/>
      <c r="N82" s="142"/>
      <c r="O82" s="119"/>
      <c r="P82" s="119"/>
      <c r="Q82" s="119"/>
      <c r="R82" s="119"/>
      <c r="S82" s="119"/>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119"/>
      <c r="AT82" s="119"/>
      <c r="AU82" s="119"/>
      <c r="AV82" s="119"/>
      <c r="AW82" s="119"/>
      <c r="AX82" s="119"/>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73"/>
    </row>
    <row r="83" spans="1:114" ht="30" customHeight="1" x14ac:dyDescent="0.25">
      <c r="A83" s="7" t="s">
        <v>15</v>
      </c>
      <c r="B83" s="7" t="s">
        <v>55</v>
      </c>
      <c r="C83" s="144" t="s">
        <v>1674</v>
      </c>
      <c r="D83" s="120">
        <f>COUNTA($E$71:$E83)</f>
        <v>13</v>
      </c>
      <c r="E83" s="155" t="str">
        <f>IFERROR(A83&amp;"   ("&amp;COUNTIFS(#REF!,"="&amp;A83)&amp;")",A83)</f>
        <v>DOX</v>
      </c>
      <c r="F83" s="132"/>
      <c r="G83" s="133"/>
      <c r="H83" s="134"/>
      <c r="I83" s="135"/>
      <c r="J83" s="132"/>
      <c r="K83" s="133"/>
      <c r="L83" s="134"/>
      <c r="M83" s="139"/>
      <c r="N83" s="142"/>
      <c r="O83" s="119"/>
      <c r="P83" s="119"/>
      <c r="Q83" s="119"/>
      <c r="R83" s="119"/>
      <c r="S83" s="119"/>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119"/>
      <c r="AT83" s="119"/>
      <c r="AU83" s="119"/>
      <c r="AV83" s="119"/>
      <c r="AW83" s="119"/>
      <c r="AX83" s="119"/>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73"/>
    </row>
    <row r="84" spans="1:114" ht="30" customHeight="1" x14ac:dyDescent="0.25">
      <c r="A84" s="7" t="s">
        <v>10</v>
      </c>
      <c r="B84" s="7" t="s">
        <v>55</v>
      </c>
      <c r="C84" s="144" t="s">
        <v>1674</v>
      </c>
      <c r="D84" s="120">
        <f>COUNTA($E$71:$E84)</f>
        <v>14</v>
      </c>
      <c r="E84" s="155" t="str">
        <f>IFERROR(A84&amp;"   ("&amp;COUNTIFS(#REF!,"="&amp;A84)&amp;")",A84)</f>
        <v>MS</v>
      </c>
      <c r="F84" s="132"/>
      <c r="G84" s="133"/>
      <c r="H84" s="134"/>
      <c r="I84" s="135"/>
      <c r="J84" s="132"/>
      <c r="K84" s="133"/>
      <c r="L84" s="134"/>
      <c r="M84" s="139"/>
      <c r="N84" s="142"/>
      <c r="O84" s="119"/>
      <c r="P84" s="119"/>
      <c r="Q84" s="119"/>
      <c r="R84" s="119"/>
      <c r="S84" s="119"/>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119"/>
      <c r="AT84" s="119"/>
      <c r="AU84" s="119"/>
      <c r="AV84" s="119"/>
      <c r="AW84" s="119"/>
      <c r="AX84" s="119"/>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73"/>
    </row>
    <row r="85" spans="1:114" ht="30" customHeight="1" x14ac:dyDescent="0.25">
      <c r="A85" s="7" t="s">
        <v>16</v>
      </c>
      <c r="B85" s="7" t="s">
        <v>55</v>
      </c>
      <c r="C85" s="144" t="s">
        <v>1674</v>
      </c>
      <c r="D85" s="120">
        <f>COUNTA($E$71:$E85)</f>
        <v>15</v>
      </c>
      <c r="E85" s="155" t="str">
        <f>IFERROR(A85&amp;"   ("&amp;COUNTIFS(#REF!,"="&amp;A85)&amp;")",A85)</f>
        <v>UDM</v>
      </c>
      <c r="F85" s="132"/>
      <c r="G85" s="133"/>
      <c r="H85" s="134"/>
      <c r="I85" s="135"/>
      <c r="J85" s="132"/>
      <c r="K85" s="133"/>
      <c r="L85" s="134"/>
      <c r="M85" s="139"/>
      <c r="N85" s="142"/>
      <c r="O85" s="119"/>
      <c r="P85" s="119"/>
      <c r="Q85" s="119"/>
      <c r="R85" s="119"/>
      <c r="S85" s="119"/>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119"/>
      <c r="AT85" s="119"/>
      <c r="AU85" s="119"/>
      <c r="AV85" s="119"/>
      <c r="AW85" s="119"/>
      <c r="AX85" s="119"/>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73"/>
    </row>
    <row r="86" spans="1:114" ht="30" customHeight="1" x14ac:dyDescent="0.25">
      <c r="A86" s="7" t="s">
        <v>19</v>
      </c>
      <c r="B86" s="7" t="s">
        <v>55</v>
      </c>
      <c r="C86" s="144" t="s">
        <v>1674</v>
      </c>
      <c r="D86" s="120">
        <f>COUNTA($E$71:$E86)</f>
        <v>16</v>
      </c>
      <c r="E86" s="155" t="str">
        <f>IFERROR(A86&amp;"   ("&amp;COUNTIFS(#REF!,"="&amp;A86)&amp;")",A86)</f>
        <v>UTM</v>
      </c>
      <c r="F86" s="132"/>
      <c r="G86" s="133"/>
      <c r="H86" s="134"/>
      <c r="I86" s="135"/>
      <c r="J86" s="132"/>
      <c r="K86" s="133"/>
      <c r="L86" s="134"/>
      <c r="M86" s="139"/>
      <c r="N86" s="142"/>
      <c r="O86" s="119"/>
      <c r="P86" s="119"/>
      <c r="Q86" s="119"/>
      <c r="R86" s="119"/>
      <c r="S86" s="119"/>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119"/>
      <c r="AT86" s="119"/>
      <c r="AU86" s="119"/>
      <c r="AV86" s="119"/>
      <c r="AW86" s="119"/>
      <c r="AX86" s="119"/>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73"/>
    </row>
    <row r="87" spans="1:114" ht="20.100000000000001" customHeight="1" x14ac:dyDescent="0.25">
      <c r="A87" s="7" t="s">
        <v>60</v>
      </c>
      <c r="B87" s="7" t="s">
        <v>55</v>
      </c>
      <c r="C87" s="144"/>
      <c r="D87" s="67"/>
      <c r="E87" s="8"/>
      <c r="N87" s="58"/>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c r="DF87" s="7"/>
      <c r="DG87" s="7"/>
      <c r="DH87" s="7"/>
      <c r="DI87" s="7"/>
      <c r="DJ87" s="7"/>
    </row>
    <row r="88" spans="1:114" ht="20.100000000000001" customHeight="1" x14ac:dyDescent="0.25">
      <c r="A88" s="7" t="s">
        <v>60</v>
      </c>
      <c r="B88" s="7" t="s">
        <v>74</v>
      </c>
      <c r="C88" s="144"/>
      <c r="D88" s="125" t="s">
        <v>75</v>
      </c>
      <c r="E88" s="159"/>
      <c r="F88" s="131"/>
      <c r="G88" s="131"/>
      <c r="H88" s="131"/>
      <c r="I88" s="131"/>
      <c r="J88" s="131"/>
      <c r="K88" s="131"/>
      <c r="L88" s="131"/>
      <c r="M88" s="131"/>
      <c r="N88" s="140"/>
      <c r="O88" s="217"/>
      <c r="P88" s="217"/>
      <c r="Q88" s="217"/>
      <c r="R88" s="217"/>
      <c r="S88" s="217"/>
      <c r="T88" s="217"/>
      <c r="U88" s="217"/>
      <c r="V88" s="217"/>
      <c r="W88" s="217"/>
      <c r="X88" s="217"/>
      <c r="Y88" s="217"/>
      <c r="Z88" s="217"/>
      <c r="AA88" s="217"/>
      <c r="AB88" s="217"/>
      <c r="AC88" s="217"/>
      <c r="AD88" s="217"/>
      <c r="AE88" s="217"/>
      <c r="AF88" s="217"/>
      <c r="AG88" s="217"/>
      <c r="AH88" s="217"/>
      <c r="AI88" s="217"/>
      <c r="AJ88" s="217"/>
      <c r="AK88" s="217"/>
      <c r="AL88" s="217"/>
      <c r="AM88" s="217"/>
      <c r="AN88" s="217"/>
      <c r="AO88" s="217"/>
      <c r="AP88" s="217"/>
      <c r="AQ88" s="217"/>
      <c r="AR88" s="217"/>
      <c r="AS88" s="217"/>
      <c r="AT88" s="217"/>
      <c r="AU88" s="217"/>
      <c r="AV88" s="217"/>
      <c r="AW88" s="217"/>
      <c r="AX88" s="217"/>
      <c r="AY88" s="217"/>
      <c r="AZ88" s="217"/>
      <c r="BA88" s="217"/>
      <c r="BB88" s="217"/>
      <c r="BC88" s="217"/>
      <c r="BD88" s="217"/>
      <c r="BE88" s="217"/>
      <c r="BF88" s="217"/>
      <c r="BG88" s="217"/>
      <c r="BH88" s="217"/>
      <c r="BI88" s="217"/>
      <c r="BJ88" s="217"/>
      <c r="BK88" s="217"/>
      <c r="BL88" s="217"/>
      <c r="BM88" s="217"/>
      <c r="BN88" s="217"/>
      <c r="BO88" s="217"/>
      <c r="BP88" s="217"/>
      <c r="BQ88" s="217"/>
      <c r="BR88" s="217"/>
      <c r="BS88" s="217"/>
      <c r="BT88" s="217"/>
      <c r="BU88" s="217"/>
      <c r="BV88" s="217"/>
      <c r="BW88" s="217"/>
      <c r="BX88" s="217"/>
      <c r="BY88" s="217"/>
      <c r="BZ88" s="217"/>
      <c r="CA88" s="217"/>
      <c r="CB88" s="217"/>
      <c r="CC88" s="217"/>
      <c r="CD88" s="217"/>
      <c r="CE88" s="217"/>
      <c r="CF88" s="217"/>
      <c r="CG88" s="217"/>
      <c r="CH88" s="217"/>
      <c r="CI88" s="217"/>
      <c r="CJ88" s="217"/>
      <c r="CK88" s="217"/>
      <c r="CL88" s="217"/>
      <c r="CM88" s="217"/>
      <c r="CN88" s="217"/>
      <c r="CO88" s="217"/>
      <c r="CP88" s="217"/>
      <c r="CQ88" s="217"/>
      <c r="CR88" s="217"/>
      <c r="CS88" s="217"/>
      <c r="CT88" s="217"/>
      <c r="CU88" s="217"/>
      <c r="CV88" s="217"/>
      <c r="CW88" s="217"/>
      <c r="CX88" s="217"/>
      <c r="CY88" s="217"/>
      <c r="CZ88" s="217"/>
      <c r="DA88" s="217"/>
      <c r="DB88" s="217"/>
      <c r="DC88" s="217"/>
      <c r="DD88" s="217"/>
      <c r="DE88" s="217"/>
      <c r="DF88" s="217"/>
      <c r="DG88" s="217"/>
      <c r="DH88" s="217"/>
      <c r="DI88" s="217"/>
      <c r="DJ88" s="218"/>
    </row>
    <row r="89" spans="1:114" ht="30" customHeight="1" x14ac:dyDescent="0.25">
      <c r="A89" s="7" t="s">
        <v>4</v>
      </c>
      <c r="B89" s="7" t="s">
        <v>74</v>
      </c>
      <c r="C89" s="144"/>
      <c r="D89" s="120"/>
      <c r="E89" s="155" t="str">
        <f>IFERROR(A89&amp;"   ("&amp;COUNTIFS(#REF!,"="&amp;A89)&amp;")",A89)</f>
        <v>11 SOIS</v>
      </c>
      <c r="F89" s="132"/>
      <c r="G89" s="133"/>
      <c r="H89" s="134"/>
      <c r="I89" s="135"/>
      <c r="J89" s="132"/>
      <c r="K89" s="133"/>
      <c r="L89" s="134"/>
      <c r="M89" s="139"/>
      <c r="N89" s="142"/>
      <c r="O89" s="119"/>
      <c r="P89" s="119"/>
      <c r="Q89" s="119"/>
      <c r="R89" s="119"/>
      <c r="S89" s="119"/>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119"/>
      <c r="AT89" s="119"/>
      <c r="AU89" s="119"/>
      <c r="AV89" s="119"/>
      <c r="AW89" s="119"/>
      <c r="AX89" s="119"/>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73"/>
    </row>
    <row r="90" spans="1:114" ht="9.9499999999999993" customHeight="1" x14ac:dyDescent="0.25">
      <c r="A90" s="7" t="s">
        <v>4</v>
      </c>
      <c r="B90" s="7" t="s">
        <v>74</v>
      </c>
      <c r="C90" s="144"/>
      <c r="D90" s="124"/>
      <c r="E90" s="158"/>
      <c r="F90" s="136"/>
      <c r="G90" s="136"/>
      <c r="H90" s="136"/>
      <c r="I90" s="136"/>
      <c r="J90" s="136"/>
      <c r="K90" s="136"/>
      <c r="L90" s="136"/>
      <c r="M90" s="136"/>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c r="BA90" s="58"/>
      <c r="BB90" s="58"/>
      <c r="BC90" s="58"/>
      <c r="BD90" s="58"/>
      <c r="BE90" s="58"/>
      <c r="BF90" s="58"/>
      <c r="BG90" s="58"/>
      <c r="BH90" s="58"/>
      <c r="BI90" s="58"/>
      <c r="BJ90" s="58"/>
      <c r="BK90" s="58"/>
      <c r="BL90" s="58"/>
      <c r="BM90" s="58"/>
      <c r="BN90" s="58"/>
      <c r="BO90" s="58"/>
      <c r="BP90" s="58"/>
      <c r="BQ90" s="58"/>
      <c r="BR90" s="58"/>
      <c r="BS90" s="58"/>
      <c r="BT90" s="58"/>
      <c r="BU90" s="58"/>
      <c r="BV90" s="58"/>
      <c r="BW90" s="58"/>
      <c r="BX90" s="58"/>
      <c r="BY90" s="58"/>
      <c r="BZ90" s="58"/>
      <c r="CA90" s="58"/>
      <c r="CB90" s="58"/>
      <c r="CC90" s="58"/>
      <c r="CD90" s="58"/>
      <c r="CE90" s="58"/>
      <c r="CF90" s="58"/>
      <c r="CG90" s="58"/>
      <c r="CH90" s="58"/>
      <c r="CI90" s="58"/>
      <c r="CJ90" s="58"/>
      <c r="CK90" s="58"/>
      <c r="CL90" s="58"/>
      <c r="CM90" s="58"/>
      <c r="CN90" s="58"/>
      <c r="CO90" s="58"/>
      <c r="CP90" s="58"/>
      <c r="CQ90" s="58"/>
      <c r="CR90" s="58"/>
      <c r="CS90" s="58"/>
      <c r="CT90" s="58"/>
      <c r="CU90" s="58"/>
      <c r="CV90" s="58"/>
      <c r="CW90" s="58"/>
      <c r="CX90" s="58"/>
      <c r="CY90" s="58"/>
      <c r="CZ90" s="58"/>
      <c r="DA90" s="58"/>
      <c r="DB90" s="58"/>
      <c r="DC90" s="58"/>
      <c r="DD90" s="58"/>
      <c r="DE90" s="58"/>
      <c r="DF90" s="58"/>
      <c r="DG90" s="58"/>
      <c r="DH90" s="58"/>
      <c r="DI90" s="58"/>
      <c r="DJ90" s="58"/>
    </row>
    <row r="91" spans="1:114" ht="30" customHeight="1" x14ac:dyDescent="0.25">
      <c r="A91" s="7" t="s">
        <v>6</v>
      </c>
      <c r="B91" s="7" t="s">
        <v>74</v>
      </c>
      <c r="C91" s="144" t="s">
        <v>1674</v>
      </c>
      <c r="D91" s="120">
        <f>COUNTA($E$91:$E91)</f>
        <v>1</v>
      </c>
      <c r="E91" s="155" t="str">
        <f>IFERROR(A91&amp;"   ("&amp;COUNTIFS(#REF!,"="&amp;A91)&amp;")",A91)</f>
        <v>CCI</v>
      </c>
      <c r="F91" s="132"/>
      <c r="G91" s="133"/>
      <c r="H91" s="134"/>
      <c r="I91" s="135"/>
      <c r="J91" s="132"/>
      <c r="K91" s="133"/>
      <c r="L91" s="134"/>
      <c r="M91" s="139"/>
      <c r="N91" s="142"/>
      <c r="O91" s="119"/>
      <c r="P91" s="119"/>
      <c r="Q91" s="119"/>
      <c r="R91" s="119"/>
      <c r="S91" s="119"/>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119"/>
      <c r="AT91" s="119"/>
      <c r="AU91" s="119"/>
      <c r="AV91" s="119"/>
      <c r="AW91" s="119"/>
      <c r="AX91" s="119"/>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73"/>
    </row>
    <row r="92" spans="1:114" ht="30" customHeight="1" x14ac:dyDescent="0.25">
      <c r="A92" s="7" t="s">
        <v>11</v>
      </c>
      <c r="B92" s="7" t="s">
        <v>74</v>
      </c>
      <c r="C92" s="144" t="s">
        <v>1674</v>
      </c>
      <c r="D92" s="120">
        <f>COUNTA($E$91:$E92)</f>
        <v>2</v>
      </c>
      <c r="E92" s="155" t="str">
        <f>IFERROR(A92&amp;"   ("&amp;COUNTIFS(#REF!,"="&amp;A92)&amp;")",A92)</f>
        <v>CCV</v>
      </c>
      <c r="F92" s="132"/>
      <c r="G92" s="133"/>
      <c r="H92" s="134"/>
      <c r="I92" s="135"/>
      <c r="J92" s="132"/>
      <c r="K92" s="133"/>
      <c r="L92" s="134"/>
      <c r="M92" s="139"/>
      <c r="N92" s="14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c r="AX92" s="122"/>
      <c r="AY92" s="122"/>
      <c r="AZ92" s="122"/>
      <c r="BA92" s="122"/>
      <c r="BB92" s="122"/>
      <c r="BC92" s="122"/>
      <c r="BD92" s="122"/>
      <c r="BE92" s="122"/>
      <c r="BF92" s="122"/>
      <c r="BG92" s="122"/>
      <c r="BH92" s="122"/>
      <c r="BI92" s="122"/>
      <c r="BJ92" s="122"/>
      <c r="BK92" s="122"/>
      <c r="BL92" s="122"/>
      <c r="BM92" s="122"/>
      <c r="BN92" s="122"/>
      <c r="BO92" s="122"/>
      <c r="BP92" s="122"/>
      <c r="BQ92" s="122"/>
      <c r="BR92" s="122"/>
      <c r="BS92" s="122"/>
      <c r="BT92" s="122"/>
      <c r="BU92" s="122"/>
      <c r="BV92" s="122"/>
      <c r="BW92" s="122"/>
      <c r="BX92" s="122"/>
      <c r="BY92" s="122"/>
      <c r="BZ92" s="122"/>
      <c r="CA92" s="122"/>
      <c r="CB92" s="122"/>
      <c r="CC92" s="122"/>
      <c r="CD92" s="122"/>
      <c r="CE92" s="122"/>
      <c r="CF92" s="122"/>
      <c r="CG92" s="122"/>
      <c r="CH92" s="122"/>
      <c r="CI92" s="122"/>
      <c r="CJ92" s="122"/>
      <c r="CK92" s="122"/>
      <c r="CL92" s="122"/>
      <c r="CM92" s="122"/>
      <c r="CN92" s="122"/>
      <c r="CO92" s="122"/>
      <c r="CP92" s="122"/>
      <c r="CQ92" s="122"/>
      <c r="CR92" s="122"/>
      <c r="CS92" s="122"/>
      <c r="CT92" s="122"/>
      <c r="CU92" s="122"/>
      <c r="CV92" s="122"/>
      <c r="CW92" s="122"/>
      <c r="CX92" s="122"/>
      <c r="CY92" s="122"/>
      <c r="CZ92" s="122"/>
      <c r="DA92" s="122"/>
      <c r="DB92" s="122"/>
      <c r="DC92" s="122"/>
      <c r="DD92" s="122"/>
      <c r="DE92" s="122"/>
      <c r="DF92" s="122"/>
      <c r="DG92" s="122"/>
      <c r="DH92" s="122"/>
      <c r="DI92" s="122"/>
      <c r="DJ92" s="121"/>
    </row>
    <row r="93" spans="1:114" ht="30" customHeight="1" x14ac:dyDescent="0.25">
      <c r="A93" s="7" t="s">
        <v>1670</v>
      </c>
      <c r="B93" s="7" t="s">
        <v>74</v>
      </c>
      <c r="C93" s="144" t="s">
        <v>1674</v>
      </c>
      <c r="D93" s="120">
        <f>COUNTA($E$91:$E93)</f>
        <v>3</v>
      </c>
      <c r="E93" s="155" t="str">
        <f>IFERROR(A93&amp;"   ("&amp;COUNTIFS(#REF!,"="&amp;A93)&amp;")",A93)</f>
        <v>CMD</v>
      </c>
      <c r="F93" s="132"/>
      <c r="G93" s="133"/>
      <c r="H93" s="134"/>
      <c r="I93" s="135"/>
      <c r="J93" s="132"/>
      <c r="K93" s="133"/>
      <c r="L93" s="134"/>
      <c r="M93" s="139"/>
      <c r="N93" s="142"/>
      <c r="O93" s="119"/>
      <c r="P93" s="119"/>
      <c r="Q93" s="119"/>
      <c r="R93" s="119"/>
      <c r="S93" s="119"/>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119"/>
      <c r="AT93" s="119"/>
      <c r="AU93" s="119"/>
      <c r="AV93" s="119"/>
      <c r="AW93" s="119"/>
      <c r="AX93" s="119"/>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73"/>
    </row>
    <row r="94" spans="1:114" ht="30" customHeight="1" x14ac:dyDescent="0.25">
      <c r="A94" s="7" t="s">
        <v>17</v>
      </c>
      <c r="B94" s="7" t="s">
        <v>74</v>
      </c>
      <c r="C94" s="144" t="s">
        <v>1674</v>
      </c>
      <c r="D94" s="120">
        <f>COUNTA($E$91:$E94)</f>
        <v>4</v>
      </c>
      <c r="E94" s="155" t="str">
        <f>IFERROR(A94&amp;"   ("&amp;COUNTIFS(#REF!,"="&amp;A94)&amp;")",A94)</f>
        <v>DO</v>
      </c>
      <c r="F94" s="132"/>
      <c r="G94" s="133"/>
      <c r="H94" s="134"/>
      <c r="I94" s="135"/>
      <c r="J94" s="132"/>
      <c r="K94" s="133"/>
      <c r="L94" s="134"/>
      <c r="M94" s="139"/>
      <c r="N94" s="142"/>
      <c r="O94" s="119"/>
      <c r="P94" s="119"/>
      <c r="Q94" s="119"/>
      <c r="R94" s="119"/>
      <c r="S94" s="119"/>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119"/>
      <c r="AT94" s="119"/>
      <c r="AU94" s="119"/>
      <c r="AV94" s="119"/>
      <c r="AW94" s="119"/>
      <c r="AX94" s="119"/>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73"/>
    </row>
    <row r="95" spans="1:114" ht="30" customHeight="1" x14ac:dyDescent="0.25">
      <c r="A95" s="7" t="s">
        <v>8</v>
      </c>
      <c r="B95" s="7" t="s">
        <v>74</v>
      </c>
      <c r="C95" s="144" t="s">
        <v>1674</v>
      </c>
      <c r="D95" s="120">
        <f>COUNTA($E$91:$E95)</f>
        <v>5</v>
      </c>
      <c r="E95" s="155" t="str">
        <f>IFERROR(A95&amp;"   ("&amp;COUNTIFS(#REF!,"="&amp;A95)&amp;")",A95)</f>
        <v>DOA</v>
      </c>
      <c r="F95" s="132"/>
      <c r="G95" s="133"/>
      <c r="H95" s="134"/>
      <c r="I95" s="135"/>
      <c r="J95" s="132"/>
      <c r="K95" s="133"/>
      <c r="L95" s="134"/>
      <c r="M95" s="139"/>
      <c r="N95" s="142"/>
      <c r="O95" s="119"/>
      <c r="P95" s="119"/>
      <c r="Q95" s="119"/>
      <c r="R95" s="119"/>
      <c r="S95" s="119"/>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119"/>
      <c r="AT95" s="119"/>
      <c r="AU95" s="119"/>
      <c r="AV95" s="119"/>
      <c r="AW95" s="119"/>
      <c r="AX95" s="119"/>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73"/>
    </row>
    <row r="96" spans="1:114" ht="30" customHeight="1" x14ac:dyDescent="0.25">
      <c r="A96" s="7" t="s">
        <v>12</v>
      </c>
      <c r="B96" s="7" t="s">
        <v>74</v>
      </c>
      <c r="C96" s="144" t="s">
        <v>1674</v>
      </c>
      <c r="D96" s="120">
        <f>COUNTA($E$91:$E96)</f>
        <v>6</v>
      </c>
      <c r="E96" s="155" t="str">
        <f>IFERROR(A96&amp;"   ("&amp;COUNTIFS(#REF!,"="&amp;A96)&amp;")",A96)</f>
        <v>DOB</v>
      </c>
      <c r="F96" s="132"/>
      <c r="G96" s="133"/>
      <c r="H96" s="134"/>
      <c r="I96" s="135"/>
      <c r="J96" s="132"/>
      <c r="K96" s="133"/>
      <c r="L96" s="134"/>
      <c r="M96" s="139"/>
      <c r="N96" s="142"/>
      <c r="O96" s="119"/>
      <c r="P96" s="119"/>
      <c r="Q96" s="119"/>
      <c r="R96" s="119"/>
      <c r="S96" s="119"/>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119"/>
      <c r="AT96" s="119"/>
      <c r="AU96" s="119"/>
      <c r="AV96" s="119"/>
      <c r="AW96" s="119"/>
      <c r="AX96" s="119"/>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73"/>
    </row>
    <row r="97" spans="1:114" ht="30" customHeight="1" x14ac:dyDescent="0.25">
      <c r="A97" s="7" t="s">
        <v>5</v>
      </c>
      <c r="B97" s="7" t="s">
        <v>74</v>
      </c>
      <c r="C97" s="144" t="s">
        <v>1674</v>
      </c>
      <c r="D97" s="120">
        <f>COUNTA($E$91:$E97)</f>
        <v>7</v>
      </c>
      <c r="E97" s="155" t="str">
        <f>IFERROR(A97&amp;"   ("&amp;COUNTIFS(#REF!,"="&amp;A97)&amp;")",A97)</f>
        <v>DOC</v>
      </c>
      <c r="F97" s="132"/>
      <c r="G97" s="133"/>
      <c r="H97" s="134"/>
      <c r="I97" s="135"/>
      <c r="J97" s="132"/>
      <c r="K97" s="133"/>
      <c r="L97" s="134"/>
      <c r="M97" s="139"/>
      <c r="N97" s="142"/>
      <c r="O97" s="119"/>
      <c r="P97" s="119"/>
      <c r="Q97" s="119"/>
      <c r="R97" s="119"/>
      <c r="S97" s="119"/>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119"/>
      <c r="AT97" s="119"/>
      <c r="AU97" s="119"/>
      <c r="AV97" s="119"/>
      <c r="AW97" s="119"/>
      <c r="AX97" s="119"/>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73"/>
    </row>
    <row r="98" spans="1:114" ht="30" customHeight="1" x14ac:dyDescent="0.25">
      <c r="A98" s="7" t="s">
        <v>7</v>
      </c>
      <c r="B98" s="7" t="s">
        <v>74</v>
      </c>
      <c r="C98" s="144" t="s">
        <v>1674</v>
      </c>
      <c r="D98" s="120">
        <f>COUNTA($E$91:$E98)</f>
        <v>8</v>
      </c>
      <c r="E98" s="155" t="str">
        <f>IFERROR(A98&amp;"   ("&amp;COUNTIFS(#REF!,"="&amp;A98)&amp;")",A98)</f>
        <v>DOD</v>
      </c>
      <c r="F98" s="132"/>
      <c r="G98" s="133"/>
      <c r="H98" s="134"/>
      <c r="I98" s="135"/>
      <c r="J98" s="132"/>
      <c r="K98" s="133"/>
      <c r="L98" s="134"/>
      <c r="M98" s="139"/>
      <c r="N98" s="142"/>
      <c r="O98" s="119"/>
      <c r="P98" s="119"/>
      <c r="Q98" s="119"/>
      <c r="R98" s="119"/>
      <c r="S98" s="119"/>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119"/>
      <c r="AT98" s="119"/>
      <c r="AU98" s="119"/>
      <c r="AV98" s="119"/>
      <c r="AW98" s="119"/>
      <c r="AX98" s="119"/>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73"/>
    </row>
    <row r="99" spans="1:114" ht="30" customHeight="1" x14ac:dyDescent="0.25">
      <c r="A99" s="7" t="s">
        <v>13</v>
      </c>
      <c r="B99" s="7" t="s">
        <v>74</v>
      </c>
      <c r="C99" s="144" t="s">
        <v>1674</v>
      </c>
      <c r="D99" s="120">
        <f>COUNTA($E$91:$E99)</f>
        <v>9</v>
      </c>
      <c r="E99" s="155" t="str">
        <f>IFERROR(A99&amp;"   ("&amp;COUNTIFS(#REF!,"="&amp;A99)&amp;")",A99)</f>
        <v>DOF</v>
      </c>
      <c r="F99" s="132"/>
      <c r="G99" s="133"/>
      <c r="H99" s="134"/>
      <c r="I99" s="135"/>
      <c r="J99" s="132"/>
      <c r="K99" s="133"/>
      <c r="L99" s="134"/>
      <c r="M99" s="139"/>
      <c r="N99" s="142"/>
      <c r="O99" s="119"/>
      <c r="P99" s="119"/>
      <c r="Q99" s="119"/>
      <c r="R99" s="119"/>
      <c r="S99" s="119"/>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119"/>
      <c r="AT99" s="119"/>
      <c r="AU99" s="119"/>
      <c r="AV99" s="119"/>
      <c r="AW99" s="119"/>
      <c r="AX99" s="119"/>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73"/>
    </row>
    <row r="100" spans="1:114" ht="30" customHeight="1" x14ac:dyDescent="0.25">
      <c r="A100" s="7" t="s">
        <v>14</v>
      </c>
      <c r="B100" s="7" t="s">
        <v>74</v>
      </c>
      <c r="C100" s="144" t="s">
        <v>1674</v>
      </c>
      <c r="D100" s="120">
        <f>COUNTA($E$91:$E100)</f>
        <v>10</v>
      </c>
      <c r="E100" s="155" t="str">
        <f>IFERROR(A100&amp;"   ("&amp;COUNTIFS(#REF!,"="&amp;A100)&amp;")",A100)</f>
        <v>DOK</v>
      </c>
      <c r="F100" s="132"/>
      <c r="G100" s="133"/>
      <c r="H100" s="134"/>
      <c r="I100" s="135"/>
      <c r="J100" s="132"/>
      <c r="K100" s="133"/>
      <c r="L100" s="134"/>
      <c r="M100" s="139"/>
      <c r="N100" s="142"/>
      <c r="O100" s="119"/>
      <c r="P100" s="119"/>
      <c r="Q100" s="119"/>
      <c r="R100" s="119"/>
      <c r="S100" s="119"/>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119"/>
      <c r="AT100" s="119"/>
      <c r="AU100" s="119"/>
      <c r="AV100" s="119"/>
      <c r="AW100" s="119"/>
      <c r="AX100" s="119"/>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73"/>
    </row>
    <row r="101" spans="1:114" ht="30" customHeight="1" x14ac:dyDescent="0.25">
      <c r="A101" s="7" t="s">
        <v>18</v>
      </c>
      <c r="B101" s="7" t="s">
        <v>74</v>
      </c>
      <c r="C101" s="144" t="s">
        <v>1674</v>
      </c>
      <c r="D101" s="120">
        <f>COUNTA($E$91:$E101)</f>
        <v>11</v>
      </c>
      <c r="E101" s="155" t="str">
        <f>IFERROR(A101&amp;"   ("&amp;COUNTIFS(#REF!,"="&amp;A101)&amp;")",A101)</f>
        <v>DOM</v>
      </c>
      <c r="F101" s="132"/>
      <c r="G101" s="133"/>
      <c r="H101" s="134"/>
      <c r="I101" s="135"/>
      <c r="J101" s="132"/>
      <c r="K101" s="133"/>
      <c r="L101" s="134"/>
      <c r="M101" s="139"/>
      <c r="N101" s="142"/>
      <c r="O101" s="119"/>
      <c r="P101" s="119"/>
      <c r="Q101" s="119"/>
      <c r="R101" s="119"/>
      <c r="S101" s="119"/>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119"/>
      <c r="AT101" s="119"/>
      <c r="AU101" s="119"/>
      <c r="AV101" s="119"/>
      <c r="AW101" s="119"/>
      <c r="AX101" s="119"/>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73"/>
    </row>
    <row r="102" spans="1:114" ht="30" customHeight="1" x14ac:dyDescent="0.25">
      <c r="A102" s="7" t="s">
        <v>9</v>
      </c>
      <c r="B102" s="7" t="s">
        <v>74</v>
      </c>
      <c r="C102" s="144" t="s">
        <v>1674</v>
      </c>
      <c r="D102" s="120">
        <f>COUNTA($E$91:$E102)</f>
        <v>12</v>
      </c>
      <c r="E102" s="155" t="str">
        <f>IFERROR(A102&amp;"   ("&amp;COUNTIFS(#REF!,"="&amp;A102)&amp;")",A102)</f>
        <v>DOT</v>
      </c>
      <c r="F102" s="132"/>
      <c r="G102" s="133"/>
      <c r="H102" s="134"/>
      <c r="I102" s="135"/>
      <c r="J102" s="132"/>
      <c r="K102" s="133"/>
      <c r="L102" s="134"/>
      <c r="M102" s="139"/>
      <c r="N102" s="142"/>
      <c r="O102" s="119"/>
      <c r="P102" s="119"/>
      <c r="Q102" s="119"/>
      <c r="R102" s="119"/>
      <c r="S102" s="119"/>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119"/>
      <c r="AT102" s="119"/>
      <c r="AU102" s="119"/>
      <c r="AV102" s="119"/>
      <c r="AW102" s="119"/>
      <c r="AX102" s="119"/>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73"/>
    </row>
    <row r="103" spans="1:114" ht="30" customHeight="1" x14ac:dyDescent="0.25">
      <c r="A103" s="7" t="s">
        <v>15</v>
      </c>
      <c r="B103" s="7" t="s">
        <v>74</v>
      </c>
      <c r="C103" s="144" t="s">
        <v>1674</v>
      </c>
      <c r="D103" s="120">
        <f>COUNTA($E$91:$E103)</f>
        <v>13</v>
      </c>
      <c r="E103" s="155" t="str">
        <f>IFERROR(A103&amp;"   ("&amp;COUNTIFS(#REF!,"="&amp;A103)&amp;")",A103)</f>
        <v>DOX</v>
      </c>
      <c r="F103" s="132"/>
      <c r="G103" s="133"/>
      <c r="H103" s="134"/>
      <c r="I103" s="135"/>
      <c r="J103" s="132"/>
      <c r="K103" s="133"/>
      <c r="L103" s="134"/>
      <c r="M103" s="139"/>
      <c r="N103" s="142"/>
      <c r="O103" s="119"/>
      <c r="P103" s="119"/>
      <c r="Q103" s="119"/>
      <c r="R103" s="119"/>
      <c r="S103" s="119"/>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73"/>
    </row>
    <row r="104" spans="1:114" ht="30" customHeight="1" x14ac:dyDescent="0.25">
      <c r="A104" s="7" t="s">
        <v>10</v>
      </c>
      <c r="B104" s="7" t="s">
        <v>74</v>
      </c>
      <c r="C104" s="144" t="s">
        <v>1674</v>
      </c>
      <c r="D104" s="120">
        <f>COUNTA($E$91:$E104)</f>
        <v>14</v>
      </c>
      <c r="E104" s="155" t="str">
        <f>IFERROR(A104&amp;"   ("&amp;COUNTIFS(#REF!,"="&amp;A104)&amp;")",A104)</f>
        <v>MS</v>
      </c>
      <c r="F104" s="132"/>
      <c r="G104" s="133"/>
      <c r="H104" s="134"/>
      <c r="I104" s="135"/>
      <c r="J104" s="132"/>
      <c r="K104" s="133"/>
      <c r="L104" s="134"/>
      <c r="M104" s="139"/>
      <c r="N104" s="142"/>
      <c r="O104" s="119"/>
      <c r="P104" s="119"/>
      <c r="Q104" s="119"/>
      <c r="R104" s="119"/>
      <c r="S104" s="119"/>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119"/>
      <c r="AT104" s="119"/>
      <c r="AU104" s="119"/>
      <c r="AV104" s="119"/>
      <c r="AW104" s="119"/>
      <c r="AX104" s="119"/>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73"/>
    </row>
    <row r="105" spans="1:114" ht="30" customHeight="1" x14ac:dyDescent="0.25">
      <c r="A105" s="7" t="s">
        <v>16</v>
      </c>
      <c r="B105" s="7" t="s">
        <v>74</v>
      </c>
      <c r="C105" s="144" t="s">
        <v>1674</v>
      </c>
      <c r="D105" s="120">
        <f>COUNTA($E$91:$E105)</f>
        <v>15</v>
      </c>
      <c r="E105" s="155" t="str">
        <f>IFERROR(A105&amp;"   ("&amp;COUNTIFS(#REF!,"="&amp;A105)&amp;")",A105)</f>
        <v>UDM</v>
      </c>
      <c r="F105" s="132"/>
      <c r="G105" s="133"/>
      <c r="H105" s="134"/>
      <c r="I105" s="135"/>
      <c r="J105" s="132"/>
      <c r="K105" s="133"/>
      <c r="L105" s="134"/>
      <c r="M105" s="139"/>
      <c r="N105" s="142"/>
      <c r="O105" s="119"/>
      <c r="P105" s="119"/>
      <c r="Q105" s="119"/>
      <c r="R105" s="119"/>
      <c r="S105" s="119"/>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119"/>
      <c r="AT105" s="119"/>
      <c r="AU105" s="119"/>
      <c r="AV105" s="119"/>
      <c r="AW105" s="119"/>
      <c r="AX105" s="119"/>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73"/>
    </row>
    <row r="106" spans="1:114" ht="30" customHeight="1" x14ac:dyDescent="0.25">
      <c r="A106" s="7" t="s">
        <v>19</v>
      </c>
      <c r="B106" s="7" t="s">
        <v>74</v>
      </c>
      <c r="C106" s="144" t="s">
        <v>1674</v>
      </c>
      <c r="D106" s="120">
        <f>COUNTA($E$91:$E106)</f>
        <v>16</v>
      </c>
      <c r="E106" s="155" t="str">
        <f>IFERROR(A106&amp;"   ("&amp;COUNTIFS(#REF!,"="&amp;A106)&amp;")",A106)</f>
        <v>UTM</v>
      </c>
      <c r="F106" s="132"/>
      <c r="G106" s="133"/>
      <c r="H106" s="134"/>
      <c r="I106" s="135"/>
      <c r="J106" s="132"/>
      <c r="K106" s="133"/>
      <c r="L106" s="134"/>
      <c r="M106" s="139"/>
      <c r="N106" s="142"/>
      <c r="O106" s="119"/>
      <c r="P106" s="119"/>
      <c r="Q106" s="119"/>
      <c r="R106" s="119"/>
      <c r="S106" s="119"/>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119"/>
      <c r="AT106" s="119"/>
      <c r="AU106" s="119"/>
      <c r="AV106" s="119"/>
      <c r="AW106" s="119"/>
      <c r="AX106" s="119"/>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73"/>
    </row>
    <row r="107" spans="1:114" ht="20.100000000000001" customHeight="1" x14ac:dyDescent="0.25">
      <c r="A107" s="7" t="s">
        <v>60</v>
      </c>
      <c r="B107" s="7" t="s">
        <v>74</v>
      </c>
      <c r="C107" s="144"/>
      <c r="D107" s="67"/>
      <c r="E107" s="8"/>
      <c r="N107" s="58"/>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CQ107" s="7"/>
      <c r="CR107" s="7"/>
      <c r="CS107" s="7"/>
      <c r="CT107" s="7"/>
      <c r="CU107" s="7"/>
      <c r="CV107" s="7"/>
      <c r="CW107" s="7"/>
      <c r="CX107" s="7"/>
      <c r="CY107" s="7"/>
      <c r="CZ107" s="7"/>
      <c r="DA107" s="7"/>
      <c r="DB107" s="7"/>
      <c r="DC107" s="7"/>
      <c r="DD107" s="7"/>
      <c r="DE107" s="7"/>
      <c r="DF107" s="7"/>
      <c r="DG107" s="7"/>
      <c r="DH107" s="7"/>
      <c r="DI107" s="7"/>
      <c r="DJ107" s="7"/>
    </row>
    <row r="108" spans="1:114" ht="20.100000000000001" customHeight="1" x14ac:dyDescent="0.25">
      <c r="A108" s="7" t="s">
        <v>60</v>
      </c>
      <c r="B108" s="7" t="s">
        <v>78</v>
      </c>
      <c r="C108" s="144"/>
      <c r="D108" s="125" t="s">
        <v>80</v>
      </c>
      <c r="E108" s="159"/>
      <c r="F108" s="131"/>
      <c r="G108" s="131"/>
      <c r="H108" s="131"/>
      <c r="I108" s="131"/>
      <c r="J108" s="131"/>
      <c r="K108" s="131"/>
      <c r="L108" s="131"/>
      <c r="M108" s="131"/>
      <c r="N108" s="140"/>
      <c r="O108" s="217"/>
      <c r="P108" s="217"/>
      <c r="Q108" s="217"/>
      <c r="R108" s="217"/>
      <c r="S108" s="217"/>
      <c r="T108" s="217"/>
      <c r="U108" s="217"/>
      <c r="V108" s="217"/>
      <c r="W108" s="217"/>
      <c r="X108" s="217"/>
      <c r="Y108" s="217"/>
      <c r="Z108" s="217"/>
      <c r="AA108" s="217"/>
      <c r="AB108" s="217"/>
      <c r="AC108" s="217"/>
      <c r="AD108" s="217"/>
      <c r="AE108" s="217"/>
      <c r="AF108" s="217"/>
      <c r="AG108" s="217"/>
      <c r="AH108" s="217"/>
      <c r="AI108" s="217"/>
      <c r="AJ108" s="217"/>
      <c r="AK108" s="217"/>
      <c r="AL108" s="217"/>
      <c r="AM108" s="217"/>
      <c r="AN108" s="217"/>
      <c r="AO108" s="217"/>
      <c r="AP108" s="217"/>
      <c r="AQ108" s="217"/>
      <c r="AR108" s="217"/>
      <c r="AS108" s="217"/>
      <c r="AT108" s="217"/>
      <c r="AU108" s="217"/>
      <c r="AV108" s="217"/>
      <c r="AW108" s="217"/>
      <c r="AX108" s="217"/>
      <c r="AY108" s="217"/>
      <c r="AZ108" s="217"/>
      <c r="BA108" s="217"/>
      <c r="BB108" s="217"/>
      <c r="BC108" s="217"/>
      <c r="BD108" s="217"/>
      <c r="BE108" s="217"/>
      <c r="BF108" s="217"/>
      <c r="BG108" s="217"/>
      <c r="BH108" s="217"/>
      <c r="BI108" s="217"/>
      <c r="BJ108" s="217"/>
      <c r="BK108" s="217"/>
      <c r="BL108" s="217"/>
      <c r="BM108" s="217"/>
      <c r="BN108" s="217"/>
      <c r="BO108" s="217"/>
      <c r="BP108" s="217"/>
      <c r="BQ108" s="217"/>
      <c r="BR108" s="217"/>
      <c r="BS108" s="217"/>
      <c r="BT108" s="217"/>
      <c r="BU108" s="217"/>
      <c r="BV108" s="217"/>
      <c r="BW108" s="217"/>
      <c r="BX108" s="217"/>
      <c r="BY108" s="217"/>
      <c r="BZ108" s="217"/>
      <c r="CA108" s="217"/>
      <c r="CB108" s="217"/>
      <c r="CC108" s="217"/>
      <c r="CD108" s="217"/>
      <c r="CE108" s="217"/>
      <c r="CF108" s="217"/>
      <c r="CG108" s="217"/>
      <c r="CH108" s="217"/>
      <c r="CI108" s="217"/>
      <c r="CJ108" s="217"/>
      <c r="CK108" s="217"/>
      <c r="CL108" s="217"/>
      <c r="CM108" s="217"/>
      <c r="CN108" s="217"/>
      <c r="CO108" s="217"/>
      <c r="CP108" s="217"/>
      <c r="CQ108" s="217"/>
      <c r="CR108" s="217"/>
      <c r="CS108" s="217"/>
      <c r="CT108" s="217"/>
      <c r="CU108" s="217"/>
      <c r="CV108" s="217"/>
      <c r="CW108" s="217"/>
      <c r="CX108" s="217"/>
      <c r="CY108" s="217"/>
      <c r="CZ108" s="217"/>
      <c r="DA108" s="217"/>
      <c r="DB108" s="217"/>
      <c r="DC108" s="217"/>
      <c r="DD108" s="217"/>
      <c r="DE108" s="217"/>
      <c r="DF108" s="217"/>
      <c r="DG108" s="217"/>
      <c r="DH108" s="217"/>
      <c r="DI108" s="217"/>
      <c r="DJ108" s="218"/>
    </row>
    <row r="109" spans="1:114" ht="30" customHeight="1" x14ac:dyDescent="0.25">
      <c r="A109" s="7" t="s">
        <v>4</v>
      </c>
      <c r="B109" s="7" t="s">
        <v>78</v>
      </c>
      <c r="C109" s="144"/>
      <c r="D109" s="120"/>
      <c r="E109" s="155" t="str">
        <f>IFERROR(A109&amp;"   ("&amp;COUNTIFS(#REF!,"="&amp;A109)&amp;")",A109)</f>
        <v>11 SOIS</v>
      </c>
      <c r="F109" s="132"/>
      <c r="G109" s="133"/>
      <c r="H109" s="134"/>
      <c r="I109" s="135"/>
      <c r="J109" s="132"/>
      <c r="K109" s="133"/>
      <c r="L109" s="134"/>
      <c r="M109" s="139"/>
      <c r="N109" s="142"/>
      <c r="O109" s="119"/>
      <c r="P109" s="119"/>
      <c r="Q109" s="119"/>
      <c r="R109" s="119"/>
      <c r="S109" s="119"/>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119"/>
      <c r="AT109" s="119"/>
      <c r="AU109" s="119"/>
      <c r="AV109" s="119"/>
      <c r="AW109" s="119"/>
      <c r="AX109" s="119"/>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73"/>
    </row>
    <row r="110" spans="1:114" ht="9.9499999999999993" customHeight="1" x14ac:dyDescent="0.25">
      <c r="A110" s="7" t="s">
        <v>4</v>
      </c>
      <c r="B110" s="7" t="s">
        <v>78</v>
      </c>
      <c r="C110" s="144"/>
      <c r="D110" s="124"/>
      <c r="E110" s="158"/>
      <c r="F110" s="136"/>
      <c r="G110" s="136"/>
      <c r="H110" s="136"/>
      <c r="I110" s="136"/>
      <c r="J110" s="136"/>
      <c r="K110" s="136"/>
      <c r="L110" s="136"/>
      <c r="M110" s="136"/>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c r="BA110" s="58"/>
      <c r="BB110" s="58"/>
      <c r="BC110" s="58"/>
      <c r="BD110" s="58"/>
      <c r="BE110" s="58"/>
      <c r="BF110" s="58"/>
      <c r="BG110" s="58"/>
      <c r="BH110" s="58"/>
      <c r="BI110" s="58"/>
      <c r="BJ110" s="58"/>
      <c r="BK110" s="58"/>
      <c r="BL110" s="58"/>
      <c r="BM110" s="58"/>
      <c r="BN110" s="58"/>
      <c r="BO110" s="58"/>
      <c r="BP110" s="58"/>
      <c r="BQ110" s="58"/>
      <c r="BR110" s="58"/>
      <c r="BS110" s="58"/>
      <c r="BT110" s="58"/>
      <c r="BU110" s="58"/>
      <c r="BV110" s="58"/>
      <c r="BW110" s="58"/>
      <c r="BX110" s="58"/>
      <c r="BY110" s="58"/>
      <c r="BZ110" s="58"/>
      <c r="CA110" s="58"/>
      <c r="CB110" s="58"/>
      <c r="CC110" s="58"/>
      <c r="CD110" s="58"/>
      <c r="CE110" s="58"/>
      <c r="CF110" s="58"/>
      <c r="CG110" s="58"/>
      <c r="CH110" s="58"/>
      <c r="CI110" s="58"/>
      <c r="CJ110" s="58"/>
      <c r="CK110" s="58"/>
      <c r="CL110" s="58"/>
      <c r="CM110" s="58"/>
      <c r="CN110" s="58"/>
      <c r="CO110" s="58"/>
      <c r="CP110" s="58"/>
      <c r="CQ110" s="58"/>
      <c r="CR110" s="58"/>
      <c r="CS110" s="58"/>
      <c r="CT110" s="58"/>
      <c r="CU110" s="58"/>
      <c r="CV110" s="58"/>
      <c r="CW110" s="58"/>
      <c r="CX110" s="58"/>
      <c r="CY110" s="58"/>
      <c r="CZ110" s="58"/>
      <c r="DA110" s="58"/>
      <c r="DB110" s="58"/>
      <c r="DC110" s="58"/>
      <c r="DD110" s="58"/>
      <c r="DE110" s="58"/>
      <c r="DF110" s="58"/>
      <c r="DG110" s="58"/>
      <c r="DH110" s="58"/>
      <c r="DI110" s="58"/>
      <c r="DJ110" s="58"/>
    </row>
    <row r="111" spans="1:114" ht="30" customHeight="1" x14ac:dyDescent="0.25">
      <c r="A111" s="7" t="s">
        <v>6</v>
      </c>
      <c r="B111" s="7" t="s">
        <v>78</v>
      </c>
      <c r="C111" s="144" t="s">
        <v>1674</v>
      </c>
      <c r="D111" s="120">
        <f>COUNTA($E$111:$E111)</f>
        <v>1</v>
      </c>
      <c r="E111" s="155" t="str">
        <f>IFERROR(A111&amp;"   ("&amp;COUNTIFS(#REF!,"="&amp;A111)&amp;")",A111)</f>
        <v>CCI</v>
      </c>
      <c r="F111" s="132"/>
      <c r="G111" s="133"/>
      <c r="H111" s="134"/>
      <c r="I111" s="135"/>
      <c r="J111" s="132"/>
      <c r="K111" s="133"/>
      <c r="L111" s="134"/>
      <c r="M111" s="139"/>
      <c r="N111" s="142"/>
      <c r="O111" s="119"/>
      <c r="P111" s="119"/>
      <c r="Q111" s="119"/>
      <c r="R111" s="119"/>
      <c r="S111" s="119"/>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119"/>
      <c r="AT111" s="119"/>
      <c r="AU111" s="119"/>
      <c r="AV111" s="119"/>
      <c r="AW111" s="119"/>
      <c r="AX111" s="119"/>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73"/>
    </row>
    <row r="112" spans="1:114" ht="30" customHeight="1" x14ac:dyDescent="0.25">
      <c r="A112" s="7" t="s">
        <v>11</v>
      </c>
      <c r="B112" s="7" t="s">
        <v>78</v>
      </c>
      <c r="C112" s="144" t="s">
        <v>1674</v>
      </c>
      <c r="D112" s="120">
        <f>COUNTA($E$111:$E112)</f>
        <v>2</v>
      </c>
      <c r="E112" s="155" t="str">
        <f>IFERROR(A112&amp;"   ("&amp;COUNTIFS(#REF!,"="&amp;A112)&amp;")",A112)</f>
        <v>CCV</v>
      </c>
      <c r="F112" s="132"/>
      <c r="G112" s="133"/>
      <c r="H112" s="134"/>
      <c r="I112" s="135"/>
      <c r="J112" s="132"/>
      <c r="K112" s="133"/>
      <c r="L112" s="134"/>
      <c r="M112" s="139"/>
      <c r="N112" s="14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c r="AX112" s="122"/>
      <c r="AY112" s="122"/>
      <c r="AZ112" s="122"/>
      <c r="BA112" s="122"/>
      <c r="BB112" s="122"/>
      <c r="BC112" s="122"/>
      <c r="BD112" s="122"/>
      <c r="BE112" s="122"/>
      <c r="BF112" s="122"/>
      <c r="BG112" s="122"/>
      <c r="BH112" s="122"/>
      <c r="BI112" s="122"/>
      <c r="BJ112" s="122"/>
      <c r="BK112" s="122"/>
      <c r="BL112" s="122"/>
      <c r="BM112" s="122"/>
      <c r="BN112" s="122"/>
      <c r="BO112" s="122"/>
      <c r="BP112" s="122"/>
      <c r="BQ112" s="122"/>
      <c r="BR112" s="122"/>
      <c r="BS112" s="122"/>
      <c r="BT112" s="122"/>
      <c r="BU112" s="122"/>
      <c r="BV112" s="122"/>
      <c r="BW112" s="122"/>
      <c r="BX112" s="122"/>
      <c r="BY112" s="122"/>
      <c r="BZ112" s="122"/>
      <c r="CA112" s="122"/>
      <c r="CB112" s="122"/>
      <c r="CC112" s="122"/>
      <c r="CD112" s="122"/>
      <c r="CE112" s="122"/>
      <c r="CF112" s="122"/>
      <c r="CG112" s="122"/>
      <c r="CH112" s="122"/>
      <c r="CI112" s="122"/>
      <c r="CJ112" s="122"/>
      <c r="CK112" s="122"/>
      <c r="CL112" s="122"/>
      <c r="CM112" s="122"/>
      <c r="CN112" s="122"/>
      <c r="CO112" s="122"/>
      <c r="CP112" s="122"/>
      <c r="CQ112" s="122"/>
      <c r="CR112" s="122"/>
      <c r="CS112" s="122"/>
      <c r="CT112" s="122"/>
      <c r="CU112" s="122"/>
      <c r="CV112" s="122"/>
      <c r="CW112" s="122"/>
      <c r="CX112" s="122"/>
      <c r="CY112" s="122"/>
      <c r="CZ112" s="122"/>
      <c r="DA112" s="122"/>
      <c r="DB112" s="122"/>
      <c r="DC112" s="122"/>
      <c r="DD112" s="122"/>
      <c r="DE112" s="122"/>
      <c r="DF112" s="122"/>
      <c r="DG112" s="122"/>
      <c r="DH112" s="122"/>
      <c r="DI112" s="122"/>
      <c r="DJ112" s="121"/>
    </row>
    <row r="113" spans="1:114" ht="30" customHeight="1" x14ac:dyDescent="0.25">
      <c r="A113" s="7" t="s">
        <v>1670</v>
      </c>
      <c r="B113" s="7" t="s">
        <v>78</v>
      </c>
      <c r="C113" s="144" t="s">
        <v>1674</v>
      </c>
      <c r="D113" s="120">
        <f>COUNTA($E$111:$E113)</f>
        <v>3</v>
      </c>
      <c r="E113" s="155" t="str">
        <f>IFERROR(A113&amp;"   ("&amp;COUNTIFS(#REF!,"="&amp;A113)&amp;")",A113)</f>
        <v>CMD</v>
      </c>
      <c r="F113" s="132"/>
      <c r="G113" s="133"/>
      <c r="H113" s="134"/>
      <c r="I113" s="135"/>
      <c r="J113" s="132"/>
      <c r="K113" s="133"/>
      <c r="L113" s="134"/>
      <c r="M113" s="139"/>
      <c r="N113" s="142"/>
      <c r="O113" s="119"/>
      <c r="P113" s="119"/>
      <c r="Q113" s="119"/>
      <c r="R113" s="119"/>
      <c r="S113" s="119"/>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119"/>
      <c r="AT113" s="119"/>
      <c r="AU113" s="119"/>
      <c r="AV113" s="119"/>
      <c r="AW113" s="119"/>
      <c r="AX113" s="119"/>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73"/>
    </row>
    <row r="114" spans="1:114" ht="30" customHeight="1" x14ac:dyDescent="0.25">
      <c r="A114" s="7" t="s">
        <v>17</v>
      </c>
      <c r="B114" s="7" t="s">
        <v>78</v>
      </c>
      <c r="C114" s="144" t="s">
        <v>1674</v>
      </c>
      <c r="D114" s="120">
        <f>COUNTA($E$111:$E114)</f>
        <v>4</v>
      </c>
      <c r="E114" s="155" t="str">
        <f>IFERROR(A114&amp;"   ("&amp;COUNTIFS(#REF!,"="&amp;A114)&amp;")",A114)</f>
        <v>DO</v>
      </c>
      <c r="F114" s="132"/>
      <c r="G114" s="133"/>
      <c r="H114" s="134"/>
      <c r="I114" s="135"/>
      <c r="J114" s="132"/>
      <c r="K114" s="133"/>
      <c r="L114" s="134"/>
      <c r="M114" s="139"/>
      <c r="N114" s="142"/>
      <c r="O114" s="119"/>
      <c r="P114" s="119"/>
      <c r="Q114" s="119"/>
      <c r="R114" s="119"/>
      <c r="S114" s="119"/>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119"/>
      <c r="AT114" s="119"/>
      <c r="AU114" s="119"/>
      <c r="AV114" s="119"/>
      <c r="AW114" s="119"/>
      <c r="AX114" s="119"/>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73"/>
    </row>
    <row r="115" spans="1:114" ht="30" customHeight="1" x14ac:dyDescent="0.25">
      <c r="A115" s="7" t="s">
        <v>8</v>
      </c>
      <c r="B115" s="7" t="s">
        <v>78</v>
      </c>
      <c r="C115" s="144" t="s">
        <v>1674</v>
      </c>
      <c r="D115" s="120">
        <f>COUNTA($E$111:$E115)</f>
        <v>5</v>
      </c>
      <c r="E115" s="155" t="str">
        <f>IFERROR(A115&amp;"   ("&amp;COUNTIFS(#REF!,"="&amp;A115)&amp;")",A115)</f>
        <v>DOA</v>
      </c>
      <c r="F115" s="132"/>
      <c r="G115" s="133"/>
      <c r="H115" s="134"/>
      <c r="I115" s="135"/>
      <c r="J115" s="132"/>
      <c r="K115" s="133"/>
      <c r="L115" s="134"/>
      <c r="M115" s="139"/>
      <c r="N115" s="142"/>
      <c r="O115" s="119"/>
      <c r="P115" s="119"/>
      <c r="Q115" s="119"/>
      <c r="R115" s="119"/>
      <c r="S115" s="119"/>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119"/>
      <c r="AT115" s="119"/>
      <c r="AU115" s="119"/>
      <c r="AV115" s="119"/>
      <c r="AW115" s="119"/>
      <c r="AX115" s="119"/>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73"/>
    </row>
    <row r="116" spans="1:114" ht="30" customHeight="1" x14ac:dyDescent="0.25">
      <c r="A116" s="7" t="s">
        <v>12</v>
      </c>
      <c r="B116" s="7" t="s">
        <v>78</v>
      </c>
      <c r="C116" s="144" t="s">
        <v>1674</v>
      </c>
      <c r="D116" s="120">
        <f>COUNTA($E$111:$E116)</f>
        <v>6</v>
      </c>
      <c r="E116" s="155" t="str">
        <f>IFERROR(A116&amp;"   ("&amp;COUNTIFS(#REF!,"="&amp;A116)&amp;")",A116)</f>
        <v>DOB</v>
      </c>
      <c r="F116" s="132"/>
      <c r="G116" s="133"/>
      <c r="H116" s="134"/>
      <c r="I116" s="135"/>
      <c r="J116" s="132"/>
      <c r="K116" s="133"/>
      <c r="L116" s="134"/>
      <c r="M116" s="139"/>
      <c r="N116" s="142"/>
      <c r="O116" s="119"/>
      <c r="P116" s="119"/>
      <c r="Q116" s="119"/>
      <c r="R116" s="119"/>
      <c r="S116" s="119"/>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119"/>
      <c r="AT116" s="119"/>
      <c r="AU116" s="119"/>
      <c r="AV116" s="119"/>
      <c r="AW116" s="119"/>
      <c r="AX116" s="119"/>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73"/>
    </row>
    <row r="117" spans="1:114" ht="30" customHeight="1" x14ac:dyDescent="0.25">
      <c r="A117" s="7" t="s">
        <v>5</v>
      </c>
      <c r="B117" s="7" t="s">
        <v>78</v>
      </c>
      <c r="C117" s="144" t="s">
        <v>1674</v>
      </c>
      <c r="D117" s="120">
        <f>COUNTA($E$111:$E117)</f>
        <v>7</v>
      </c>
      <c r="E117" s="155" t="str">
        <f>IFERROR(A117&amp;"   ("&amp;COUNTIFS(#REF!,"="&amp;A117)&amp;")",A117)</f>
        <v>DOC</v>
      </c>
      <c r="F117" s="132"/>
      <c r="G117" s="133"/>
      <c r="H117" s="134"/>
      <c r="I117" s="135"/>
      <c r="J117" s="132"/>
      <c r="K117" s="133"/>
      <c r="L117" s="134"/>
      <c r="M117" s="139"/>
      <c r="N117" s="142"/>
      <c r="O117" s="119"/>
      <c r="P117" s="119"/>
      <c r="Q117" s="119"/>
      <c r="R117" s="119"/>
      <c r="S117" s="119"/>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119"/>
      <c r="AT117" s="119"/>
      <c r="AU117" s="119"/>
      <c r="AV117" s="119"/>
      <c r="AW117" s="119"/>
      <c r="AX117" s="119"/>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73"/>
    </row>
    <row r="118" spans="1:114" ht="30" customHeight="1" x14ac:dyDescent="0.25">
      <c r="A118" s="7" t="s">
        <v>7</v>
      </c>
      <c r="B118" s="7" t="s">
        <v>78</v>
      </c>
      <c r="C118" s="144" t="s">
        <v>1674</v>
      </c>
      <c r="D118" s="120">
        <f>COUNTA($E$111:$E118)</f>
        <v>8</v>
      </c>
      <c r="E118" s="155" t="str">
        <f>IFERROR(A118&amp;"   ("&amp;COUNTIFS(#REF!,"="&amp;A118)&amp;")",A118)</f>
        <v>DOD</v>
      </c>
      <c r="F118" s="132"/>
      <c r="G118" s="133"/>
      <c r="H118" s="134"/>
      <c r="I118" s="135"/>
      <c r="J118" s="132"/>
      <c r="K118" s="133"/>
      <c r="L118" s="134"/>
      <c r="M118" s="139"/>
      <c r="N118" s="142"/>
      <c r="O118" s="119"/>
      <c r="P118" s="119"/>
      <c r="Q118" s="119"/>
      <c r="R118" s="119"/>
      <c r="S118" s="119"/>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119"/>
      <c r="AT118" s="119"/>
      <c r="AU118" s="119"/>
      <c r="AV118" s="119"/>
      <c r="AW118" s="119"/>
      <c r="AX118" s="119"/>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73"/>
    </row>
    <row r="119" spans="1:114" ht="30" customHeight="1" x14ac:dyDescent="0.25">
      <c r="A119" s="7" t="s">
        <v>13</v>
      </c>
      <c r="B119" s="7" t="s">
        <v>78</v>
      </c>
      <c r="C119" s="144" t="s">
        <v>1674</v>
      </c>
      <c r="D119" s="120">
        <f>COUNTA($E$111:$E119)</f>
        <v>9</v>
      </c>
      <c r="E119" s="155" t="str">
        <f>IFERROR(A119&amp;"   ("&amp;COUNTIFS(#REF!,"="&amp;A119)&amp;")",A119)</f>
        <v>DOF</v>
      </c>
      <c r="F119" s="132"/>
      <c r="G119" s="133"/>
      <c r="H119" s="134"/>
      <c r="I119" s="135"/>
      <c r="J119" s="132"/>
      <c r="K119" s="133"/>
      <c r="L119" s="134"/>
      <c r="M119" s="139"/>
      <c r="N119" s="142"/>
      <c r="O119" s="119"/>
      <c r="P119" s="119"/>
      <c r="Q119" s="119"/>
      <c r="R119" s="119"/>
      <c r="S119" s="119"/>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119"/>
      <c r="AT119" s="119"/>
      <c r="AU119" s="119"/>
      <c r="AV119" s="119"/>
      <c r="AW119" s="119"/>
      <c r="AX119" s="119"/>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73"/>
    </row>
    <row r="120" spans="1:114" ht="30" customHeight="1" x14ac:dyDescent="0.25">
      <c r="A120" s="7" t="s">
        <v>14</v>
      </c>
      <c r="B120" s="7" t="s">
        <v>78</v>
      </c>
      <c r="C120" s="144" t="s">
        <v>1674</v>
      </c>
      <c r="D120" s="120">
        <f>COUNTA($E$111:$E120)</f>
        <v>10</v>
      </c>
      <c r="E120" s="155" t="str">
        <f>IFERROR(A120&amp;"   ("&amp;COUNTIFS(#REF!,"="&amp;A120)&amp;")",A120)</f>
        <v>DOK</v>
      </c>
      <c r="F120" s="132"/>
      <c r="G120" s="133"/>
      <c r="H120" s="134"/>
      <c r="I120" s="135"/>
      <c r="J120" s="132"/>
      <c r="K120" s="133"/>
      <c r="L120" s="134"/>
      <c r="M120" s="139"/>
      <c r="N120" s="142"/>
      <c r="O120" s="119"/>
      <c r="P120" s="119"/>
      <c r="Q120" s="119"/>
      <c r="R120" s="119"/>
      <c r="S120" s="119"/>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119"/>
      <c r="AT120" s="119"/>
      <c r="AU120" s="119"/>
      <c r="AV120" s="119"/>
      <c r="AW120" s="119"/>
      <c r="AX120" s="119"/>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73"/>
    </row>
    <row r="121" spans="1:114" ht="30" customHeight="1" x14ac:dyDescent="0.25">
      <c r="A121" s="7" t="s">
        <v>18</v>
      </c>
      <c r="B121" s="7" t="s">
        <v>78</v>
      </c>
      <c r="C121" s="144" t="s">
        <v>1674</v>
      </c>
      <c r="D121" s="120">
        <f>COUNTA($E$111:$E121)</f>
        <v>11</v>
      </c>
      <c r="E121" s="155" t="str">
        <f>IFERROR(A121&amp;"   ("&amp;COUNTIFS(#REF!,"="&amp;A121)&amp;")",A121)</f>
        <v>DOM</v>
      </c>
      <c r="F121" s="132"/>
      <c r="G121" s="133"/>
      <c r="H121" s="134"/>
      <c r="I121" s="135"/>
      <c r="J121" s="132"/>
      <c r="K121" s="133"/>
      <c r="L121" s="134"/>
      <c r="M121" s="139"/>
      <c r="N121" s="142"/>
      <c r="O121" s="119"/>
      <c r="P121" s="119"/>
      <c r="Q121" s="119"/>
      <c r="R121" s="119"/>
      <c r="S121" s="119"/>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119"/>
      <c r="AT121" s="119"/>
      <c r="AU121" s="119"/>
      <c r="AV121" s="119"/>
      <c r="AW121" s="119"/>
      <c r="AX121" s="119"/>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73"/>
    </row>
    <row r="122" spans="1:114" ht="30" customHeight="1" x14ac:dyDescent="0.25">
      <c r="A122" s="7" t="s">
        <v>9</v>
      </c>
      <c r="B122" s="7" t="s">
        <v>78</v>
      </c>
      <c r="C122" s="144" t="s">
        <v>1674</v>
      </c>
      <c r="D122" s="120">
        <f>COUNTA($E$111:$E122)</f>
        <v>12</v>
      </c>
      <c r="E122" s="155" t="str">
        <f>IFERROR(A122&amp;"   ("&amp;COUNTIFS(#REF!,"="&amp;A122)&amp;")",A122)</f>
        <v>DOT</v>
      </c>
      <c r="F122" s="132"/>
      <c r="G122" s="133"/>
      <c r="H122" s="134"/>
      <c r="I122" s="135"/>
      <c r="J122" s="132"/>
      <c r="K122" s="133"/>
      <c r="L122" s="134"/>
      <c r="M122" s="139"/>
      <c r="N122" s="142"/>
      <c r="O122" s="119"/>
      <c r="P122" s="119"/>
      <c r="Q122" s="119"/>
      <c r="R122" s="119"/>
      <c r="S122" s="119"/>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119"/>
      <c r="AT122" s="119"/>
      <c r="AU122" s="119"/>
      <c r="AV122" s="119"/>
      <c r="AW122" s="119"/>
      <c r="AX122" s="119"/>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73"/>
    </row>
    <row r="123" spans="1:114" ht="30" customHeight="1" x14ac:dyDescent="0.25">
      <c r="A123" s="7" t="s">
        <v>15</v>
      </c>
      <c r="B123" s="7" t="s">
        <v>78</v>
      </c>
      <c r="C123" s="144" t="s">
        <v>1674</v>
      </c>
      <c r="D123" s="120">
        <f>COUNTA($E$111:$E123)</f>
        <v>13</v>
      </c>
      <c r="E123" s="155" t="str">
        <f>IFERROR(A123&amp;"   ("&amp;COUNTIFS(#REF!,"="&amp;A123)&amp;")",A123)</f>
        <v>DOX</v>
      </c>
      <c r="F123" s="132"/>
      <c r="G123" s="133"/>
      <c r="H123" s="134"/>
      <c r="I123" s="135"/>
      <c r="J123" s="132"/>
      <c r="K123" s="133"/>
      <c r="L123" s="134"/>
      <c r="M123" s="139"/>
      <c r="N123" s="142"/>
      <c r="O123" s="119"/>
      <c r="P123" s="119"/>
      <c r="Q123" s="119"/>
      <c r="R123" s="119"/>
      <c r="S123" s="119"/>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119"/>
      <c r="AT123" s="119"/>
      <c r="AU123" s="119"/>
      <c r="AV123" s="119"/>
      <c r="AW123" s="119"/>
      <c r="AX123" s="119"/>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73"/>
    </row>
    <row r="124" spans="1:114" ht="30" customHeight="1" x14ac:dyDescent="0.25">
      <c r="A124" s="7" t="s">
        <v>10</v>
      </c>
      <c r="B124" s="7" t="s">
        <v>78</v>
      </c>
      <c r="C124" s="144" t="s">
        <v>1674</v>
      </c>
      <c r="D124" s="120">
        <f>COUNTA($E$111:$E124)</f>
        <v>14</v>
      </c>
      <c r="E124" s="155" t="str">
        <f>IFERROR(A124&amp;"   ("&amp;COUNTIFS(#REF!,"="&amp;A124)&amp;")",A124)</f>
        <v>MS</v>
      </c>
      <c r="F124" s="132"/>
      <c r="G124" s="133"/>
      <c r="H124" s="134"/>
      <c r="I124" s="135"/>
      <c r="J124" s="132"/>
      <c r="K124" s="133"/>
      <c r="L124" s="134"/>
      <c r="M124" s="139"/>
      <c r="N124" s="142"/>
      <c r="O124" s="119"/>
      <c r="P124" s="119"/>
      <c r="Q124" s="119"/>
      <c r="R124" s="119"/>
      <c r="S124" s="119"/>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119"/>
      <c r="AT124" s="119"/>
      <c r="AU124" s="119"/>
      <c r="AV124" s="119"/>
      <c r="AW124" s="119"/>
      <c r="AX124" s="119"/>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73"/>
    </row>
    <row r="125" spans="1:114" ht="30" customHeight="1" x14ac:dyDescent="0.25">
      <c r="A125" s="7" t="s">
        <v>16</v>
      </c>
      <c r="B125" s="7" t="s">
        <v>78</v>
      </c>
      <c r="C125" s="144" t="s">
        <v>1674</v>
      </c>
      <c r="D125" s="120">
        <f>COUNTA($E$111:$E125)</f>
        <v>15</v>
      </c>
      <c r="E125" s="155" t="str">
        <f>IFERROR(A125&amp;"   ("&amp;COUNTIFS(#REF!,"="&amp;A125)&amp;")",A125)</f>
        <v>UDM</v>
      </c>
      <c r="F125" s="132"/>
      <c r="G125" s="133"/>
      <c r="H125" s="134"/>
      <c r="I125" s="135"/>
      <c r="J125" s="132"/>
      <c r="K125" s="133"/>
      <c r="L125" s="134"/>
      <c r="M125" s="139"/>
      <c r="N125" s="142"/>
      <c r="O125" s="119"/>
      <c r="P125" s="119"/>
      <c r="Q125" s="119"/>
      <c r="R125" s="119"/>
      <c r="S125" s="119"/>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119"/>
      <c r="AT125" s="119"/>
      <c r="AU125" s="119"/>
      <c r="AV125" s="119"/>
      <c r="AW125" s="119"/>
      <c r="AX125" s="119"/>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73"/>
    </row>
    <row r="126" spans="1:114" ht="30" customHeight="1" x14ac:dyDescent="0.25">
      <c r="A126" s="7" t="s">
        <v>19</v>
      </c>
      <c r="B126" s="7" t="s">
        <v>78</v>
      </c>
      <c r="C126" s="144" t="s">
        <v>1674</v>
      </c>
      <c r="D126" s="120">
        <f>COUNTA($E$111:$E126)</f>
        <v>16</v>
      </c>
      <c r="E126" s="155" t="str">
        <f>IFERROR(A126&amp;"   ("&amp;COUNTIFS(#REF!,"="&amp;A126)&amp;")",A126)</f>
        <v>UTM</v>
      </c>
      <c r="F126" s="132"/>
      <c r="G126" s="133"/>
      <c r="H126" s="134"/>
      <c r="I126" s="135"/>
      <c r="J126" s="132"/>
      <c r="K126" s="133"/>
      <c r="L126" s="134"/>
      <c r="M126" s="139"/>
      <c r="N126" s="142"/>
      <c r="O126" s="119"/>
      <c r="P126" s="119"/>
      <c r="Q126" s="119"/>
      <c r="R126" s="119"/>
      <c r="S126" s="119"/>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119"/>
      <c r="AT126" s="119"/>
      <c r="AU126" s="119"/>
      <c r="AV126" s="119"/>
      <c r="AW126" s="119"/>
      <c r="AX126" s="119"/>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73"/>
    </row>
    <row r="127" spans="1:114" ht="20.100000000000001" customHeight="1" x14ac:dyDescent="0.25">
      <c r="A127" s="7" t="s">
        <v>60</v>
      </c>
      <c r="B127" s="7" t="s">
        <v>78</v>
      </c>
      <c r="C127" s="144"/>
      <c r="D127" s="67"/>
      <c r="E127" s="8"/>
      <c r="N127" s="58"/>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c r="BQ127" s="7"/>
      <c r="BR127" s="7"/>
      <c r="BS127" s="7"/>
      <c r="BT127" s="7"/>
      <c r="BU127" s="7"/>
      <c r="BV127" s="7"/>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c r="CU127" s="7"/>
      <c r="CV127" s="7"/>
      <c r="CW127" s="7"/>
      <c r="CX127" s="7"/>
      <c r="CY127" s="7"/>
      <c r="CZ127" s="7"/>
      <c r="DA127" s="7"/>
      <c r="DB127" s="7"/>
      <c r="DC127" s="7"/>
      <c r="DD127" s="7"/>
      <c r="DE127" s="7"/>
      <c r="DF127" s="7"/>
      <c r="DG127" s="7"/>
      <c r="DH127" s="7"/>
      <c r="DI127" s="7"/>
      <c r="DJ127" s="7"/>
    </row>
    <row r="128" spans="1:114" ht="20.100000000000001" customHeight="1" x14ac:dyDescent="0.25">
      <c r="A128" s="7" t="s">
        <v>60</v>
      </c>
      <c r="B128" s="7" t="s">
        <v>1642</v>
      </c>
      <c r="C128" s="144"/>
      <c r="D128" s="125" t="s">
        <v>1644</v>
      </c>
      <c r="E128" s="159"/>
      <c r="F128" s="131"/>
      <c r="G128" s="131"/>
      <c r="H128" s="131"/>
      <c r="I128" s="131"/>
      <c r="J128" s="131"/>
      <c r="K128" s="131"/>
      <c r="L128" s="131"/>
      <c r="M128" s="131"/>
      <c r="N128" s="140"/>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217"/>
      <c r="BI128" s="217"/>
      <c r="BJ128" s="217"/>
      <c r="BK128" s="217"/>
      <c r="BL128" s="217"/>
      <c r="BM128" s="217"/>
      <c r="BN128" s="217"/>
      <c r="BO128" s="217"/>
      <c r="BP128" s="217"/>
      <c r="BQ128" s="217"/>
      <c r="BR128" s="217"/>
      <c r="BS128" s="217"/>
      <c r="BT128" s="217"/>
      <c r="BU128" s="217"/>
      <c r="BV128" s="217"/>
      <c r="BW128" s="217"/>
      <c r="BX128" s="217"/>
      <c r="BY128" s="217"/>
      <c r="BZ128" s="217"/>
      <c r="CA128" s="217"/>
      <c r="CB128" s="217"/>
      <c r="CC128" s="217"/>
      <c r="CD128" s="217"/>
      <c r="CE128" s="217"/>
      <c r="CF128" s="217"/>
      <c r="CG128" s="217"/>
      <c r="CH128" s="217"/>
      <c r="CI128" s="217"/>
      <c r="CJ128" s="217"/>
      <c r="CK128" s="217"/>
      <c r="CL128" s="217"/>
      <c r="CM128" s="217"/>
      <c r="CN128" s="217"/>
      <c r="CO128" s="217"/>
      <c r="CP128" s="217"/>
      <c r="CQ128" s="217"/>
      <c r="CR128" s="217"/>
      <c r="CS128" s="217"/>
      <c r="CT128" s="217"/>
      <c r="CU128" s="217"/>
      <c r="CV128" s="217"/>
      <c r="CW128" s="217"/>
      <c r="CX128" s="217"/>
      <c r="CY128" s="217"/>
      <c r="CZ128" s="217"/>
      <c r="DA128" s="217"/>
      <c r="DB128" s="217"/>
      <c r="DC128" s="217"/>
      <c r="DD128" s="217"/>
      <c r="DE128" s="217"/>
      <c r="DF128" s="217"/>
      <c r="DG128" s="217"/>
      <c r="DH128" s="217"/>
      <c r="DI128" s="217"/>
      <c r="DJ128" s="218"/>
    </row>
    <row r="129" spans="1:114" ht="30" customHeight="1" x14ac:dyDescent="0.25">
      <c r="A129" s="7" t="s">
        <v>4</v>
      </c>
      <c r="B129" s="7" t="s">
        <v>1642</v>
      </c>
      <c r="C129" s="144"/>
      <c r="D129" s="120"/>
      <c r="E129" s="155" t="str">
        <f>IFERROR(A129&amp;"   ("&amp;COUNTIFS(#REF!,"="&amp;A129)&amp;")",A129)</f>
        <v>11 SOIS</v>
      </c>
      <c r="F129" s="132"/>
      <c r="G129" s="133"/>
      <c r="H129" s="134"/>
      <c r="I129" s="135"/>
      <c r="J129" s="132"/>
      <c r="K129" s="133"/>
      <c r="L129" s="134"/>
      <c r="M129" s="139"/>
      <c r="N129" s="142"/>
      <c r="O129" s="119"/>
      <c r="P129" s="119"/>
      <c r="Q129" s="119"/>
      <c r="R129" s="119"/>
      <c r="S129" s="119"/>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119"/>
      <c r="AT129" s="119"/>
      <c r="AU129" s="119"/>
      <c r="AV129" s="119"/>
      <c r="AW129" s="119"/>
      <c r="AX129" s="119"/>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73"/>
    </row>
    <row r="130" spans="1:114" ht="9.9499999999999993" customHeight="1" x14ac:dyDescent="0.25">
      <c r="A130" s="7" t="s">
        <v>4</v>
      </c>
      <c r="B130" s="7" t="s">
        <v>1642</v>
      </c>
      <c r="C130" s="144"/>
      <c r="D130" s="124"/>
      <c r="E130" s="158"/>
      <c r="F130" s="136"/>
      <c r="G130" s="136"/>
      <c r="H130" s="136"/>
      <c r="I130" s="136"/>
      <c r="J130" s="136"/>
      <c r="K130" s="136"/>
      <c r="L130" s="136"/>
      <c r="M130" s="136"/>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c r="BA130" s="58"/>
      <c r="BB130" s="58"/>
      <c r="BC130" s="58"/>
      <c r="BD130" s="58"/>
      <c r="BE130" s="58"/>
      <c r="BF130" s="58"/>
      <c r="BG130" s="58"/>
      <c r="BH130" s="58"/>
      <c r="BI130" s="58"/>
      <c r="BJ130" s="58"/>
      <c r="BK130" s="58"/>
      <c r="BL130" s="58"/>
      <c r="BM130" s="58"/>
      <c r="BN130" s="58"/>
      <c r="BO130" s="58"/>
      <c r="BP130" s="58"/>
      <c r="BQ130" s="58"/>
      <c r="BR130" s="58"/>
      <c r="BS130" s="58"/>
      <c r="BT130" s="58"/>
      <c r="BU130" s="58"/>
      <c r="BV130" s="58"/>
      <c r="BW130" s="58"/>
      <c r="BX130" s="58"/>
      <c r="BY130" s="58"/>
      <c r="BZ130" s="58"/>
      <c r="CA130" s="58"/>
      <c r="CB130" s="58"/>
      <c r="CC130" s="58"/>
      <c r="CD130" s="58"/>
      <c r="CE130" s="58"/>
      <c r="CF130" s="58"/>
      <c r="CG130" s="58"/>
      <c r="CH130" s="58"/>
      <c r="CI130" s="58"/>
      <c r="CJ130" s="58"/>
      <c r="CK130" s="58"/>
      <c r="CL130" s="58"/>
      <c r="CM130" s="58"/>
      <c r="CN130" s="58"/>
      <c r="CO130" s="58"/>
      <c r="CP130" s="58"/>
      <c r="CQ130" s="58"/>
      <c r="CR130" s="58"/>
      <c r="CS130" s="58"/>
      <c r="CT130" s="58"/>
      <c r="CU130" s="58"/>
      <c r="CV130" s="58"/>
      <c r="CW130" s="58"/>
      <c r="CX130" s="58"/>
      <c r="CY130" s="58"/>
      <c r="CZ130" s="58"/>
      <c r="DA130" s="58"/>
      <c r="DB130" s="58"/>
      <c r="DC130" s="58"/>
      <c r="DD130" s="58"/>
      <c r="DE130" s="58"/>
      <c r="DF130" s="58"/>
      <c r="DG130" s="58"/>
      <c r="DH130" s="58"/>
      <c r="DI130" s="58"/>
      <c r="DJ130" s="58"/>
    </row>
    <row r="131" spans="1:114" ht="30" customHeight="1" x14ac:dyDescent="0.25">
      <c r="A131" s="7" t="s">
        <v>6</v>
      </c>
      <c r="B131" s="7" t="s">
        <v>1642</v>
      </c>
      <c r="C131" s="144" t="s">
        <v>1674</v>
      </c>
      <c r="D131" s="120">
        <f>COUNTA($E$131:$E131)</f>
        <v>1</v>
      </c>
      <c r="E131" s="155" t="str">
        <f>IFERROR(A131&amp;"   ("&amp;COUNTIFS(#REF!,"="&amp;A131)&amp;")",A131)</f>
        <v>CCI</v>
      </c>
      <c r="F131" s="132"/>
      <c r="G131" s="133"/>
      <c r="H131" s="134"/>
      <c r="I131" s="135"/>
      <c r="J131" s="132"/>
      <c r="K131" s="133"/>
      <c r="L131" s="134"/>
      <c r="M131" s="139"/>
      <c r="N131" s="142"/>
      <c r="O131" s="119"/>
      <c r="P131" s="119"/>
      <c r="Q131" s="119"/>
      <c r="R131" s="119"/>
      <c r="S131" s="119"/>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119"/>
      <c r="AT131" s="119"/>
      <c r="AU131" s="119"/>
      <c r="AV131" s="119"/>
      <c r="AW131" s="119"/>
      <c r="AX131" s="119"/>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73"/>
    </row>
    <row r="132" spans="1:114" ht="30" customHeight="1" x14ac:dyDescent="0.25">
      <c r="A132" s="7" t="s">
        <v>11</v>
      </c>
      <c r="B132" s="7" t="s">
        <v>1642</v>
      </c>
      <c r="C132" s="144" t="s">
        <v>1674</v>
      </c>
      <c r="D132" s="120">
        <f>COUNTA($E$131:$E132)</f>
        <v>2</v>
      </c>
      <c r="E132" s="155" t="str">
        <f>IFERROR(A132&amp;"   ("&amp;COUNTIFS(#REF!,"="&amp;A132)&amp;")",A132)</f>
        <v>CCV</v>
      </c>
      <c r="F132" s="132"/>
      <c r="G132" s="133"/>
      <c r="H132" s="134"/>
      <c r="I132" s="135"/>
      <c r="J132" s="132"/>
      <c r="K132" s="133"/>
      <c r="L132" s="134"/>
      <c r="M132" s="139"/>
      <c r="N132" s="14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c r="AX132" s="122"/>
      <c r="AY132" s="122"/>
      <c r="AZ132" s="122"/>
      <c r="BA132" s="122"/>
      <c r="BB132" s="122"/>
      <c r="BC132" s="122"/>
      <c r="BD132" s="122"/>
      <c r="BE132" s="122"/>
      <c r="BF132" s="122"/>
      <c r="BG132" s="122"/>
      <c r="BH132" s="122"/>
      <c r="BI132" s="122"/>
      <c r="BJ132" s="122"/>
      <c r="BK132" s="122"/>
      <c r="BL132" s="122"/>
      <c r="BM132" s="122"/>
      <c r="BN132" s="122"/>
      <c r="BO132" s="122"/>
      <c r="BP132" s="122"/>
      <c r="BQ132" s="122"/>
      <c r="BR132" s="122"/>
      <c r="BS132" s="122"/>
      <c r="BT132" s="122"/>
      <c r="BU132" s="122"/>
      <c r="BV132" s="122"/>
      <c r="BW132" s="122"/>
      <c r="BX132" s="122"/>
      <c r="BY132" s="122"/>
      <c r="BZ132" s="122"/>
      <c r="CA132" s="122"/>
      <c r="CB132" s="122"/>
      <c r="CC132" s="122"/>
      <c r="CD132" s="122"/>
      <c r="CE132" s="122"/>
      <c r="CF132" s="122"/>
      <c r="CG132" s="122"/>
      <c r="CH132" s="122"/>
      <c r="CI132" s="122"/>
      <c r="CJ132" s="122"/>
      <c r="CK132" s="122"/>
      <c r="CL132" s="122"/>
      <c r="CM132" s="122"/>
      <c r="CN132" s="122"/>
      <c r="CO132" s="122"/>
      <c r="CP132" s="122"/>
      <c r="CQ132" s="122"/>
      <c r="CR132" s="122"/>
      <c r="CS132" s="122"/>
      <c r="CT132" s="122"/>
      <c r="CU132" s="122"/>
      <c r="CV132" s="122"/>
      <c r="CW132" s="122"/>
      <c r="CX132" s="122"/>
      <c r="CY132" s="122"/>
      <c r="CZ132" s="122"/>
      <c r="DA132" s="122"/>
      <c r="DB132" s="122"/>
      <c r="DC132" s="122"/>
      <c r="DD132" s="122"/>
      <c r="DE132" s="122"/>
      <c r="DF132" s="122"/>
      <c r="DG132" s="122"/>
      <c r="DH132" s="122"/>
      <c r="DI132" s="122"/>
      <c r="DJ132" s="121"/>
    </row>
    <row r="133" spans="1:114" ht="30" customHeight="1" x14ac:dyDescent="0.25">
      <c r="A133" s="7" t="s">
        <v>1670</v>
      </c>
      <c r="B133" s="7" t="s">
        <v>1642</v>
      </c>
      <c r="C133" s="144" t="s">
        <v>1674</v>
      </c>
      <c r="D133" s="120">
        <f>COUNTA($E$131:$E133)</f>
        <v>3</v>
      </c>
      <c r="E133" s="155" t="str">
        <f>IFERROR(A133&amp;"   ("&amp;COUNTIFS(#REF!,"="&amp;A133)&amp;")",A133)</f>
        <v>CMD</v>
      </c>
      <c r="F133" s="132"/>
      <c r="G133" s="133"/>
      <c r="H133" s="134"/>
      <c r="I133" s="135"/>
      <c r="J133" s="132"/>
      <c r="K133" s="133"/>
      <c r="L133" s="134"/>
      <c r="M133" s="139"/>
      <c r="N133" s="142"/>
      <c r="O133" s="119"/>
      <c r="P133" s="119"/>
      <c r="Q133" s="119"/>
      <c r="R133" s="119"/>
      <c r="S133" s="119"/>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119"/>
      <c r="AT133" s="119"/>
      <c r="AU133" s="119"/>
      <c r="AV133" s="119"/>
      <c r="AW133" s="119"/>
      <c r="AX133" s="119"/>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73"/>
    </row>
    <row r="134" spans="1:114" ht="30" customHeight="1" x14ac:dyDescent="0.25">
      <c r="A134" s="7" t="s">
        <v>17</v>
      </c>
      <c r="B134" s="7" t="s">
        <v>1642</v>
      </c>
      <c r="C134" s="144" t="s">
        <v>1674</v>
      </c>
      <c r="D134" s="120">
        <f>COUNTA($E$131:$E134)</f>
        <v>4</v>
      </c>
      <c r="E134" s="155" t="str">
        <f>IFERROR(A134&amp;"   ("&amp;COUNTIFS(#REF!,"="&amp;A134)&amp;")",A134)</f>
        <v>DO</v>
      </c>
      <c r="F134" s="132"/>
      <c r="G134" s="133"/>
      <c r="H134" s="134"/>
      <c r="I134" s="135"/>
      <c r="J134" s="132"/>
      <c r="K134" s="133"/>
      <c r="L134" s="134"/>
      <c r="M134" s="139"/>
      <c r="N134" s="142"/>
      <c r="O134" s="119"/>
      <c r="P134" s="119"/>
      <c r="Q134" s="119"/>
      <c r="R134" s="119"/>
      <c r="S134" s="119"/>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119"/>
      <c r="AT134" s="119"/>
      <c r="AU134" s="119"/>
      <c r="AV134" s="119"/>
      <c r="AW134" s="119"/>
      <c r="AX134" s="119"/>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73"/>
    </row>
    <row r="135" spans="1:114" ht="30" customHeight="1" x14ac:dyDescent="0.25">
      <c r="A135" s="7" t="s">
        <v>8</v>
      </c>
      <c r="B135" s="7" t="s">
        <v>1642</v>
      </c>
      <c r="C135" s="144" t="s">
        <v>1674</v>
      </c>
      <c r="D135" s="120">
        <f>COUNTA($E$131:$E135)</f>
        <v>5</v>
      </c>
      <c r="E135" s="155" t="str">
        <f>IFERROR(A135&amp;"   ("&amp;COUNTIFS(#REF!,"="&amp;A135)&amp;")",A135)</f>
        <v>DOA</v>
      </c>
      <c r="F135" s="132"/>
      <c r="G135" s="133"/>
      <c r="H135" s="134"/>
      <c r="I135" s="135"/>
      <c r="J135" s="132"/>
      <c r="K135" s="133"/>
      <c r="L135" s="134"/>
      <c r="M135" s="139"/>
      <c r="N135" s="142"/>
      <c r="O135" s="119"/>
      <c r="P135" s="119"/>
      <c r="Q135" s="119"/>
      <c r="R135" s="119"/>
      <c r="S135" s="119"/>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119"/>
      <c r="AT135" s="119"/>
      <c r="AU135" s="119"/>
      <c r="AV135" s="119"/>
      <c r="AW135" s="119"/>
      <c r="AX135" s="119"/>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73"/>
    </row>
    <row r="136" spans="1:114" ht="30" customHeight="1" x14ac:dyDescent="0.25">
      <c r="A136" s="7" t="s">
        <v>12</v>
      </c>
      <c r="B136" s="7" t="s">
        <v>1642</v>
      </c>
      <c r="C136" s="144" t="s">
        <v>1674</v>
      </c>
      <c r="D136" s="120">
        <f>COUNTA($E$131:$E136)</f>
        <v>6</v>
      </c>
      <c r="E136" s="155" t="str">
        <f>IFERROR(A136&amp;"   ("&amp;COUNTIFS(#REF!,"="&amp;A136)&amp;")",A136)</f>
        <v>DOB</v>
      </c>
      <c r="F136" s="132"/>
      <c r="G136" s="133"/>
      <c r="H136" s="134"/>
      <c r="I136" s="135"/>
      <c r="J136" s="132"/>
      <c r="K136" s="133"/>
      <c r="L136" s="134"/>
      <c r="M136" s="139"/>
      <c r="N136" s="142"/>
      <c r="O136" s="119"/>
      <c r="P136" s="119"/>
      <c r="Q136" s="119"/>
      <c r="R136" s="119"/>
      <c r="S136" s="119"/>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119"/>
      <c r="AT136" s="119"/>
      <c r="AU136" s="119"/>
      <c r="AV136" s="119"/>
      <c r="AW136" s="119"/>
      <c r="AX136" s="119"/>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73"/>
    </row>
    <row r="137" spans="1:114" ht="30" customHeight="1" x14ac:dyDescent="0.25">
      <c r="A137" s="7" t="s">
        <v>5</v>
      </c>
      <c r="B137" s="7" t="s">
        <v>1642</v>
      </c>
      <c r="C137" s="144" t="s">
        <v>1674</v>
      </c>
      <c r="D137" s="120">
        <f>COUNTA($E$131:$E137)</f>
        <v>7</v>
      </c>
      <c r="E137" s="155" t="str">
        <f>IFERROR(A137&amp;"   ("&amp;COUNTIFS(#REF!,"="&amp;A137)&amp;")",A137)</f>
        <v>DOC</v>
      </c>
      <c r="F137" s="132"/>
      <c r="G137" s="133"/>
      <c r="H137" s="134"/>
      <c r="I137" s="135"/>
      <c r="J137" s="132"/>
      <c r="K137" s="133"/>
      <c r="L137" s="134"/>
      <c r="M137" s="139"/>
      <c r="N137" s="142"/>
      <c r="O137" s="119"/>
      <c r="P137" s="119"/>
      <c r="Q137" s="119"/>
      <c r="R137" s="119"/>
      <c r="S137" s="119"/>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119"/>
      <c r="AT137" s="119"/>
      <c r="AU137" s="119"/>
      <c r="AV137" s="119"/>
      <c r="AW137" s="119"/>
      <c r="AX137" s="119"/>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73"/>
    </row>
    <row r="138" spans="1:114" ht="30" customHeight="1" x14ac:dyDescent="0.25">
      <c r="A138" s="7" t="s">
        <v>7</v>
      </c>
      <c r="B138" s="7" t="s">
        <v>1642</v>
      </c>
      <c r="C138" s="144" t="s">
        <v>1674</v>
      </c>
      <c r="D138" s="120">
        <f>COUNTA($E$131:$E138)</f>
        <v>8</v>
      </c>
      <c r="E138" s="155" t="str">
        <f>IFERROR(A138&amp;"   ("&amp;COUNTIFS(#REF!,"="&amp;A138)&amp;")",A138)</f>
        <v>DOD</v>
      </c>
      <c r="F138" s="132"/>
      <c r="G138" s="133"/>
      <c r="H138" s="134"/>
      <c r="I138" s="135"/>
      <c r="J138" s="132"/>
      <c r="K138" s="133"/>
      <c r="L138" s="134"/>
      <c r="M138" s="139"/>
      <c r="N138" s="142"/>
      <c r="O138" s="119"/>
      <c r="P138" s="119"/>
      <c r="Q138" s="119"/>
      <c r="R138" s="119"/>
      <c r="S138" s="119"/>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119"/>
      <c r="AT138" s="119"/>
      <c r="AU138" s="119"/>
      <c r="AV138" s="119"/>
      <c r="AW138" s="119"/>
      <c r="AX138" s="119"/>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73"/>
    </row>
    <row r="139" spans="1:114" ht="30" customHeight="1" x14ac:dyDescent="0.25">
      <c r="A139" s="7" t="s">
        <v>13</v>
      </c>
      <c r="B139" s="7" t="s">
        <v>1642</v>
      </c>
      <c r="C139" s="144" t="s">
        <v>1674</v>
      </c>
      <c r="D139" s="120">
        <f>COUNTA($E$131:$E139)</f>
        <v>9</v>
      </c>
      <c r="E139" s="155" t="str">
        <f>IFERROR(A139&amp;"   ("&amp;COUNTIFS(#REF!,"="&amp;A139)&amp;")",A139)</f>
        <v>DOF</v>
      </c>
      <c r="F139" s="132"/>
      <c r="G139" s="133"/>
      <c r="H139" s="134"/>
      <c r="I139" s="135"/>
      <c r="J139" s="132"/>
      <c r="K139" s="133"/>
      <c r="L139" s="134"/>
      <c r="M139" s="139"/>
      <c r="N139" s="142"/>
      <c r="O139" s="119"/>
      <c r="P139" s="119"/>
      <c r="Q139" s="119"/>
      <c r="R139" s="119"/>
      <c r="S139" s="119"/>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119"/>
      <c r="AT139" s="119"/>
      <c r="AU139" s="119"/>
      <c r="AV139" s="119"/>
      <c r="AW139" s="119"/>
      <c r="AX139" s="119"/>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73"/>
    </row>
    <row r="140" spans="1:114" ht="30" customHeight="1" x14ac:dyDescent="0.25">
      <c r="A140" s="7" t="s">
        <v>14</v>
      </c>
      <c r="B140" s="7" t="s">
        <v>1642</v>
      </c>
      <c r="C140" s="144" t="s">
        <v>1674</v>
      </c>
      <c r="D140" s="120">
        <f>COUNTA($E$131:$E140)</f>
        <v>10</v>
      </c>
      <c r="E140" s="155" t="str">
        <f>IFERROR(A140&amp;"   ("&amp;COUNTIFS(#REF!,"="&amp;A140)&amp;")",A140)</f>
        <v>DOK</v>
      </c>
      <c r="F140" s="132"/>
      <c r="G140" s="133"/>
      <c r="H140" s="134"/>
      <c r="I140" s="135"/>
      <c r="J140" s="132"/>
      <c r="K140" s="133"/>
      <c r="L140" s="134"/>
      <c r="M140" s="139"/>
      <c r="N140" s="142"/>
      <c r="O140" s="119"/>
      <c r="P140" s="119"/>
      <c r="Q140" s="119"/>
      <c r="R140" s="119"/>
      <c r="S140" s="119"/>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119"/>
      <c r="AT140" s="119"/>
      <c r="AU140" s="119"/>
      <c r="AV140" s="119"/>
      <c r="AW140" s="119"/>
      <c r="AX140" s="119"/>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73"/>
    </row>
    <row r="141" spans="1:114" ht="30" customHeight="1" x14ac:dyDescent="0.25">
      <c r="A141" s="7" t="s">
        <v>18</v>
      </c>
      <c r="B141" s="7" t="s">
        <v>1642</v>
      </c>
      <c r="C141" s="144" t="s">
        <v>1674</v>
      </c>
      <c r="D141" s="120">
        <f>COUNTA($E$131:$E141)</f>
        <v>11</v>
      </c>
      <c r="E141" s="155" t="str">
        <f>IFERROR(A141&amp;"   ("&amp;COUNTIFS(#REF!,"="&amp;A141)&amp;")",A141)</f>
        <v>DOM</v>
      </c>
      <c r="F141" s="132"/>
      <c r="G141" s="133"/>
      <c r="H141" s="134"/>
      <c r="I141" s="135"/>
      <c r="J141" s="132"/>
      <c r="K141" s="133"/>
      <c r="L141" s="134"/>
      <c r="M141" s="139"/>
      <c r="N141" s="142"/>
      <c r="O141" s="119"/>
      <c r="P141" s="119"/>
      <c r="Q141" s="119"/>
      <c r="R141" s="119"/>
      <c r="S141" s="119"/>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119"/>
      <c r="AT141" s="119"/>
      <c r="AU141" s="119"/>
      <c r="AV141" s="119"/>
      <c r="AW141" s="119"/>
      <c r="AX141" s="119"/>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73"/>
    </row>
    <row r="142" spans="1:114" ht="30" customHeight="1" x14ac:dyDescent="0.25">
      <c r="A142" s="7" t="s">
        <v>9</v>
      </c>
      <c r="B142" s="7" t="s">
        <v>1642</v>
      </c>
      <c r="C142" s="144" t="s">
        <v>1674</v>
      </c>
      <c r="D142" s="120">
        <f>COUNTA($E$131:$E142)</f>
        <v>12</v>
      </c>
      <c r="E142" s="155" t="str">
        <f>IFERROR(A142&amp;"   ("&amp;COUNTIFS(#REF!,"="&amp;A142)&amp;")",A142)</f>
        <v>DOT</v>
      </c>
      <c r="F142" s="132"/>
      <c r="G142" s="133"/>
      <c r="H142" s="134"/>
      <c r="I142" s="135"/>
      <c r="J142" s="132"/>
      <c r="K142" s="133"/>
      <c r="L142" s="134"/>
      <c r="M142" s="139"/>
      <c r="N142" s="142"/>
      <c r="O142" s="119"/>
      <c r="P142" s="119"/>
      <c r="Q142" s="119"/>
      <c r="R142" s="119"/>
      <c r="S142" s="119"/>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119"/>
      <c r="AT142" s="119"/>
      <c r="AU142" s="119"/>
      <c r="AV142" s="119"/>
      <c r="AW142" s="119"/>
      <c r="AX142" s="119"/>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73"/>
    </row>
    <row r="143" spans="1:114" ht="30" customHeight="1" x14ac:dyDescent="0.25">
      <c r="A143" s="7" t="s">
        <v>15</v>
      </c>
      <c r="B143" s="7" t="s">
        <v>1642</v>
      </c>
      <c r="C143" s="144" t="s">
        <v>1674</v>
      </c>
      <c r="D143" s="120">
        <f>COUNTA($E$131:$E143)</f>
        <v>13</v>
      </c>
      <c r="E143" s="155" t="str">
        <f>IFERROR(A143&amp;"   ("&amp;COUNTIFS(#REF!,"="&amp;A143)&amp;")",A143)</f>
        <v>DOX</v>
      </c>
      <c r="F143" s="132"/>
      <c r="G143" s="133"/>
      <c r="H143" s="134"/>
      <c r="I143" s="135"/>
      <c r="J143" s="132"/>
      <c r="K143" s="133"/>
      <c r="L143" s="134"/>
      <c r="M143" s="139"/>
      <c r="N143" s="142"/>
      <c r="O143" s="119"/>
      <c r="P143" s="119"/>
      <c r="Q143" s="119"/>
      <c r="R143" s="119"/>
      <c r="S143" s="119"/>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119"/>
      <c r="AT143" s="119"/>
      <c r="AU143" s="119"/>
      <c r="AV143" s="119"/>
      <c r="AW143" s="119"/>
      <c r="AX143" s="119"/>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73"/>
    </row>
    <row r="144" spans="1:114" ht="30" customHeight="1" x14ac:dyDescent="0.25">
      <c r="A144" s="7" t="s">
        <v>10</v>
      </c>
      <c r="B144" s="7" t="s">
        <v>1642</v>
      </c>
      <c r="C144" s="144" t="s">
        <v>1674</v>
      </c>
      <c r="D144" s="120">
        <f>COUNTA($E$131:$E144)</f>
        <v>14</v>
      </c>
      <c r="E144" s="155" t="str">
        <f>IFERROR(A144&amp;"   ("&amp;COUNTIFS(#REF!,"="&amp;A144)&amp;")",A144)</f>
        <v>MS</v>
      </c>
      <c r="F144" s="132"/>
      <c r="G144" s="133"/>
      <c r="H144" s="134"/>
      <c r="I144" s="135"/>
      <c r="J144" s="132"/>
      <c r="K144" s="133"/>
      <c r="L144" s="134"/>
      <c r="M144" s="139"/>
      <c r="N144" s="142"/>
      <c r="O144" s="119"/>
      <c r="P144" s="119"/>
      <c r="Q144" s="119"/>
      <c r="R144" s="119"/>
      <c r="S144" s="119"/>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119"/>
      <c r="AT144" s="119"/>
      <c r="AU144" s="119"/>
      <c r="AV144" s="119"/>
      <c r="AW144" s="119"/>
      <c r="AX144" s="119"/>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73"/>
    </row>
    <row r="145" spans="1:114" ht="30" customHeight="1" x14ac:dyDescent="0.25">
      <c r="A145" s="7" t="s">
        <v>16</v>
      </c>
      <c r="B145" s="7" t="s">
        <v>1642</v>
      </c>
      <c r="C145" s="144" t="s">
        <v>1674</v>
      </c>
      <c r="D145" s="120">
        <f>COUNTA($E$131:$E145)</f>
        <v>15</v>
      </c>
      <c r="E145" s="155" t="str">
        <f>IFERROR(A145&amp;"   ("&amp;COUNTIFS(#REF!,"="&amp;A145)&amp;")",A145)</f>
        <v>UDM</v>
      </c>
      <c r="F145" s="132"/>
      <c r="G145" s="133"/>
      <c r="H145" s="134"/>
      <c r="I145" s="135"/>
      <c r="J145" s="132"/>
      <c r="K145" s="133"/>
      <c r="L145" s="134"/>
      <c r="M145" s="139"/>
      <c r="N145" s="142"/>
      <c r="O145" s="119"/>
      <c r="P145" s="119"/>
      <c r="Q145" s="119"/>
      <c r="R145" s="119"/>
      <c r="S145" s="119"/>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119"/>
      <c r="AT145" s="119"/>
      <c r="AU145" s="119"/>
      <c r="AV145" s="119"/>
      <c r="AW145" s="119"/>
      <c r="AX145" s="119"/>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73"/>
    </row>
    <row r="146" spans="1:114" ht="30" customHeight="1" x14ac:dyDescent="0.25">
      <c r="A146" s="7" t="s">
        <v>19</v>
      </c>
      <c r="B146" s="7" t="s">
        <v>1642</v>
      </c>
      <c r="C146" s="144" t="s">
        <v>1674</v>
      </c>
      <c r="D146" s="120">
        <f>COUNTA($E$131:$E146)</f>
        <v>16</v>
      </c>
      <c r="E146" s="155" t="str">
        <f>IFERROR(A146&amp;"   ("&amp;COUNTIFS(#REF!,"="&amp;A146)&amp;")",A146)</f>
        <v>UTM</v>
      </c>
      <c r="F146" s="132"/>
      <c r="G146" s="133"/>
      <c r="H146" s="134"/>
      <c r="I146" s="135"/>
      <c r="J146" s="132"/>
      <c r="K146" s="133"/>
      <c r="L146" s="134"/>
      <c r="M146" s="139"/>
      <c r="N146" s="142"/>
      <c r="O146" s="119"/>
      <c r="P146" s="119"/>
      <c r="Q146" s="119"/>
      <c r="R146" s="119"/>
      <c r="S146" s="119"/>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119"/>
      <c r="AT146" s="119"/>
      <c r="AU146" s="119"/>
      <c r="AV146" s="119"/>
      <c r="AW146" s="119"/>
      <c r="AX146" s="119"/>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73"/>
    </row>
    <row r="147" spans="1:114" ht="20.100000000000001" customHeight="1" x14ac:dyDescent="0.25">
      <c r="A147" s="7" t="s">
        <v>60</v>
      </c>
      <c r="B147" s="7" t="s">
        <v>1642</v>
      </c>
      <c r="C147" s="144"/>
      <c r="D147" s="67"/>
      <c r="E147" s="8"/>
      <c r="N147" s="58"/>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c r="BS147" s="7"/>
      <c r="BT147" s="7"/>
      <c r="BU147" s="7"/>
      <c r="BV147" s="7"/>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7"/>
      <c r="DH147" s="7"/>
      <c r="DI147" s="7"/>
      <c r="DJ147" s="7"/>
    </row>
    <row r="148" spans="1:114" ht="20.100000000000001" customHeight="1" x14ac:dyDescent="0.25">
      <c r="A148" s="7" t="s">
        <v>60</v>
      </c>
      <c r="B148" s="7" t="s">
        <v>91</v>
      </c>
      <c r="C148" s="144"/>
      <c r="D148" s="125" t="s">
        <v>89</v>
      </c>
      <c r="E148" s="157"/>
      <c r="F148" s="131"/>
      <c r="G148" s="131"/>
      <c r="H148" s="131"/>
      <c r="I148" s="131"/>
      <c r="J148" s="131"/>
      <c r="K148" s="131"/>
      <c r="L148" s="131"/>
      <c r="M148" s="131"/>
      <c r="N148" s="123"/>
      <c r="O148" s="217"/>
      <c r="P148" s="217"/>
      <c r="Q148" s="217"/>
      <c r="R148" s="217"/>
      <c r="S148" s="217"/>
      <c r="T148" s="217"/>
      <c r="U148" s="217"/>
      <c r="V148" s="217"/>
      <c r="W148" s="217"/>
      <c r="X148" s="217"/>
      <c r="Y148" s="217"/>
      <c r="Z148" s="217"/>
      <c r="AA148" s="217"/>
      <c r="AB148" s="217"/>
      <c r="AC148" s="217"/>
      <c r="AD148" s="217"/>
      <c r="AE148" s="217"/>
      <c r="AF148" s="217"/>
      <c r="AG148" s="217"/>
      <c r="AH148" s="217"/>
      <c r="AI148" s="217"/>
      <c r="AJ148" s="217"/>
      <c r="AK148" s="217"/>
      <c r="AL148" s="217"/>
      <c r="AM148" s="217"/>
      <c r="AN148" s="217"/>
      <c r="AO148" s="217"/>
      <c r="AP148" s="217"/>
      <c r="AQ148" s="217"/>
      <c r="AR148" s="217"/>
      <c r="AS148" s="217"/>
      <c r="AT148" s="217"/>
      <c r="AU148" s="217"/>
      <c r="AV148" s="217"/>
      <c r="AW148" s="217"/>
      <c r="AX148" s="217"/>
      <c r="AY148" s="217"/>
      <c r="AZ148" s="217"/>
      <c r="BA148" s="217"/>
      <c r="BB148" s="217"/>
      <c r="BC148" s="217"/>
      <c r="BD148" s="217"/>
      <c r="BE148" s="217"/>
      <c r="BF148" s="217"/>
      <c r="BG148" s="217"/>
      <c r="BH148" s="217"/>
      <c r="BI148" s="217"/>
      <c r="BJ148" s="217"/>
      <c r="BK148" s="217"/>
      <c r="BL148" s="217"/>
      <c r="BM148" s="217"/>
      <c r="BN148" s="217"/>
      <c r="BO148" s="217"/>
      <c r="BP148" s="217"/>
      <c r="BQ148" s="217"/>
      <c r="BR148" s="217"/>
      <c r="BS148" s="217"/>
      <c r="BT148" s="217"/>
      <c r="BU148" s="217"/>
      <c r="BV148" s="217"/>
      <c r="BW148" s="217"/>
      <c r="BX148" s="217"/>
      <c r="BY148" s="217"/>
      <c r="BZ148" s="217"/>
      <c r="CA148" s="217"/>
      <c r="CB148" s="217"/>
      <c r="CC148" s="217"/>
      <c r="CD148" s="217"/>
      <c r="CE148" s="217"/>
      <c r="CF148" s="217"/>
      <c r="CG148" s="217"/>
      <c r="CH148" s="217"/>
      <c r="CI148" s="217"/>
      <c r="CJ148" s="217"/>
      <c r="CK148" s="217"/>
      <c r="CL148" s="217"/>
      <c r="CM148" s="217"/>
      <c r="CN148" s="217"/>
      <c r="CO148" s="217"/>
      <c r="CP148" s="217"/>
      <c r="CQ148" s="217"/>
      <c r="CR148" s="217"/>
      <c r="CS148" s="217"/>
      <c r="CT148" s="217"/>
      <c r="CU148" s="217"/>
      <c r="CV148" s="217"/>
      <c r="CW148" s="217"/>
      <c r="CX148" s="217"/>
      <c r="CY148" s="217"/>
      <c r="CZ148" s="217"/>
      <c r="DA148" s="217"/>
      <c r="DB148" s="217"/>
      <c r="DC148" s="217"/>
      <c r="DD148" s="217"/>
      <c r="DE148" s="217"/>
      <c r="DF148" s="217"/>
      <c r="DG148" s="217"/>
      <c r="DH148" s="217"/>
      <c r="DI148" s="217"/>
      <c r="DJ148" s="218"/>
    </row>
    <row r="149" spans="1:114" ht="30" customHeight="1" x14ac:dyDescent="0.25">
      <c r="A149" s="7" t="s">
        <v>4</v>
      </c>
      <c r="B149" s="7" t="s">
        <v>91</v>
      </c>
      <c r="C149" s="144"/>
      <c r="D149" s="120"/>
      <c r="E149" s="155" t="str">
        <f>IFERROR(A149&amp;"   ("&amp;COUNTIFS(#REF!,"="&amp;A149)&amp;")",A149)</f>
        <v>11 SOIS</v>
      </c>
      <c r="F149" s="132"/>
      <c r="G149" s="133"/>
      <c r="H149" s="134"/>
      <c r="I149" s="135"/>
      <c r="J149" s="132"/>
      <c r="K149" s="133"/>
      <c r="L149" s="134"/>
      <c r="M149" s="139"/>
      <c r="N149" s="142"/>
      <c r="O149" s="119"/>
      <c r="P149" s="119"/>
      <c r="Q149" s="119"/>
      <c r="R149" s="119"/>
      <c r="S149" s="119"/>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119"/>
      <c r="AT149" s="119"/>
      <c r="AU149" s="119"/>
      <c r="AV149" s="119"/>
      <c r="AW149" s="119"/>
      <c r="AX149" s="119"/>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73"/>
    </row>
    <row r="150" spans="1:114" ht="9.9499999999999993" customHeight="1" x14ac:dyDescent="0.25">
      <c r="A150" s="7" t="s">
        <v>4</v>
      </c>
      <c r="B150" s="7" t="s">
        <v>91</v>
      </c>
      <c r="C150" s="144"/>
      <c r="D150" s="124"/>
      <c r="E150" s="158"/>
      <c r="F150" s="136"/>
      <c r="G150" s="136"/>
      <c r="H150" s="136"/>
      <c r="I150" s="136"/>
      <c r="J150" s="136"/>
      <c r="K150" s="136"/>
      <c r="L150" s="136"/>
      <c r="M150" s="136"/>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c r="BA150" s="58"/>
      <c r="BB150" s="58"/>
      <c r="BC150" s="58"/>
      <c r="BD150" s="58"/>
      <c r="BE150" s="58"/>
      <c r="BF150" s="58"/>
      <c r="BG150" s="58"/>
      <c r="BH150" s="58"/>
      <c r="BI150" s="58"/>
      <c r="BJ150" s="58"/>
      <c r="BK150" s="58"/>
      <c r="BL150" s="58"/>
      <c r="BM150" s="58"/>
      <c r="BN150" s="58"/>
      <c r="BO150" s="58"/>
      <c r="BP150" s="58"/>
      <c r="BQ150" s="58"/>
      <c r="BR150" s="58"/>
      <c r="BS150" s="58"/>
      <c r="BT150" s="58"/>
      <c r="BU150" s="58"/>
      <c r="BV150" s="58"/>
      <c r="BW150" s="58"/>
      <c r="BX150" s="58"/>
      <c r="BY150" s="58"/>
      <c r="BZ150" s="58"/>
      <c r="CA150" s="58"/>
      <c r="CB150" s="58"/>
      <c r="CC150" s="58"/>
      <c r="CD150" s="58"/>
      <c r="CE150" s="58"/>
      <c r="CF150" s="58"/>
      <c r="CG150" s="58"/>
      <c r="CH150" s="58"/>
      <c r="CI150" s="58"/>
      <c r="CJ150" s="58"/>
      <c r="CK150" s="58"/>
      <c r="CL150" s="58"/>
      <c r="CM150" s="58"/>
      <c r="CN150" s="58"/>
      <c r="CO150" s="58"/>
      <c r="CP150" s="58"/>
      <c r="CQ150" s="58"/>
      <c r="CR150" s="58"/>
      <c r="CS150" s="58"/>
      <c r="CT150" s="58"/>
      <c r="CU150" s="58"/>
      <c r="CV150" s="58"/>
      <c r="CW150" s="58"/>
      <c r="CX150" s="58"/>
      <c r="CY150" s="58"/>
      <c r="CZ150" s="58"/>
      <c r="DA150" s="58"/>
      <c r="DB150" s="58"/>
      <c r="DC150" s="58"/>
      <c r="DD150" s="58"/>
      <c r="DE150" s="58"/>
      <c r="DF150" s="58"/>
      <c r="DG150" s="58"/>
      <c r="DH150" s="58"/>
      <c r="DI150" s="58"/>
      <c r="DJ150" s="58"/>
    </row>
    <row r="151" spans="1:114" ht="30" customHeight="1" x14ac:dyDescent="0.25">
      <c r="A151" s="7" t="s">
        <v>6</v>
      </c>
      <c r="B151" s="7" t="s">
        <v>91</v>
      </c>
      <c r="C151" s="144" t="s">
        <v>1674</v>
      </c>
      <c r="D151" s="120">
        <f>COUNTA($E$151:$E151)</f>
        <v>1</v>
      </c>
      <c r="E151" s="155" t="str">
        <f>IFERROR(A151&amp;"   ("&amp;COUNTIFS(#REF!,"="&amp;A151)&amp;")",A151)</f>
        <v>CCI</v>
      </c>
      <c r="F151" s="132"/>
      <c r="G151" s="133"/>
      <c r="H151" s="134"/>
      <c r="I151" s="135"/>
      <c r="J151" s="132"/>
      <c r="K151" s="133"/>
      <c r="L151" s="134"/>
      <c r="M151" s="139"/>
      <c r="N151" s="142"/>
      <c r="O151" s="119"/>
      <c r="P151" s="119"/>
      <c r="Q151" s="119"/>
      <c r="R151" s="119"/>
      <c r="S151" s="119"/>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119"/>
      <c r="AT151" s="119"/>
      <c r="AU151" s="119"/>
      <c r="AV151" s="119"/>
      <c r="AW151" s="119"/>
      <c r="AX151" s="119"/>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73"/>
    </row>
    <row r="152" spans="1:114" ht="30" customHeight="1" x14ac:dyDescent="0.25">
      <c r="A152" s="7" t="s">
        <v>11</v>
      </c>
      <c r="B152" s="7" t="s">
        <v>91</v>
      </c>
      <c r="C152" s="144" t="s">
        <v>1674</v>
      </c>
      <c r="D152" s="120">
        <f>COUNTA($E$151:$E152)</f>
        <v>2</v>
      </c>
      <c r="E152" s="155" t="str">
        <f>IFERROR(A152&amp;"   ("&amp;COUNTIFS(#REF!,"="&amp;A152)&amp;")",A152)</f>
        <v>CCV</v>
      </c>
      <c r="F152" s="132"/>
      <c r="G152" s="133"/>
      <c r="H152" s="134"/>
      <c r="I152" s="135"/>
      <c r="J152" s="132"/>
      <c r="K152" s="133"/>
      <c r="L152" s="134"/>
      <c r="M152" s="139"/>
      <c r="N152" s="14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c r="AX152" s="122"/>
      <c r="AY152" s="122"/>
      <c r="AZ152" s="122"/>
      <c r="BA152" s="122"/>
      <c r="BB152" s="122"/>
      <c r="BC152" s="122"/>
      <c r="BD152" s="122"/>
      <c r="BE152" s="122"/>
      <c r="BF152" s="122"/>
      <c r="BG152" s="122"/>
      <c r="BH152" s="122"/>
      <c r="BI152" s="122"/>
      <c r="BJ152" s="122"/>
      <c r="BK152" s="122"/>
      <c r="BL152" s="122"/>
      <c r="BM152" s="122"/>
      <c r="BN152" s="122"/>
      <c r="BO152" s="122"/>
      <c r="BP152" s="122"/>
      <c r="BQ152" s="122"/>
      <c r="BR152" s="122"/>
      <c r="BS152" s="122"/>
      <c r="BT152" s="122"/>
      <c r="BU152" s="122"/>
      <c r="BV152" s="122"/>
      <c r="BW152" s="122"/>
      <c r="BX152" s="122"/>
      <c r="BY152" s="122"/>
      <c r="BZ152" s="122"/>
      <c r="CA152" s="122"/>
      <c r="CB152" s="122"/>
      <c r="CC152" s="122"/>
      <c r="CD152" s="122"/>
      <c r="CE152" s="122"/>
      <c r="CF152" s="122"/>
      <c r="CG152" s="122"/>
      <c r="CH152" s="122"/>
      <c r="CI152" s="122"/>
      <c r="CJ152" s="122"/>
      <c r="CK152" s="122"/>
      <c r="CL152" s="122"/>
      <c r="CM152" s="122"/>
      <c r="CN152" s="122"/>
      <c r="CO152" s="122"/>
      <c r="CP152" s="122"/>
      <c r="CQ152" s="122"/>
      <c r="CR152" s="122"/>
      <c r="CS152" s="122"/>
      <c r="CT152" s="122"/>
      <c r="CU152" s="122"/>
      <c r="CV152" s="122"/>
      <c r="CW152" s="122"/>
      <c r="CX152" s="122"/>
      <c r="CY152" s="122"/>
      <c r="CZ152" s="122"/>
      <c r="DA152" s="122"/>
      <c r="DB152" s="122"/>
      <c r="DC152" s="122"/>
      <c r="DD152" s="122"/>
      <c r="DE152" s="122"/>
      <c r="DF152" s="122"/>
      <c r="DG152" s="122"/>
      <c r="DH152" s="122"/>
      <c r="DI152" s="122"/>
      <c r="DJ152" s="121"/>
    </row>
    <row r="153" spans="1:114" ht="30" customHeight="1" x14ac:dyDescent="0.25">
      <c r="A153" s="7" t="s">
        <v>1670</v>
      </c>
      <c r="B153" s="7" t="s">
        <v>91</v>
      </c>
      <c r="C153" s="144" t="s">
        <v>1674</v>
      </c>
      <c r="D153" s="120">
        <f>COUNTA($E$151:$E153)</f>
        <v>3</v>
      </c>
      <c r="E153" s="155" t="str">
        <f>IFERROR(A153&amp;"   ("&amp;COUNTIFS(#REF!,"="&amp;A153)&amp;")",A153)</f>
        <v>CMD</v>
      </c>
      <c r="F153" s="132"/>
      <c r="G153" s="133"/>
      <c r="H153" s="134"/>
      <c r="I153" s="135"/>
      <c r="J153" s="132"/>
      <c r="K153" s="133"/>
      <c r="L153" s="134"/>
      <c r="M153" s="139"/>
      <c r="N153" s="142"/>
      <c r="O153" s="119"/>
      <c r="P153" s="119"/>
      <c r="Q153" s="119"/>
      <c r="R153" s="119"/>
      <c r="S153" s="119"/>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119"/>
      <c r="AT153" s="119"/>
      <c r="AU153" s="119"/>
      <c r="AV153" s="119"/>
      <c r="AW153" s="119"/>
      <c r="AX153" s="119"/>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73"/>
    </row>
    <row r="154" spans="1:114" ht="30" customHeight="1" x14ac:dyDescent="0.25">
      <c r="A154" s="7" t="s">
        <v>17</v>
      </c>
      <c r="B154" s="7" t="s">
        <v>91</v>
      </c>
      <c r="C154" s="144" t="s">
        <v>1674</v>
      </c>
      <c r="D154" s="120">
        <f>COUNTA($E$151:$E154)</f>
        <v>4</v>
      </c>
      <c r="E154" s="155" t="str">
        <f>IFERROR(A154&amp;"   ("&amp;COUNTIFS(#REF!,"="&amp;A154)&amp;")",A154)</f>
        <v>DO</v>
      </c>
      <c r="F154" s="132"/>
      <c r="G154" s="133"/>
      <c r="H154" s="134"/>
      <c r="I154" s="135"/>
      <c r="J154" s="132"/>
      <c r="K154" s="133"/>
      <c r="L154" s="134"/>
      <c r="M154" s="139"/>
      <c r="N154" s="142"/>
      <c r="O154" s="119"/>
      <c r="P154" s="119"/>
      <c r="Q154" s="119"/>
      <c r="R154" s="119"/>
      <c r="S154" s="119"/>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119"/>
      <c r="AT154" s="119"/>
      <c r="AU154" s="119"/>
      <c r="AV154" s="119"/>
      <c r="AW154" s="119"/>
      <c r="AX154" s="119"/>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73"/>
    </row>
    <row r="155" spans="1:114" ht="30" customHeight="1" x14ac:dyDescent="0.25">
      <c r="A155" s="7" t="s">
        <v>8</v>
      </c>
      <c r="B155" s="7" t="s">
        <v>91</v>
      </c>
      <c r="C155" s="144" t="s">
        <v>1674</v>
      </c>
      <c r="D155" s="120">
        <f>COUNTA($E$151:$E155)</f>
        <v>5</v>
      </c>
      <c r="E155" s="155" t="str">
        <f>IFERROR(A155&amp;"   ("&amp;COUNTIFS(#REF!,"="&amp;A155)&amp;")",A155)</f>
        <v>DOA</v>
      </c>
      <c r="F155" s="132"/>
      <c r="G155" s="133"/>
      <c r="H155" s="134"/>
      <c r="I155" s="135"/>
      <c r="J155" s="132"/>
      <c r="K155" s="133"/>
      <c r="L155" s="134"/>
      <c r="M155" s="139"/>
      <c r="N155" s="142"/>
      <c r="O155" s="119"/>
      <c r="P155" s="119"/>
      <c r="Q155" s="119"/>
      <c r="R155" s="119"/>
      <c r="S155" s="119"/>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119"/>
      <c r="AT155" s="119"/>
      <c r="AU155" s="119"/>
      <c r="AV155" s="119"/>
      <c r="AW155" s="119"/>
      <c r="AX155" s="119"/>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73"/>
    </row>
    <row r="156" spans="1:114" ht="30" customHeight="1" x14ac:dyDescent="0.25">
      <c r="A156" s="7" t="s">
        <v>12</v>
      </c>
      <c r="B156" s="7" t="s">
        <v>91</v>
      </c>
      <c r="C156" s="144" t="s">
        <v>1674</v>
      </c>
      <c r="D156" s="120">
        <f>COUNTA($E$151:$E156)</f>
        <v>6</v>
      </c>
      <c r="E156" s="155" t="str">
        <f>IFERROR(A156&amp;"   ("&amp;COUNTIFS(#REF!,"="&amp;A156)&amp;")",A156)</f>
        <v>DOB</v>
      </c>
      <c r="F156" s="132"/>
      <c r="G156" s="133"/>
      <c r="H156" s="134"/>
      <c r="I156" s="135"/>
      <c r="J156" s="132"/>
      <c r="K156" s="133"/>
      <c r="L156" s="134"/>
      <c r="M156" s="139"/>
      <c r="N156" s="142"/>
      <c r="O156" s="119"/>
      <c r="P156" s="119"/>
      <c r="Q156" s="119"/>
      <c r="R156" s="119"/>
      <c r="S156" s="119"/>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119"/>
      <c r="AT156" s="119"/>
      <c r="AU156" s="119"/>
      <c r="AV156" s="119"/>
      <c r="AW156" s="119"/>
      <c r="AX156" s="119"/>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73"/>
    </row>
    <row r="157" spans="1:114" ht="30" customHeight="1" x14ac:dyDescent="0.25">
      <c r="A157" s="7" t="s">
        <v>5</v>
      </c>
      <c r="B157" s="7" t="s">
        <v>91</v>
      </c>
      <c r="C157" s="144" t="s">
        <v>1674</v>
      </c>
      <c r="D157" s="120">
        <f>COUNTA($E$151:$E157)</f>
        <v>7</v>
      </c>
      <c r="E157" s="155" t="str">
        <f>IFERROR(A157&amp;"   ("&amp;COUNTIFS(#REF!,"="&amp;A157)&amp;")",A157)</f>
        <v>DOC</v>
      </c>
      <c r="F157" s="132"/>
      <c r="G157" s="133"/>
      <c r="H157" s="134"/>
      <c r="I157" s="135"/>
      <c r="J157" s="132"/>
      <c r="K157" s="133"/>
      <c r="L157" s="134"/>
      <c r="M157" s="139"/>
      <c r="N157" s="142"/>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119"/>
      <c r="AT157" s="119"/>
      <c r="AU157" s="119"/>
      <c r="AV157" s="119"/>
      <c r="AW157" s="119"/>
      <c r="AX157" s="119"/>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73"/>
    </row>
    <row r="158" spans="1:114" ht="30" customHeight="1" x14ac:dyDescent="0.25">
      <c r="A158" s="7" t="s">
        <v>7</v>
      </c>
      <c r="B158" s="7" t="s">
        <v>91</v>
      </c>
      <c r="C158" s="144" t="s">
        <v>1674</v>
      </c>
      <c r="D158" s="120">
        <f>COUNTA($E$151:$E158)</f>
        <v>8</v>
      </c>
      <c r="E158" s="155" t="str">
        <f>IFERROR(A158&amp;"   ("&amp;COUNTIFS(#REF!,"="&amp;A158)&amp;")",A158)</f>
        <v>DOD</v>
      </c>
      <c r="F158" s="132"/>
      <c r="G158" s="133"/>
      <c r="H158" s="134"/>
      <c r="I158" s="135"/>
      <c r="J158" s="132"/>
      <c r="K158" s="133"/>
      <c r="L158" s="134"/>
      <c r="M158" s="139"/>
      <c r="N158" s="142"/>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119"/>
      <c r="AT158" s="119"/>
      <c r="AU158" s="119"/>
      <c r="AV158" s="119"/>
      <c r="AW158" s="119"/>
      <c r="AX158" s="119"/>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73"/>
    </row>
    <row r="159" spans="1:114" ht="30" customHeight="1" x14ac:dyDescent="0.25">
      <c r="A159" s="7" t="s">
        <v>13</v>
      </c>
      <c r="B159" s="7" t="s">
        <v>91</v>
      </c>
      <c r="C159" s="144" t="s">
        <v>1674</v>
      </c>
      <c r="D159" s="120">
        <f>COUNTA($E$151:$E159)</f>
        <v>9</v>
      </c>
      <c r="E159" s="155" t="str">
        <f>IFERROR(A159&amp;"   ("&amp;COUNTIFS(#REF!,"="&amp;A159)&amp;")",A159)</f>
        <v>DOF</v>
      </c>
      <c r="F159" s="132"/>
      <c r="G159" s="133"/>
      <c r="H159" s="134"/>
      <c r="I159" s="135"/>
      <c r="J159" s="132"/>
      <c r="K159" s="133"/>
      <c r="L159" s="134"/>
      <c r="M159" s="139"/>
      <c r="N159" s="142"/>
      <c r="O159" s="119"/>
      <c r="P159" s="119"/>
      <c r="Q159" s="119"/>
      <c r="R159" s="119"/>
      <c r="S159" s="119"/>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119"/>
      <c r="AT159" s="119"/>
      <c r="AU159" s="119"/>
      <c r="AV159" s="119"/>
      <c r="AW159" s="119"/>
      <c r="AX159" s="119"/>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73"/>
    </row>
    <row r="160" spans="1:114" ht="30" customHeight="1" x14ac:dyDescent="0.25">
      <c r="A160" s="7" t="s">
        <v>14</v>
      </c>
      <c r="B160" s="7" t="s">
        <v>91</v>
      </c>
      <c r="C160" s="144" t="s">
        <v>1674</v>
      </c>
      <c r="D160" s="120">
        <f>COUNTA($E$151:$E160)</f>
        <v>10</v>
      </c>
      <c r="E160" s="155" t="str">
        <f>IFERROR(A160&amp;"   ("&amp;COUNTIFS(#REF!,"="&amp;A160)&amp;")",A160)</f>
        <v>DOK</v>
      </c>
      <c r="F160" s="132"/>
      <c r="G160" s="133"/>
      <c r="H160" s="134"/>
      <c r="I160" s="135"/>
      <c r="J160" s="132"/>
      <c r="K160" s="133"/>
      <c r="L160" s="134"/>
      <c r="M160" s="139"/>
      <c r="N160" s="142"/>
      <c r="O160" s="119"/>
      <c r="P160" s="119"/>
      <c r="Q160" s="119"/>
      <c r="R160" s="119"/>
      <c r="S160" s="119"/>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119"/>
      <c r="AT160" s="119"/>
      <c r="AU160" s="119"/>
      <c r="AV160" s="119"/>
      <c r="AW160" s="119"/>
      <c r="AX160" s="119"/>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73"/>
    </row>
    <row r="161" spans="1:114" ht="30" customHeight="1" x14ac:dyDescent="0.25">
      <c r="A161" s="7" t="s">
        <v>18</v>
      </c>
      <c r="B161" s="7" t="s">
        <v>91</v>
      </c>
      <c r="C161" s="144" t="s">
        <v>1674</v>
      </c>
      <c r="D161" s="120">
        <f>COUNTA($E$151:$E161)</f>
        <v>11</v>
      </c>
      <c r="E161" s="155" t="str">
        <f>IFERROR(A161&amp;"   ("&amp;COUNTIFS(#REF!,"="&amp;A161)&amp;")",A161)</f>
        <v>DOM</v>
      </c>
      <c r="F161" s="132"/>
      <c r="G161" s="133"/>
      <c r="H161" s="134"/>
      <c r="I161" s="135"/>
      <c r="J161" s="132"/>
      <c r="K161" s="133"/>
      <c r="L161" s="134"/>
      <c r="M161" s="139"/>
      <c r="N161" s="142"/>
      <c r="O161" s="119"/>
      <c r="P161" s="119"/>
      <c r="Q161" s="119"/>
      <c r="R161" s="119"/>
      <c r="S161" s="119"/>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73"/>
    </row>
    <row r="162" spans="1:114" ht="30" customHeight="1" x14ac:dyDescent="0.25">
      <c r="A162" s="7" t="s">
        <v>9</v>
      </c>
      <c r="B162" s="7" t="s">
        <v>91</v>
      </c>
      <c r="C162" s="144" t="s">
        <v>1674</v>
      </c>
      <c r="D162" s="120">
        <f>COUNTA($E$151:$E162)</f>
        <v>12</v>
      </c>
      <c r="E162" s="155" t="str">
        <f>IFERROR(A162&amp;"   ("&amp;COUNTIFS(#REF!,"="&amp;A162)&amp;")",A162)</f>
        <v>DOT</v>
      </c>
      <c r="F162" s="132"/>
      <c r="G162" s="133"/>
      <c r="H162" s="134"/>
      <c r="I162" s="135"/>
      <c r="J162" s="132"/>
      <c r="K162" s="133"/>
      <c r="L162" s="134"/>
      <c r="M162" s="139"/>
      <c r="N162" s="142"/>
      <c r="O162" s="119"/>
      <c r="P162" s="119"/>
      <c r="Q162" s="119"/>
      <c r="R162" s="119"/>
      <c r="S162" s="119"/>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119"/>
      <c r="AT162" s="119"/>
      <c r="AU162" s="119"/>
      <c r="AV162" s="119"/>
      <c r="AW162" s="119"/>
      <c r="AX162" s="119"/>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73"/>
    </row>
    <row r="163" spans="1:114" ht="30" customHeight="1" x14ac:dyDescent="0.25">
      <c r="A163" s="7" t="s">
        <v>15</v>
      </c>
      <c r="B163" s="7" t="s">
        <v>91</v>
      </c>
      <c r="C163" s="144" t="s">
        <v>1674</v>
      </c>
      <c r="D163" s="120">
        <f>COUNTA($E$151:$E163)</f>
        <v>13</v>
      </c>
      <c r="E163" s="155" t="str">
        <f>IFERROR(A163&amp;"   ("&amp;COUNTIFS(#REF!,"="&amp;A163)&amp;")",A163)</f>
        <v>DOX</v>
      </c>
      <c r="F163" s="132"/>
      <c r="G163" s="133"/>
      <c r="H163" s="134"/>
      <c r="I163" s="135"/>
      <c r="J163" s="132"/>
      <c r="K163" s="133"/>
      <c r="L163" s="134"/>
      <c r="M163" s="139"/>
      <c r="N163" s="142"/>
      <c r="O163" s="119"/>
      <c r="P163" s="119"/>
      <c r="Q163" s="119"/>
      <c r="R163" s="119"/>
      <c r="S163" s="119"/>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119"/>
      <c r="AT163" s="119"/>
      <c r="AU163" s="119"/>
      <c r="AV163" s="119"/>
      <c r="AW163" s="119"/>
      <c r="AX163" s="119"/>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73"/>
    </row>
    <row r="164" spans="1:114" ht="30" customHeight="1" x14ac:dyDescent="0.25">
      <c r="A164" s="7" t="s">
        <v>10</v>
      </c>
      <c r="B164" s="7" t="s">
        <v>91</v>
      </c>
      <c r="C164" s="144" t="s">
        <v>1674</v>
      </c>
      <c r="D164" s="120">
        <f>COUNTA($E$151:$E164)</f>
        <v>14</v>
      </c>
      <c r="E164" s="155" t="str">
        <f>IFERROR(A164&amp;"   ("&amp;COUNTIFS(#REF!,"="&amp;A164)&amp;")",A164)</f>
        <v>MS</v>
      </c>
      <c r="F164" s="132"/>
      <c r="G164" s="133"/>
      <c r="H164" s="134"/>
      <c r="I164" s="135"/>
      <c r="J164" s="132"/>
      <c r="K164" s="133"/>
      <c r="L164" s="134"/>
      <c r="M164" s="139"/>
      <c r="N164" s="142"/>
      <c r="O164" s="119"/>
      <c r="P164" s="119"/>
      <c r="Q164" s="119"/>
      <c r="R164" s="119"/>
      <c r="S164" s="119"/>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119"/>
      <c r="AT164" s="119"/>
      <c r="AU164" s="119"/>
      <c r="AV164" s="119"/>
      <c r="AW164" s="119"/>
      <c r="AX164" s="119"/>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73"/>
    </row>
    <row r="165" spans="1:114" ht="30" customHeight="1" x14ac:dyDescent="0.25">
      <c r="A165" s="7" t="s">
        <v>16</v>
      </c>
      <c r="B165" s="7" t="s">
        <v>91</v>
      </c>
      <c r="C165" s="144" t="s">
        <v>1674</v>
      </c>
      <c r="D165" s="120">
        <f>COUNTA($E$151:$E165)</f>
        <v>15</v>
      </c>
      <c r="E165" s="155" t="str">
        <f>IFERROR(A165&amp;"   ("&amp;COUNTIFS(#REF!,"="&amp;A165)&amp;")",A165)</f>
        <v>UDM</v>
      </c>
      <c r="F165" s="132"/>
      <c r="G165" s="133"/>
      <c r="H165" s="134"/>
      <c r="I165" s="135"/>
      <c r="J165" s="132"/>
      <c r="K165" s="133"/>
      <c r="L165" s="134"/>
      <c r="M165" s="139"/>
      <c r="N165" s="142"/>
      <c r="O165" s="119"/>
      <c r="P165" s="119"/>
      <c r="Q165" s="119"/>
      <c r="R165" s="119"/>
      <c r="S165" s="119"/>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119"/>
      <c r="AT165" s="119"/>
      <c r="AU165" s="119"/>
      <c r="AV165" s="119"/>
      <c r="AW165" s="119"/>
      <c r="AX165" s="119"/>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73"/>
    </row>
    <row r="166" spans="1:114" ht="30" customHeight="1" x14ac:dyDescent="0.25">
      <c r="A166" s="7" t="s">
        <v>19</v>
      </c>
      <c r="B166" s="7" t="s">
        <v>91</v>
      </c>
      <c r="C166" s="144" t="s">
        <v>1674</v>
      </c>
      <c r="D166" s="120">
        <f>COUNTA($E$151:$E166)</f>
        <v>16</v>
      </c>
      <c r="E166" s="155" t="str">
        <f>IFERROR(A166&amp;"   ("&amp;COUNTIFS(#REF!,"="&amp;A166)&amp;")",A166)</f>
        <v>UTM</v>
      </c>
      <c r="F166" s="132"/>
      <c r="G166" s="133"/>
      <c r="H166" s="134"/>
      <c r="I166" s="135"/>
      <c r="J166" s="132"/>
      <c r="K166" s="133"/>
      <c r="L166" s="134"/>
      <c r="M166" s="139"/>
      <c r="N166" s="142"/>
      <c r="O166" s="119"/>
      <c r="P166" s="119"/>
      <c r="Q166" s="119"/>
      <c r="R166" s="119"/>
      <c r="S166" s="119"/>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119"/>
      <c r="AT166" s="119"/>
      <c r="AU166" s="119"/>
      <c r="AV166" s="119"/>
      <c r="AW166" s="119"/>
      <c r="AX166" s="119"/>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73"/>
    </row>
    <row r="167" spans="1:114" ht="20.100000000000001" customHeight="1" x14ac:dyDescent="0.25">
      <c r="A167" s="7" t="s">
        <v>60</v>
      </c>
      <c r="B167" s="7" t="s">
        <v>91</v>
      </c>
      <c r="C167" s="144"/>
      <c r="D167" s="67"/>
      <c r="E167" s="8"/>
      <c r="N167" s="58"/>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7"/>
      <c r="AU167" s="7"/>
      <c r="AV167" s="7"/>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c r="BY167" s="7"/>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c r="DJ167" s="7"/>
    </row>
    <row r="168" spans="1:114" ht="20.100000000000001" customHeight="1" x14ac:dyDescent="0.25">
      <c r="A168" s="7" t="s">
        <v>60</v>
      </c>
      <c r="B168" s="7" t="s">
        <v>1637</v>
      </c>
      <c r="C168" s="144"/>
      <c r="D168" s="125" t="s">
        <v>1636</v>
      </c>
      <c r="E168" s="159"/>
      <c r="F168" s="131"/>
      <c r="G168" s="131"/>
      <c r="H168" s="131"/>
      <c r="I168" s="131"/>
      <c r="J168" s="131"/>
      <c r="K168" s="131"/>
      <c r="L168" s="131"/>
      <c r="M168" s="131"/>
      <c r="N168" s="140"/>
      <c r="O168" s="217"/>
      <c r="P168" s="217"/>
      <c r="Q168" s="217"/>
      <c r="R168" s="217"/>
      <c r="S168" s="217"/>
      <c r="T168" s="217"/>
      <c r="U168" s="217"/>
      <c r="V168" s="217"/>
      <c r="W168" s="217"/>
      <c r="X168" s="217"/>
      <c r="Y168" s="217"/>
      <c r="Z168" s="217"/>
      <c r="AA168" s="217"/>
      <c r="AB168" s="217"/>
      <c r="AC168" s="217"/>
      <c r="AD168" s="217"/>
      <c r="AE168" s="217"/>
      <c r="AF168" s="217"/>
      <c r="AG168" s="217"/>
      <c r="AH168" s="217"/>
      <c r="AI168" s="217"/>
      <c r="AJ168" s="217"/>
      <c r="AK168" s="217"/>
      <c r="AL168" s="217"/>
      <c r="AM168" s="217"/>
      <c r="AN168" s="217"/>
      <c r="AO168" s="217"/>
      <c r="AP168" s="217"/>
      <c r="AQ168" s="217"/>
      <c r="AR168" s="217"/>
      <c r="AS168" s="217"/>
      <c r="AT168" s="217"/>
      <c r="AU168" s="217"/>
      <c r="AV168" s="217"/>
      <c r="AW168" s="217"/>
      <c r="AX168" s="217"/>
      <c r="AY168" s="217"/>
      <c r="AZ168" s="217"/>
      <c r="BA168" s="217"/>
      <c r="BB168" s="217"/>
      <c r="BC168" s="217"/>
      <c r="BD168" s="217"/>
      <c r="BE168" s="217"/>
      <c r="BF168" s="217"/>
      <c r="BG168" s="217"/>
      <c r="BH168" s="217"/>
      <c r="BI168" s="217"/>
      <c r="BJ168" s="217"/>
      <c r="BK168" s="217"/>
      <c r="BL168" s="217"/>
      <c r="BM168" s="217"/>
      <c r="BN168" s="217"/>
      <c r="BO168" s="217"/>
      <c r="BP168" s="217"/>
      <c r="BQ168" s="217"/>
      <c r="BR168" s="217"/>
      <c r="BS168" s="217"/>
      <c r="BT168" s="217"/>
      <c r="BU168" s="217"/>
      <c r="BV168" s="217"/>
      <c r="BW168" s="217"/>
      <c r="BX168" s="217"/>
      <c r="BY168" s="217"/>
      <c r="BZ168" s="217"/>
      <c r="CA168" s="217"/>
      <c r="CB168" s="217"/>
      <c r="CC168" s="217"/>
      <c r="CD168" s="217"/>
      <c r="CE168" s="217"/>
      <c r="CF168" s="217"/>
      <c r="CG168" s="217"/>
      <c r="CH168" s="217"/>
      <c r="CI168" s="217"/>
      <c r="CJ168" s="217"/>
      <c r="CK168" s="217"/>
      <c r="CL168" s="217"/>
      <c r="CM168" s="217"/>
      <c r="CN168" s="217"/>
      <c r="CO168" s="217"/>
      <c r="CP168" s="217"/>
      <c r="CQ168" s="217"/>
      <c r="CR168" s="217"/>
      <c r="CS168" s="217"/>
      <c r="CT168" s="217"/>
      <c r="CU168" s="217"/>
      <c r="CV168" s="217"/>
      <c r="CW168" s="217"/>
      <c r="CX168" s="217"/>
      <c r="CY168" s="217"/>
      <c r="CZ168" s="217"/>
      <c r="DA168" s="217"/>
      <c r="DB168" s="217"/>
      <c r="DC168" s="217"/>
      <c r="DD168" s="217"/>
      <c r="DE168" s="217"/>
      <c r="DF168" s="217"/>
      <c r="DG168" s="217"/>
      <c r="DH168" s="217"/>
      <c r="DI168" s="217"/>
      <c r="DJ168" s="218"/>
    </row>
    <row r="169" spans="1:114" ht="30" customHeight="1" x14ac:dyDescent="0.25">
      <c r="A169" s="7" t="s">
        <v>4</v>
      </c>
      <c r="B169" s="7" t="s">
        <v>1637</v>
      </c>
      <c r="C169" s="144"/>
      <c r="D169" s="120"/>
      <c r="E169" s="155" t="str">
        <f>IFERROR(A169&amp;"   ("&amp;COUNTIFS(#REF!,"="&amp;A169)&amp;")",A169)</f>
        <v>11 SOIS</v>
      </c>
      <c r="F169" s="132"/>
      <c r="G169" s="133"/>
      <c r="H169" s="134"/>
      <c r="I169" s="135"/>
      <c r="J169" s="132"/>
      <c r="K169" s="133"/>
      <c r="L169" s="134"/>
      <c r="M169" s="139"/>
      <c r="N169" s="142"/>
      <c r="O169" s="119"/>
      <c r="P169" s="119"/>
      <c r="Q169" s="119"/>
      <c r="R169" s="119"/>
      <c r="S169" s="119"/>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119"/>
      <c r="AT169" s="119"/>
      <c r="AU169" s="119"/>
      <c r="AV169" s="119"/>
      <c r="AW169" s="119"/>
      <c r="AX169" s="119"/>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73"/>
    </row>
    <row r="170" spans="1:114" ht="9.9499999999999993" customHeight="1" x14ac:dyDescent="0.25">
      <c r="A170" s="7" t="s">
        <v>4</v>
      </c>
      <c r="B170" s="7" t="s">
        <v>1637</v>
      </c>
      <c r="C170" s="144"/>
      <c r="D170" s="124"/>
      <c r="E170" s="158"/>
      <c r="F170" s="136"/>
      <c r="G170" s="136"/>
      <c r="H170" s="136"/>
      <c r="I170" s="136"/>
      <c r="J170" s="136"/>
      <c r="K170" s="136"/>
      <c r="L170" s="136"/>
      <c r="M170" s="136"/>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c r="BA170" s="58"/>
      <c r="BB170" s="58"/>
      <c r="BC170" s="58"/>
      <c r="BD170" s="58"/>
      <c r="BE170" s="58"/>
      <c r="BF170" s="58"/>
      <c r="BG170" s="58"/>
      <c r="BH170" s="58"/>
      <c r="BI170" s="58"/>
      <c r="BJ170" s="58"/>
      <c r="BK170" s="58"/>
      <c r="BL170" s="58"/>
      <c r="BM170" s="58"/>
      <c r="BN170" s="58"/>
      <c r="BO170" s="58"/>
      <c r="BP170" s="58"/>
      <c r="BQ170" s="58"/>
      <c r="BR170" s="58"/>
      <c r="BS170" s="58"/>
      <c r="BT170" s="58"/>
      <c r="BU170" s="58"/>
      <c r="BV170" s="58"/>
      <c r="BW170" s="58"/>
      <c r="BX170" s="58"/>
      <c r="BY170" s="58"/>
      <c r="BZ170" s="58"/>
      <c r="CA170" s="58"/>
      <c r="CB170" s="58"/>
      <c r="CC170" s="58"/>
      <c r="CD170" s="58"/>
      <c r="CE170" s="58"/>
      <c r="CF170" s="58"/>
      <c r="CG170" s="58"/>
      <c r="CH170" s="58"/>
      <c r="CI170" s="58"/>
      <c r="CJ170" s="58"/>
      <c r="CK170" s="58"/>
      <c r="CL170" s="58"/>
      <c r="CM170" s="58"/>
      <c r="CN170" s="58"/>
      <c r="CO170" s="58"/>
      <c r="CP170" s="58"/>
      <c r="CQ170" s="58"/>
      <c r="CR170" s="58"/>
      <c r="CS170" s="58"/>
      <c r="CT170" s="58"/>
      <c r="CU170" s="58"/>
      <c r="CV170" s="58"/>
      <c r="CW170" s="58"/>
      <c r="CX170" s="58"/>
      <c r="CY170" s="58"/>
      <c r="CZ170" s="58"/>
      <c r="DA170" s="58"/>
      <c r="DB170" s="58"/>
      <c r="DC170" s="58"/>
      <c r="DD170" s="58"/>
      <c r="DE170" s="58"/>
      <c r="DF170" s="58"/>
      <c r="DG170" s="58"/>
      <c r="DH170" s="58"/>
      <c r="DI170" s="58"/>
      <c r="DJ170" s="58"/>
    </row>
    <row r="171" spans="1:114" ht="30" customHeight="1" x14ac:dyDescent="0.25">
      <c r="A171" s="7" t="s">
        <v>6</v>
      </c>
      <c r="B171" s="7" t="s">
        <v>1637</v>
      </c>
      <c r="C171" s="144" t="s">
        <v>1674</v>
      </c>
      <c r="D171" s="120">
        <f>COUNTA($E$171:$E171)</f>
        <v>1</v>
      </c>
      <c r="E171" s="155" t="str">
        <f>IFERROR(A171&amp;"   ("&amp;COUNTIFS(#REF!,"="&amp;A171)&amp;")",A171)</f>
        <v>CCI</v>
      </c>
      <c r="F171" s="132"/>
      <c r="G171" s="133"/>
      <c r="H171" s="134"/>
      <c r="I171" s="135"/>
      <c r="J171" s="132"/>
      <c r="K171" s="133"/>
      <c r="L171" s="134"/>
      <c r="M171" s="139"/>
      <c r="N171" s="142"/>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73"/>
    </row>
    <row r="172" spans="1:114" ht="30" customHeight="1" x14ac:dyDescent="0.25">
      <c r="A172" s="7" t="s">
        <v>11</v>
      </c>
      <c r="B172" s="7" t="s">
        <v>1637</v>
      </c>
      <c r="C172" s="144" t="s">
        <v>1674</v>
      </c>
      <c r="D172" s="120">
        <f>COUNTA($E$171:$E172)</f>
        <v>2</v>
      </c>
      <c r="E172" s="155" t="str">
        <f>IFERROR(A172&amp;"   ("&amp;COUNTIFS(#REF!,"="&amp;A172)&amp;")",A172)</f>
        <v>CCV</v>
      </c>
      <c r="F172" s="132"/>
      <c r="G172" s="133"/>
      <c r="H172" s="134"/>
      <c r="I172" s="135"/>
      <c r="J172" s="132"/>
      <c r="K172" s="133"/>
      <c r="L172" s="134"/>
      <c r="M172" s="139"/>
      <c r="N172" s="14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c r="AX172" s="122"/>
      <c r="AY172" s="122"/>
      <c r="AZ172" s="122"/>
      <c r="BA172" s="122"/>
      <c r="BB172" s="122"/>
      <c r="BC172" s="122"/>
      <c r="BD172" s="122"/>
      <c r="BE172" s="122"/>
      <c r="BF172" s="122"/>
      <c r="BG172" s="122"/>
      <c r="BH172" s="122"/>
      <c r="BI172" s="122"/>
      <c r="BJ172" s="122"/>
      <c r="BK172" s="122"/>
      <c r="BL172" s="122"/>
      <c r="BM172" s="122"/>
      <c r="BN172" s="122"/>
      <c r="BO172" s="122"/>
      <c r="BP172" s="122"/>
      <c r="BQ172" s="122"/>
      <c r="BR172" s="122"/>
      <c r="BS172" s="122"/>
      <c r="BT172" s="122"/>
      <c r="BU172" s="122"/>
      <c r="BV172" s="122"/>
      <c r="BW172" s="122"/>
      <c r="BX172" s="122"/>
      <c r="BY172" s="122"/>
      <c r="BZ172" s="122"/>
      <c r="CA172" s="122"/>
      <c r="CB172" s="122"/>
      <c r="CC172" s="122"/>
      <c r="CD172" s="122"/>
      <c r="CE172" s="122"/>
      <c r="CF172" s="122"/>
      <c r="CG172" s="122"/>
      <c r="CH172" s="122"/>
      <c r="CI172" s="122"/>
      <c r="CJ172" s="122"/>
      <c r="CK172" s="122"/>
      <c r="CL172" s="122"/>
      <c r="CM172" s="122"/>
      <c r="CN172" s="122"/>
      <c r="CO172" s="122"/>
      <c r="CP172" s="122"/>
      <c r="CQ172" s="122"/>
      <c r="CR172" s="122"/>
      <c r="CS172" s="122"/>
      <c r="CT172" s="122"/>
      <c r="CU172" s="122"/>
      <c r="CV172" s="122"/>
      <c r="CW172" s="122"/>
      <c r="CX172" s="122"/>
      <c r="CY172" s="122"/>
      <c r="CZ172" s="122"/>
      <c r="DA172" s="122"/>
      <c r="DB172" s="122"/>
      <c r="DC172" s="122"/>
      <c r="DD172" s="122"/>
      <c r="DE172" s="122"/>
      <c r="DF172" s="122"/>
      <c r="DG172" s="122"/>
      <c r="DH172" s="122"/>
      <c r="DI172" s="122"/>
      <c r="DJ172" s="121"/>
    </row>
    <row r="173" spans="1:114" ht="30" customHeight="1" x14ac:dyDescent="0.25">
      <c r="A173" s="7" t="s">
        <v>1670</v>
      </c>
      <c r="B173" s="7" t="s">
        <v>1637</v>
      </c>
      <c r="C173" s="144" t="s">
        <v>1674</v>
      </c>
      <c r="D173" s="120">
        <f>COUNTA($E$171:$E173)</f>
        <v>3</v>
      </c>
      <c r="E173" s="155" t="str">
        <f>IFERROR(A173&amp;"   ("&amp;COUNTIFS(#REF!,"="&amp;A173)&amp;")",A173)</f>
        <v>CMD</v>
      </c>
      <c r="F173" s="132"/>
      <c r="G173" s="133"/>
      <c r="H173" s="134"/>
      <c r="I173" s="135"/>
      <c r="J173" s="132"/>
      <c r="K173" s="133"/>
      <c r="L173" s="134"/>
      <c r="M173" s="139"/>
      <c r="N173" s="142"/>
      <c r="O173" s="119"/>
      <c r="P173" s="119"/>
      <c r="Q173" s="119"/>
      <c r="R173" s="119"/>
      <c r="S173" s="119"/>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119"/>
      <c r="AT173" s="119"/>
      <c r="AU173" s="119"/>
      <c r="AV173" s="119"/>
      <c r="AW173" s="119"/>
      <c r="AX173" s="119"/>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73"/>
    </row>
    <row r="174" spans="1:114" ht="30" customHeight="1" x14ac:dyDescent="0.25">
      <c r="A174" s="7" t="s">
        <v>17</v>
      </c>
      <c r="B174" s="7" t="s">
        <v>1637</v>
      </c>
      <c r="C174" s="144" t="s">
        <v>1674</v>
      </c>
      <c r="D174" s="120">
        <f>COUNTA($E$171:$E174)</f>
        <v>4</v>
      </c>
      <c r="E174" s="155" t="str">
        <f>IFERROR(A174&amp;"   ("&amp;COUNTIFS(#REF!,"="&amp;A174)&amp;")",A174)</f>
        <v>DO</v>
      </c>
      <c r="F174" s="132"/>
      <c r="G174" s="133"/>
      <c r="H174" s="134"/>
      <c r="I174" s="135"/>
      <c r="J174" s="132"/>
      <c r="K174" s="133"/>
      <c r="L174" s="134"/>
      <c r="M174" s="139"/>
      <c r="N174" s="142"/>
      <c r="O174" s="119"/>
      <c r="P174" s="119"/>
      <c r="Q174" s="119"/>
      <c r="R174" s="119"/>
      <c r="S174" s="119"/>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119"/>
      <c r="AT174" s="119"/>
      <c r="AU174" s="119"/>
      <c r="AV174" s="119"/>
      <c r="AW174" s="119"/>
      <c r="AX174" s="119"/>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73"/>
    </row>
    <row r="175" spans="1:114" ht="30" customHeight="1" x14ac:dyDescent="0.25">
      <c r="A175" s="7" t="s">
        <v>8</v>
      </c>
      <c r="B175" s="7" t="s">
        <v>1637</v>
      </c>
      <c r="C175" s="144" t="s">
        <v>1674</v>
      </c>
      <c r="D175" s="120">
        <f>COUNTA($E$171:$E175)</f>
        <v>5</v>
      </c>
      <c r="E175" s="155" t="str">
        <f>IFERROR(A175&amp;"   ("&amp;COUNTIFS(#REF!,"="&amp;A175)&amp;")",A175)</f>
        <v>DOA</v>
      </c>
      <c r="F175" s="132"/>
      <c r="G175" s="133"/>
      <c r="H175" s="134"/>
      <c r="I175" s="135"/>
      <c r="J175" s="132"/>
      <c r="K175" s="133"/>
      <c r="L175" s="134"/>
      <c r="M175" s="139"/>
      <c r="N175" s="142"/>
      <c r="O175" s="119"/>
      <c r="P175" s="119"/>
      <c r="Q175" s="119"/>
      <c r="R175" s="119"/>
      <c r="S175" s="119"/>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119"/>
      <c r="AT175" s="119"/>
      <c r="AU175" s="119"/>
      <c r="AV175" s="119"/>
      <c r="AW175" s="119"/>
      <c r="AX175" s="119"/>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73"/>
    </row>
    <row r="176" spans="1:114" ht="30" customHeight="1" x14ac:dyDescent="0.25">
      <c r="A176" s="7" t="s">
        <v>12</v>
      </c>
      <c r="B176" s="7" t="s">
        <v>1637</v>
      </c>
      <c r="C176" s="144" t="s">
        <v>1674</v>
      </c>
      <c r="D176" s="120">
        <f>COUNTA($E$171:$E176)</f>
        <v>6</v>
      </c>
      <c r="E176" s="155" t="str">
        <f>IFERROR(A176&amp;"   ("&amp;COUNTIFS(#REF!,"="&amp;A176)&amp;")",A176)</f>
        <v>DOB</v>
      </c>
      <c r="F176" s="132"/>
      <c r="G176" s="133"/>
      <c r="H176" s="134"/>
      <c r="I176" s="135"/>
      <c r="J176" s="132"/>
      <c r="K176" s="133"/>
      <c r="L176" s="134"/>
      <c r="M176" s="139"/>
      <c r="N176" s="142"/>
      <c r="O176" s="119"/>
      <c r="P176" s="119"/>
      <c r="Q176" s="119"/>
      <c r="R176" s="119"/>
      <c r="S176" s="119"/>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119"/>
      <c r="AT176" s="119"/>
      <c r="AU176" s="119"/>
      <c r="AV176" s="119"/>
      <c r="AW176" s="119"/>
      <c r="AX176" s="119"/>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73"/>
    </row>
    <row r="177" spans="1:114" ht="30" customHeight="1" x14ac:dyDescent="0.25">
      <c r="A177" s="7" t="s">
        <v>5</v>
      </c>
      <c r="B177" s="7" t="s">
        <v>1637</v>
      </c>
      <c r="C177" s="144" t="s">
        <v>1674</v>
      </c>
      <c r="D177" s="120">
        <f>COUNTA($E$171:$E177)</f>
        <v>7</v>
      </c>
      <c r="E177" s="155" t="str">
        <f>IFERROR(A177&amp;"   ("&amp;COUNTIFS(#REF!,"="&amp;A177)&amp;")",A177)</f>
        <v>DOC</v>
      </c>
      <c r="F177" s="132"/>
      <c r="G177" s="133"/>
      <c r="H177" s="134"/>
      <c r="I177" s="135"/>
      <c r="J177" s="132"/>
      <c r="K177" s="133"/>
      <c r="L177" s="134"/>
      <c r="M177" s="139"/>
      <c r="N177" s="142"/>
      <c r="O177" s="119"/>
      <c r="P177" s="119"/>
      <c r="Q177" s="119"/>
      <c r="R177" s="119"/>
      <c r="S177" s="119"/>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119"/>
      <c r="AT177" s="119"/>
      <c r="AU177" s="119"/>
      <c r="AV177" s="119"/>
      <c r="AW177" s="119"/>
      <c r="AX177" s="119"/>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73"/>
    </row>
    <row r="178" spans="1:114" ht="30" customHeight="1" x14ac:dyDescent="0.25">
      <c r="A178" s="7" t="s">
        <v>7</v>
      </c>
      <c r="B178" s="7" t="s">
        <v>1637</v>
      </c>
      <c r="C178" s="144" t="s">
        <v>1674</v>
      </c>
      <c r="D178" s="120">
        <f>COUNTA($E$171:$E178)</f>
        <v>8</v>
      </c>
      <c r="E178" s="155" t="str">
        <f>IFERROR(A178&amp;"   ("&amp;COUNTIFS(#REF!,"="&amp;A178)&amp;")",A178)</f>
        <v>DOD</v>
      </c>
      <c r="F178" s="132"/>
      <c r="G178" s="133"/>
      <c r="H178" s="134"/>
      <c r="I178" s="135"/>
      <c r="J178" s="132"/>
      <c r="K178" s="133"/>
      <c r="L178" s="134"/>
      <c r="M178" s="139"/>
      <c r="N178" s="142"/>
      <c r="O178" s="119"/>
      <c r="P178" s="119"/>
      <c r="Q178" s="119"/>
      <c r="R178" s="119"/>
      <c r="S178" s="119"/>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119"/>
      <c r="AT178" s="119"/>
      <c r="AU178" s="119"/>
      <c r="AV178" s="119"/>
      <c r="AW178" s="119"/>
      <c r="AX178" s="119"/>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73"/>
    </row>
    <row r="179" spans="1:114" ht="30" customHeight="1" x14ac:dyDescent="0.25">
      <c r="A179" s="7" t="s">
        <v>13</v>
      </c>
      <c r="B179" s="7" t="s">
        <v>1637</v>
      </c>
      <c r="C179" s="144" t="s">
        <v>1674</v>
      </c>
      <c r="D179" s="120">
        <f>COUNTA($E$171:$E179)</f>
        <v>9</v>
      </c>
      <c r="E179" s="155" t="str">
        <f>IFERROR(A179&amp;"   ("&amp;COUNTIFS(#REF!,"="&amp;A179)&amp;")",A179)</f>
        <v>DOF</v>
      </c>
      <c r="F179" s="132"/>
      <c r="G179" s="133"/>
      <c r="H179" s="134"/>
      <c r="I179" s="135"/>
      <c r="J179" s="132"/>
      <c r="K179" s="133"/>
      <c r="L179" s="134"/>
      <c r="M179" s="139"/>
      <c r="N179" s="142"/>
      <c r="O179" s="119"/>
      <c r="P179" s="119"/>
      <c r="Q179" s="119"/>
      <c r="R179" s="119"/>
      <c r="S179" s="119"/>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119"/>
      <c r="AT179" s="119"/>
      <c r="AU179" s="119"/>
      <c r="AV179" s="119"/>
      <c r="AW179" s="119"/>
      <c r="AX179" s="119"/>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73"/>
    </row>
    <row r="180" spans="1:114" ht="30" customHeight="1" x14ac:dyDescent="0.25">
      <c r="A180" s="7" t="s">
        <v>14</v>
      </c>
      <c r="B180" s="7" t="s">
        <v>1637</v>
      </c>
      <c r="C180" s="144" t="s">
        <v>1674</v>
      </c>
      <c r="D180" s="120">
        <f>COUNTA($E$171:$E180)</f>
        <v>10</v>
      </c>
      <c r="E180" s="155" t="str">
        <f>IFERROR(A180&amp;"   ("&amp;COUNTIFS(#REF!,"="&amp;A180)&amp;")",A180)</f>
        <v>DOK</v>
      </c>
      <c r="F180" s="132"/>
      <c r="G180" s="133"/>
      <c r="H180" s="134"/>
      <c r="I180" s="135"/>
      <c r="J180" s="132"/>
      <c r="K180" s="133"/>
      <c r="L180" s="134"/>
      <c r="M180" s="139"/>
      <c r="N180" s="142"/>
      <c r="O180" s="119"/>
      <c r="P180" s="119"/>
      <c r="Q180" s="119"/>
      <c r="R180" s="119"/>
      <c r="S180" s="119"/>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119"/>
      <c r="AT180" s="119"/>
      <c r="AU180" s="119"/>
      <c r="AV180" s="119"/>
      <c r="AW180" s="119"/>
      <c r="AX180" s="119"/>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73"/>
    </row>
    <row r="181" spans="1:114" ht="30" customHeight="1" x14ac:dyDescent="0.25">
      <c r="A181" s="7" t="s">
        <v>18</v>
      </c>
      <c r="B181" s="7" t="s">
        <v>1637</v>
      </c>
      <c r="C181" s="144" t="s">
        <v>1674</v>
      </c>
      <c r="D181" s="120">
        <f>COUNTA($E$171:$E181)</f>
        <v>11</v>
      </c>
      <c r="E181" s="155" t="str">
        <f>IFERROR(A181&amp;"   ("&amp;COUNTIFS(#REF!,"="&amp;A181)&amp;")",A181)</f>
        <v>DOM</v>
      </c>
      <c r="F181" s="132"/>
      <c r="G181" s="133"/>
      <c r="H181" s="134"/>
      <c r="I181" s="135"/>
      <c r="J181" s="132"/>
      <c r="K181" s="133"/>
      <c r="L181" s="134"/>
      <c r="M181" s="139"/>
      <c r="N181" s="142"/>
      <c r="O181" s="119"/>
      <c r="P181" s="119"/>
      <c r="Q181" s="119"/>
      <c r="R181" s="119"/>
      <c r="S181" s="119"/>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119"/>
      <c r="AT181" s="119"/>
      <c r="AU181" s="119"/>
      <c r="AV181" s="119"/>
      <c r="AW181" s="119"/>
      <c r="AX181" s="119"/>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73"/>
    </row>
    <row r="182" spans="1:114" ht="30" customHeight="1" x14ac:dyDescent="0.25">
      <c r="A182" s="7" t="s">
        <v>9</v>
      </c>
      <c r="B182" s="7" t="s">
        <v>1637</v>
      </c>
      <c r="C182" s="144" t="s">
        <v>1674</v>
      </c>
      <c r="D182" s="120">
        <f>COUNTA($E$171:$E182)</f>
        <v>12</v>
      </c>
      <c r="E182" s="155" t="str">
        <f>IFERROR(A182&amp;"   ("&amp;COUNTIFS(#REF!,"="&amp;A182)&amp;")",A182)</f>
        <v>DOT</v>
      </c>
      <c r="F182" s="132"/>
      <c r="G182" s="133"/>
      <c r="H182" s="134"/>
      <c r="I182" s="135"/>
      <c r="J182" s="132"/>
      <c r="K182" s="133"/>
      <c r="L182" s="134"/>
      <c r="M182" s="139"/>
      <c r="N182" s="142"/>
      <c r="O182" s="119"/>
      <c r="P182" s="119"/>
      <c r="Q182" s="119"/>
      <c r="R182" s="119"/>
      <c r="S182" s="119"/>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119"/>
      <c r="AT182" s="119"/>
      <c r="AU182" s="119"/>
      <c r="AV182" s="119"/>
      <c r="AW182" s="119"/>
      <c r="AX182" s="119"/>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73"/>
    </row>
    <row r="183" spans="1:114" ht="30" customHeight="1" x14ac:dyDescent="0.25">
      <c r="A183" s="7" t="s">
        <v>15</v>
      </c>
      <c r="B183" s="7" t="s">
        <v>1637</v>
      </c>
      <c r="C183" s="144" t="s">
        <v>1674</v>
      </c>
      <c r="D183" s="120">
        <f>COUNTA($E$171:$E183)</f>
        <v>13</v>
      </c>
      <c r="E183" s="155" t="str">
        <f>IFERROR(A183&amp;"   ("&amp;COUNTIFS(#REF!,"="&amp;A183)&amp;")",A183)</f>
        <v>DOX</v>
      </c>
      <c r="F183" s="132"/>
      <c r="G183" s="133"/>
      <c r="H183" s="134"/>
      <c r="I183" s="135"/>
      <c r="J183" s="132"/>
      <c r="K183" s="133"/>
      <c r="L183" s="134"/>
      <c r="M183" s="139"/>
      <c r="N183" s="142"/>
      <c r="O183" s="119"/>
      <c r="P183" s="119"/>
      <c r="Q183" s="119"/>
      <c r="R183" s="119"/>
      <c r="S183" s="119"/>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119"/>
      <c r="AT183" s="119"/>
      <c r="AU183" s="119"/>
      <c r="AV183" s="119"/>
      <c r="AW183" s="119"/>
      <c r="AX183" s="119"/>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73"/>
    </row>
    <row r="184" spans="1:114" ht="30" customHeight="1" x14ac:dyDescent="0.25">
      <c r="A184" s="7" t="s">
        <v>10</v>
      </c>
      <c r="B184" s="7" t="s">
        <v>1637</v>
      </c>
      <c r="C184" s="144" t="s">
        <v>1674</v>
      </c>
      <c r="D184" s="120">
        <f>COUNTA($E$171:$E184)</f>
        <v>14</v>
      </c>
      <c r="E184" s="155" t="str">
        <f>IFERROR(A184&amp;"   ("&amp;COUNTIFS(#REF!,"="&amp;A184)&amp;")",A184)</f>
        <v>MS</v>
      </c>
      <c r="F184" s="132"/>
      <c r="G184" s="133"/>
      <c r="H184" s="134"/>
      <c r="I184" s="135"/>
      <c r="J184" s="132"/>
      <c r="K184" s="133"/>
      <c r="L184" s="134"/>
      <c r="M184" s="139"/>
      <c r="N184" s="142"/>
      <c r="O184" s="119"/>
      <c r="P184" s="119"/>
      <c r="Q184" s="119"/>
      <c r="R184" s="119"/>
      <c r="S184" s="119"/>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119"/>
      <c r="AT184" s="119"/>
      <c r="AU184" s="119"/>
      <c r="AV184" s="119"/>
      <c r="AW184" s="119"/>
      <c r="AX184" s="119"/>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73"/>
    </row>
    <row r="185" spans="1:114" ht="30" customHeight="1" x14ac:dyDescent="0.25">
      <c r="A185" s="7" t="s">
        <v>16</v>
      </c>
      <c r="B185" s="7" t="s">
        <v>1637</v>
      </c>
      <c r="C185" s="144" t="s">
        <v>1674</v>
      </c>
      <c r="D185" s="120">
        <f>COUNTA($E$171:$E185)</f>
        <v>15</v>
      </c>
      <c r="E185" s="155" t="str">
        <f>IFERROR(A185&amp;"   ("&amp;COUNTIFS(#REF!,"="&amp;A185)&amp;")",A185)</f>
        <v>UDM</v>
      </c>
      <c r="F185" s="132"/>
      <c r="G185" s="133"/>
      <c r="H185" s="134"/>
      <c r="I185" s="135"/>
      <c r="J185" s="132"/>
      <c r="K185" s="133"/>
      <c r="L185" s="134"/>
      <c r="M185" s="139"/>
      <c r="N185" s="142"/>
      <c r="O185" s="119"/>
      <c r="P185" s="119"/>
      <c r="Q185" s="119"/>
      <c r="R185" s="119"/>
      <c r="S185" s="119"/>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119"/>
      <c r="AT185" s="119"/>
      <c r="AU185" s="119"/>
      <c r="AV185" s="119"/>
      <c r="AW185" s="119"/>
      <c r="AX185" s="119"/>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73"/>
    </row>
    <row r="186" spans="1:114" ht="30" customHeight="1" x14ac:dyDescent="0.25">
      <c r="A186" s="7" t="s">
        <v>19</v>
      </c>
      <c r="B186" s="7" t="s">
        <v>1637</v>
      </c>
      <c r="C186" s="144" t="s">
        <v>1674</v>
      </c>
      <c r="D186" s="120">
        <f>COUNTA($E$171:$E186)</f>
        <v>16</v>
      </c>
      <c r="E186" s="155" t="str">
        <f>IFERROR(A186&amp;"   ("&amp;COUNTIFS(#REF!,"="&amp;A186)&amp;")",A186)</f>
        <v>UTM</v>
      </c>
      <c r="F186" s="132"/>
      <c r="G186" s="133"/>
      <c r="H186" s="134"/>
      <c r="I186" s="135"/>
      <c r="J186" s="132"/>
      <c r="K186" s="133"/>
      <c r="L186" s="134"/>
      <c r="M186" s="139"/>
      <c r="N186" s="142"/>
      <c r="O186" s="119"/>
      <c r="P186" s="119"/>
      <c r="Q186" s="119"/>
      <c r="R186" s="119"/>
      <c r="S186" s="119"/>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119"/>
      <c r="AT186" s="119"/>
      <c r="AU186" s="119"/>
      <c r="AV186" s="119"/>
      <c r="AW186" s="119"/>
      <c r="AX186" s="119"/>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73"/>
    </row>
    <row r="187" spans="1:114" ht="20.100000000000001" customHeight="1" x14ac:dyDescent="0.25">
      <c r="A187" s="7" t="s">
        <v>60</v>
      </c>
      <c r="B187" s="7" t="s">
        <v>1637</v>
      </c>
      <c r="C187" s="144"/>
      <c r="D187" s="67"/>
      <c r="E187" s="8"/>
      <c r="N187" s="58"/>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c r="BS187" s="7"/>
      <c r="BT187" s="7"/>
      <c r="BU187" s="7"/>
      <c r="BV187" s="7"/>
      <c r="BW187" s="7"/>
      <c r="BX187" s="7"/>
      <c r="BY187" s="7"/>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c r="DA187" s="7"/>
      <c r="DB187" s="7"/>
      <c r="DC187" s="7"/>
      <c r="DD187" s="7"/>
      <c r="DE187" s="7"/>
      <c r="DF187" s="7"/>
      <c r="DG187" s="7"/>
      <c r="DH187" s="7"/>
      <c r="DI187" s="7"/>
      <c r="DJ187" s="7"/>
    </row>
    <row r="188" spans="1:114" ht="20.100000000000001" customHeight="1" x14ac:dyDescent="0.25">
      <c r="A188" s="7" t="s">
        <v>60</v>
      </c>
      <c r="B188" s="7" t="s">
        <v>42</v>
      </c>
      <c r="C188" s="144"/>
      <c r="D188" s="125" t="s">
        <v>1744</v>
      </c>
      <c r="E188" s="157"/>
      <c r="F188" s="131"/>
      <c r="G188" s="131"/>
      <c r="H188" s="131"/>
      <c r="I188" s="131"/>
      <c r="J188" s="131"/>
      <c r="K188" s="131"/>
      <c r="L188" s="131"/>
      <c r="M188" s="131"/>
      <c r="N188" s="123"/>
      <c r="O188" s="217"/>
      <c r="P188" s="217"/>
      <c r="Q188" s="217"/>
      <c r="R188" s="217"/>
      <c r="S188" s="217"/>
      <c r="T188" s="217"/>
      <c r="U188" s="217"/>
      <c r="V188" s="217"/>
      <c r="W188" s="217"/>
      <c r="X188" s="217"/>
      <c r="Y188" s="217"/>
      <c r="Z188" s="217"/>
      <c r="AA188" s="217"/>
      <c r="AB188" s="217"/>
      <c r="AC188" s="217"/>
      <c r="AD188" s="217"/>
      <c r="AE188" s="217"/>
      <c r="AF188" s="217"/>
      <c r="AG188" s="217"/>
      <c r="AH188" s="217"/>
      <c r="AI188" s="217"/>
      <c r="AJ188" s="217"/>
      <c r="AK188" s="217"/>
      <c r="AL188" s="217"/>
      <c r="AM188" s="217"/>
      <c r="AN188" s="217"/>
      <c r="AO188" s="217"/>
      <c r="AP188" s="217"/>
      <c r="AQ188" s="217"/>
      <c r="AR188" s="217"/>
      <c r="AS188" s="217"/>
      <c r="AT188" s="217"/>
      <c r="AU188" s="217"/>
      <c r="AV188" s="217"/>
      <c r="AW188" s="217"/>
      <c r="AX188" s="217"/>
      <c r="AY188" s="217"/>
      <c r="AZ188" s="217"/>
      <c r="BA188" s="217"/>
      <c r="BB188" s="217"/>
      <c r="BC188" s="217"/>
      <c r="BD188" s="217"/>
      <c r="BE188" s="217"/>
      <c r="BF188" s="217"/>
      <c r="BG188" s="217"/>
      <c r="BH188" s="217"/>
      <c r="BI188" s="217"/>
      <c r="BJ188" s="217"/>
      <c r="BK188" s="217"/>
      <c r="BL188" s="217"/>
      <c r="BM188" s="217"/>
      <c r="BN188" s="217"/>
      <c r="BO188" s="217"/>
      <c r="BP188" s="217"/>
      <c r="BQ188" s="217"/>
      <c r="BR188" s="217"/>
      <c r="BS188" s="217"/>
      <c r="BT188" s="217"/>
      <c r="BU188" s="217"/>
      <c r="BV188" s="217"/>
      <c r="BW188" s="217"/>
      <c r="BX188" s="217"/>
      <c r="BY188" s="217"/>
      <c r="BZ188" s="217"/>
      <c r="CA188" s="217"/>
      <c r="CB188" s="217"/>
      <c r="CC188" s="217"/>
      <c r="CD188" s="217"/>
      <c r="CE188" s="217"/>
      <c r="CF188" s="217"/>
      <c r="CG188" s="217"/>
      <c r="CH188" s="217"/>
      <c r="CI188" s="217"/>
      <c r="CJ188" s="217"/>
      <c r="CK188" s="217"/>
      <c r="CL188" s="217"/>
      <c r="CM188" s="217"/>
      <c r="CN188" s="217"/>
      <c r="CO188" s="217"/>
      <c r="CP188" s="217"/>
      <c r="CQ188" s="217"/>
      <c r="CR188" s="217"/>
      <c r="CS188" s="217"/>
      <c r="CT188" s="217"/>
      <c r="CU188" s="217"/>
      <c r="CV188" s="217"/>
      <c r="CW188" s="217"/>
      <c r="CX188" s="217"/>
      <c r="CY188" s="217"/>
      <c r="CZ188" s="217"/>
      <c r="DA188" s="217"/>
      <c r="DB188" s="217"/>
      <c r="DC188" s="217"/>
      <c r="DD188" s="217"/>
      <c r="DE188" s="217"/>
      <c r="DF188" s="217"/>
      <c r="DG188" s="217"/>
      <c r="DH188" s="217"/>
      <c r="DI188" s="217"/>
      <c r="DJ188" s="218"/>
    </row>
    <row r="189" spans="1:114" ht="30" customHeight="1" x14ac:dyDescent="0.25">
      <c r="A189" s="7" t="s">
        <v>4</v>
      </c>
      <c r="B189" s="7" t="s">
        <v>42</v>
      </c>
      <c r="C189" s="144"/>
      <c r="D189" s="162"/>
      <c r="E189" s="163" t="str">
        <f>IFERROR(A189&amp;"   ("&amp;COUNTIFS(#REF!,"="&amp;A189)&amp;")",A189)</f>
        <v>11 SOIS</v>
      </c>
      <c r="F189" s="164"/>
      <c r="G189" s="165"/>
      <c r="H189" s="166"/>
      <c r="I189" s="167"/>
      <c r="J189" s="164"/>
      <c r="K189" s="165"/>
      <c r="L189" s="166"/>
      <c r="M189" s="167"/>
      <c r="N189" s="161"/>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c r="AX189" s="122"/>
      <c r="AY189" s="122"/>
      <c r="AZ189" s="122"/>
      <c r="BA189" s="122"/>
      <c r="BB189" s="122"/>
      <c r="BC189" s="122"/>
      <c r="BD189" s="122"/>
      <c r="BE189" s="122"/>
      <c r="BF189" s="122"/>
      <c r="BG189" s="122"/>
      <c r="BH189" s="122"/>
      <c r="BI189" s="122"/>
      <c r="BJ189" s="122"/>
      <c r="BK189" s="122"/>
      <c r="BL189" s="122"/>
      <c r="BM189" s="122"/>
      <c r="BN189" s="122"/>
      <c r="BO189" s="122"/>
      <c r="BP189" s="122"/>
      <c r="BQ189" s="122"/>
      <c r="BR189" s="122"/>
      <c r="BS189" s="122"/>
      <c r="BT189" s="122"/>
      <c r="BU189" s="122"/>
      <c r="BV189" s="122"/>
      <c r="BW189" s="122"/>
      <c r="BX189" s="122"/>
      <c r="BY189" s="122"/>
      <c r="BZ189" s="122"/>
      <c r="CA189" s="122"/>
      <c r="CB189" s="122"/>
      <c r="CC189" s="122"/>
      <c r="CD189" s="122"/>
      <c r="CE189" s="122"/>
      <c r="CF189" s="122"/>
      <c r="CG189" s="122"/>
      <c r="CH189" s="122"/>
      <c r="CI189" s="122"/>
      <c r="CJ189" s="122"/>
      <c r="CK189" s="122"/>
      <c r="CL189" s="122"/>
      <c r="CM189" s="122"/>
      <c r="CN189" s="122"/>
      <c r="CO189" s="122"/>
      <c r="CP189" s="122"/>
      <c r="CQ189" s="122"/>
      <c r="CR189" s="122"/>
      <c r="CS189" s="122"/>
      <c r="CT189" s="122"/>
      <c r="CU189" s="122"/>
      <c r="CV189" s="122"/>
      <c r="CW189" s="122"/>
      <c r="CX189" s="122"/>
      <c r="CY189" s="122"/>
      <c r="CZ189" s="122"/>
      <c r="DA189" s="122"/>
      <c r="DB189" s="122"/>
      <c r="DC189" s="122"/>
      <c r="DD189" s="122"/>
      <c r="DE189" s="122"/>
      <c r="DF189" s="122"/>
      <c r="DG189" s="122"/>
      <c r="DH189" s="122"/>
      <c r="DI189" s="122"/>
      <c r="DJ189" s="121"/>
    </row>
    <row r="190" spans="1:114" ht="9.9499999999999993" customHeight="1" x14ac:dyDescent="0.25">
      <c r="A190" s="7" t="s">
        <v>4</v>
      </c>
      <c r="B190" s="7" t="s">
        <v>42</v>
      </c>
      <c r="C190" s="144"/>
      <c r="D190" s="124"/>
      <c r="E190" s="158"/>
      <c r="F190" s="136"/>
      <c r="G190" s="136"/>
      <c r="H190" s="136"/>
      <c r="I190" s="136"/>
      <c r="J190" s="136"/>
      <c r="K190" s="136"/>
      <c r="L190" s="136"/>
      <c r="M190" s="136"/>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c r="BA190" s="58"/>
      <c r="BB190" s="58"/>
      <c r="BC190" s="58"/>
      <c r="BD190" s="58"/>
      <c r="BE190" s="58"/>
      <c r="BF190" s="58"/>
      <c r="BG190" s="58"/>
      <c r="BH190" s="58"/>
      <c r="BI190" s="58"/>
      <c r="BJ190" s="58"/>
      <c r="BK190" s="58"/>
      <c r="BL190" s="58"/>
      <c r="BM190" s="58"/>
      <c r="BN190" s="58"/>
      <c r="BO190" s="58"/>
      <c r="BP190" s="58"/>
      <c r="BQ190" s="58"/>
      <c r="BR190" s="58"/>
      <c r="BS190" s="58"/>
      <c r="BT190" s="58"/>
      <c r="BU190" s="58"/>
      <c r="BV190" s="58"/>
      <c r="BW190" s="58"/>
      <c r="BX190" s="58"/>
      <c r="BY190" s="58"/>
      <c r="BZ190" s="58"/>
      <c r="CA190" s="58"/>
      <c r="CB190" s="58"/>
      <c r="CC190" s="58"/>
      <c r="CD190" s="58"/>
      <c r="CE190" s="58"/>
      <c r="CF190" s="58"/>
      <c r="CG190" s="58"/>
      <c r="CH190" s="58"/>
      <c r="CI190" s="58"/>
      <c r="CJ190" s="58"/>
      <c r="CK190" s="58"/>
      <c r="CL190" s="58"/>
      <c r="CM190" s="58"/>
      <c r="CN190" s="58"/>
      <c r="CO190" s="58"/>
      <c r="CP190" s="58"/>
      <c r="CQ190" s="58"/>
      <c r="CR190" s="58"/>
      <c r="CS190" s="58"/>
      <c r="CT190" s="58"/>
      <c r="CU190" s="58"/>
      <c r="CV190" s="58"/>
      <c r="CW190" s="58"/>
      <c r="CX190" s="58"/>
      <c r="CY190" s="58"/>
      <c r="CZ190" s="58"/>
      <c r="DA190" s="58"/>
      <c r="DB190" s="58"/>
      <c r="DC190" s="58"/>
      <c r="DD190" s="58"/>
      <c r="DE190" s="58"/>
      <c r="DF190" s="58"/>
      <c r="DG190" s="58"/>
      <c r="DH190" s="58"/>
      <c r="DI190" s="58"/>
      <c r="DJ190" s="58"/>
    </row>
    <row r="191" spans="1:114" ht="30" customHeight="1" x14ac:dyDescent="0.25">
      <c r="A191" s="7" t="s">
        <v>6</v>
      </c>
      <c r="B191" s="7" t="s">
        <v>42</v>
      </c>
      <c r="C191" s="144" t="s">
        <v>1674</v>
      </c>
      <c r="D191" s="120">
        <f>COUNTA($E$191:$E191)</f>
        <v>1</v>
      </c>
      <c r="E191" s="155" t="str">
        <f>IFERROR(A191&amp;"   ("&amp;COUNTIFS(#REF!,"="&amp;A191)&amp;")",A191)</f>
        <v>CCI</v>
      </c>
      <c r="F191" s="132"/>
      <c r="G191" s="133"/>
      <c r="H191" s="134"/>
      <c r="I191" s="135"/>
      <c r="J191" s="132"/>
      <c r="K191" s="133"/>
      <c r="L191" s="134"/>
      <c r="M191" s="139"/>
      <c r="N191" s="142"/>
      <c r="O191" s="119"/>
      <c r="P191" s="119"/>
      <c r="Q191" s="119"/>
      <c r="R191" s="119"/>
      <c r="S191" s="119"/>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119"/>
      <c r="AT191" s="119"/>
      <c r="AU191" s="119"/>
      <c r="AV191" s="119"/>
      <c r="AW191" s="119"/>
      <c r="AX191" s="119"/>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73"/>
    </row>
    <row r="192" spans="1:114" ht="30" customHeight="1" x14ac:dyDescent="0.25">
      <c r="A192" s="7" t="s">
        <v>11</v>
      </c>
      <c r="B192" s="7" t="s">
        <v>42</v>
      </c>
      <c r="C192" s="144" t="s">
        <v>1674</v>
      </c>
      <c r="D192" s="120">
        <f>COUNTA($E$191:$E192)</f>
        <v>2</v>
      </c>
      <c r="E192" s="155" t="str">
        <f>IFERROR(A192&amp;"   ("&amp;COUNTIFS(#REF!,"="&amp;A192)&amp;")",A192)</f>
        <v>CCV</v>
      </c>
      <c r="F192" s="132"/>
      <c r="G192" s="133"/>
      <c r="H192" s="134"/>
      <c r="I192" s="135"/>
      <c r="J192" s="132"/>
      <c r="K192" s="133"/>
      <c r="L192" s="134"/>
      <c r="M192" s="139"/>
      <c r="N192" s="14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c r="AX192" s="122"/>
      <c r="AY192" s="122"/>
      <c r="AZ192" s="122"/>
      <c r="BA192" s="122"/>
      <c r="BB192" s="122"/>
      <c r="BC192" s="122"/>
      <c r="BD192" s="122"/>
      <c r="BE192" s="122"/>
      <c r="BF192" s="122"/>
      <c r="BG192" s="122"/>
      <c r="BH192" s="122"/>
      <c r="BI192" s="122"/>
      <c r="BJ192" s="122"/>
      <c r="BK192" s="122"/>
      <c r="BL192" s="122"/>
      <c r="BM192" s="122"/>
      <c r="BN192" s="122"/>
      <c r="BO192" s="122"/>
      <c r="BP192" s="122"/>
      <c r="BQ192" s="122"/>
      <c r="BR192" s="122"/>
      <c r="BS192" s="122"/>
      <c r="BT192" s="122"/>
      <c r="BU192" s="122"/>
      <c r="BV192" s="122"/>
      <c r="BW192" s="122"/>
      <c r="BX192" s="122"/>
      <c r="BY192" s="122"/>
      <c r="BZ192" s="122"/>
      <c r="CA192" s="122"/>
      <c r="CB192" s="122"/>
      <c r="CC192" s="122"/>
      <c r="CD192" s="122"/>
      <c r="CE192" s="122"/>
      <c r="CF192" s="122"/>
      <c r="CG192" s="122"/>
      <c r="CH192" s="122"/>
      <c r="CI192" s="122"/>
      <c r="CJ192" s="122"/>
      <c r="CK192" s="122"/>
      <c r="CL192" s="122"/>
      <c r="CM192" s="122"/>
      <c r="CN192" s="122"/>
      <c r="CO192" s="122"/>
      <c r="CP192" s="122"/>
      <c r="CQ192" s="122"/>
      <c r="CR192" s="122"/>
      <c r="CS192" s="122"/>
      <c r="CT192" s="122"/>
      <c r="CU192" s="122"/>
      <c r="CV192" s="122"/>
      <c r="CW192" s="122"/>
      <c r="CX192" s="122"/>
      <c r="CY192" s="122"/>
      <c r="CZ192" s="122"/>
      <c r="DA192" s="122"/>
      <c r="DB192" s="122"/>
      <c r="DC192" s="122"/>
      <c r="DD192" s="122"/>
      <c r="DE192" s="122"/>
      <c r="DF192" s="122"/>
      <c r="DG192" s="122"/>
      <c r="DH192" s="122"/>
      <c r="DI192" s="122"/>
      <c r="DJ192" s="121"/>
    </row>
    <row r="193" spans="1:114" ht="30" customHeight="1" x14ac:dyDescent="0.25">
      <c r="A193" s="7" t="s">
        <v>1670</v>
      </c>
      <c r="B193" s="7" t="s">
        <v>42</v>
      </c>
      <c r="C193" s="144" t="s">
        <v>1674</v>
      </c>
      <c r="D193" s="120">
        <f>COUNTA($E$191:$E193)</f>
        <v>3</v>
      </c>
      <c r="E193" s="155" t="str">
        <f>IFERROR(A193&amp;"   ("&amp;COUNTIFS(#REF!,"="&amp;A193)&amp;")",A193)</f>
        <v>CMD</v>
      </c>
      <c r="F193" s="132"/>
      <c r="G193" s="133"/>
      <c r="H193" s="134"/>
      <c r="I193" s="135"/>
      <c r="J193" s="132"/>
      <c r="K193" s="133"/>
      <c r="L193" s="134"/>
      <c r="M193" s="139"/>
      <c r="N193" s="142"/>
      <c r="O193" s="119"/>
      <c r="P193" s="119"/>
      <c r="Q193" s="119"/>
      <c r="R193" s="119"/>
      <c r="S193" s="119"/>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119"/>
      <c r="AT193" s="119"/>
      <c r="AU193" s="119"/>
      <c r="AV193" s="119"/>
      <c r="AW193" s="119"/>
      <c r="AX193" s="119"/>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73"/>
    </row>
    <row r="194" spans="1:114" ht="30" customHeight="1" x14ac:dyDescent="0.25">
      <c r="A194" s="7" t="s">
        <v>17</v>
      </c>
      <c r="B194" s="7" t="s">
        <v>42</v>
      </c>
      <c r="C194" s="144" t="s">
        <v>1674</v>
      </c>
      <c r="D194" s="120">
        <f>COUNTA($E$191:$E194)</f>
        <v>4</v>
      </c>
      <c r="E194" s="155" t="str">
        <f>IFERROR(A194&amp;"   ("&amp;COUNTIFS(#REF!,"="&amp;A194)&amp;")",A194)</f>
        <v>DO</v>
      </c>
      <c r="F194" s="132"/>
      <c r="G194" s="133"/>
      <c r="H194" s="134"/>
      <c r="I194" s="135"/>
      <c r="J194" s="132"/>
      <c r="K194" s="133"/>
      <c r="L194" s="134"/>
      <c r="M194" s="139"/>
      <c r="N194" s="142"/>
      <c r="O194" s="119"/>
      <c r="P194" s="119"/>
      <c r="Q194" s="119"/>
      <c r="R194" s="119"/>
      <c r="S194" s="119"/>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119"/>
      <c r="AT194" s="119"/>
      <c r="AU194" s="119"/>
      <c r="AV194" s="119"/>
      <c r="AW194" s="119"/>
      <c r="AX194" s="119"/>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73"/>
    </row>
    <row r="195" spans="1:114" ht="30" customHeight="1" x14ac:dyDescent="0.25">
      <c r="A195" s="7" t="s">
        <v>8</v>
      </c>
      <c r="B195" s="7" t="s">
        <v>42</v>
      </c>
      <c r="C195" s="144" t="s">
        <v>1674</v>
      </c>
      <c r="D195" s="120">
        <f>COUNTA($E$191:$E195)</f>
        <v>5</v>
      </c>
      <c r="E195" s="155" t="str">
        <f>IFERROR(A195&amp;"   ("&amp;COUNTIFS(#REF!,"="&amp;A195)&amp;")",A195)</f>
        <v>DOA</v>
      </c>
      <c r="F195" s="132"/>
      <c r="G195" s="133"/>
      <c r="H195" s="134"/>
      <c r="I195" s="135"/>
      <c r="J195" s="132"/>
      <c r="K195" s="133"/>
      <c r="L195" s="134"/>
      <c r="M195" s="139"/>
      <c r="N195" s="142"/>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119"/>
      <c r="AT195" s="119"/>
      <c r="AU195" s="119"/>
      <c r="AV195" s="119"/>
      <c r="AW195" s="119"/>
      <c r="AX195" s="119"/>
      <c r="AY195" s="119"/>
      <c r="AZ195" s="119"/>
      <c r="BA195" s="119"/>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c r="CB195" s="119"/>
      <c r="CC195" s="119"/>
      <c r="CD195" s="119"/>
      <c r="CE195" s="119"/>
      <c r="CF195" s="119"/>
      <c r="CG195" s="119"/>
      <c r="CH195" s="119"/>
      <c r="CI195" s="119"/>
      <c r="CJ195" s="119"/>
      <c r="CK195" s="119"/>
      <c r="CL195" s="119"/>
      <c r="CM195" s="119"/>
      <c r="CN195" s="119"/>
      <c r="CO195" s="119"/>
      <c r="CP195" s="119"/>
      <c r="CQ195" s="119"/>
      <c r="CR195" s="119"/>
      <c r="CS195" s="119"/>
      <c r="CT195" s="119"/>
      <c r="CU195" s="119"/>
      <c r="CV195" s="119"/>
      <c r="CW195" s="119"/>
      <c r="CX195" s="119"/>
      <c r="CY195" s="119"/>
      <c r="CZ195" s="119"/>
      <c r="DA195" s="119"/>
      <c r="DB195" s="119"/>
      <c r="DC195" s="119"/>
      <c r="DD195" s="119"/>
      <c r="DE195" s="119"/>
      <c r="DF195" s="119"/>
      <c r="DG195" s="119"/>
      <c r="DH195" s="119"/>
      <c r="DI195" s="119"/>
      <c r="DJ195" s="173"/>
    </row>
    <row r="196" spans="1:114" ht="30" customHeight="1" x14ac:dyDescent="0.25">
      <c r="A196" s="7" t="s">
        <v>12</v>
      </c>
      <c r="B196" s="7" t="s">
        <v>42</v>
      </c>
      <c r="C196" s="144" t="s">
        <v>1674</v>
      </c>
      <c r="D196" s="120">
        <f>COUNTA($E$191:$E196)</f>
        <v>6</v>
      </c>
      <c r="E196" s="155" t="str">
        <f>IFERROR(A196&amp;"   ("&amp;COUNTIFS(#REF!,"="&amp;A196)&amp;")",A196)</f>
        <v>DOB</v>
      </c>
      <c r="F196" s="132"/>
      <c r="G196" s="133"/>
      <c r="H196" s="134"/>
      <c r="I196" s="135"/>
      <c r="J196" s="132"/>
      <c r="K196" s="133"/>
      <c r="L196" s="134"/>
      <c r="M196" s="139"/>
      <c r="N196" s="142"/>
      <c r="O196" s="119"/>
      <c r="P196" s="119"/>
      <c r="Q196" s="119"/>
      <c r="R196" s="119"/>
      <c r="S196" s="119"/>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119"/>
      <c r="AT196" s="119"/>
      <c r="AU196" s="119"/>
      <c r="AV196" s="119"/>
      <c r="AW196" s="119"/>
      <c r="AX196" s="119"/>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73"/>
    </row>
    <row r="197" spans="1:114" ht="30" customHeight="1" x14ac:dyDescent="0.25">
      <c r="A197" s="7" t="s">
        <v>5</v>
      </c>
      <c r="B197" s="7" t="s">
        <v>42</v>
      </c>
      <c r="C197" s="144" t="s">
        <v>1674</v>
      </c>
      <c r="D197" s="120">
        <f>COUNTA($E$191:$E197)</f>
        <v>7</v>
      </c>
      <c r="E197" s="155" t="str">
        <f>IFERROR(A197&amp;"   ("&amp;COUNTIFS(#REF!,"="&amp;A197)&amp;")",A197)</f>
        <v>DOC</v>
      </c>
      <c r="F197" s="132"/>
      <c r="G197" s="133"/>
      <c r="H197" s="134"/>
      <c r="I197" s="135"/>
      <c r="J197" s="132"/>
      <c r="K197" s="133"/>
      <c r="L197" s="134"/>
      <c r="M197" s="139"/>
      <c r="N197" s="142"/>
      <c r="O197" s="119"/>
      <c r="P197" s="119"/>
      <c r="Q197" s="119"/>
      <c r="R197" s="119"/>
      <c r="S197" s="119"/>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119"/>
      <c r="AT197" s="119"/>
      <c r="AU197" s="119"/>
      <c r="AV197" s="119"/>
      <c r="AW197" s="119"/>
      <c r="AX197" s="119"/>
      <c r="AY197" s="119"/>
      <c r="AZ197" s="119"/>
      <c r="BA197" s="119"/>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c r="CB197" s="119"/>
      <c r="CC197" s="119"/>
      <c r="CD197" s="119"/>
      <c r="CE197" s="119"/>
      <c r="CF197" s="119"/>
      <c r="CG197" s="119"/>
      <c r="CH197" s="119"/>
      <c r="CI197" s="119"/>
      <c r="CJ197" s="119"/>
      <c r="CK197" s="119"/>
      <c r="CL197" s="119"/>
      <c r="CM197" s="119"/>
      <c r="CN197" s="119"/>
      <c r="CO197" s="119"/>
      <c r="CP197" s="119"/>
      <c r="CQ197" s="119"/>
      <c r="CR197" s="119"/>
      <c r="CS197" s="119"/>
      <c r="CT197" s="119"/>
      <c r="CU197" s="119"/>
      <c r="CV197" s="119"/>
      <c r="CW197" s="119"/>
      <c r="CX197" s="119"/>
      <c r="CY197" s="119"/>
      <c r="CZ197" s="119"/>
      <c r="DA197" s="119"/>
      <c r="DB197" s="119"/>
      <c r="DC197" s="119"/>
      <c r="DD197" s="119"/>
      <c r="DE197" s="119"/>
      <c r="DF197" s="119"/>
      <c r="DG197" s="119"/>
      <c r="DH197" s="119"/>
      <c r="DI197" s="119"/>
      <c r="DJ197" s="173"/>
    </row>
    <row r="198" spans="1:114" ht="30" customHeight="1" x14ac:dyDescent="0.25">
      <c r="A198" s="7" t="s">
        <v>7</v>
      </c>
      <c r="B198" s="7" t="s">
        <v>42</v>
      </c>
      <c r="C198" s="144" t="s">
        <v>1674</v>
      </c>
      <c r="D198" s="120">
        <f>COUNTA($E$191:$E198)</f>
        <v>8</v>
      </c>
      <c r="E198" s="155" t="str">
        <f>IFERROR(A198&amp;"   ("&amp;COUNTIFS(#REF!,"="&amp;A198)&amp;")",A198)</f>
        <v>DOD</v>
      </c>
      <c r="F198" s="132"/>
      <c r="G198" s="133"/>
      <c r="H198" s="134"/>
      <c r="I198" s="135"/>
      <c r="J198" s="132"/>
      <c r="K198" s="133"/>
      <c r="L198" s="134"/>
      <c r="M198" s="139"/>
      <c r="N198" s="142"/>
      <c r="O198" s="119"/>
      <c r="P198" s="119"/>
      <c r="Q198" s="119"/>
      <c r="R198" s="119"/>
      <c r="S198" s="119"/>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119"/>
      <c r="AT198" s="119"/>
      <c r="AU198" s="119"/>
      <c r="AV198" s="119"/>
      <c r="AW198" s="119"/>
      <c r="AX198" s="119"/>
      <c r="AY198" s="119"/>
      <c r="AZ198" s="119"/>
      <c r="BA198" s="119"/>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c r="CB198" s="119"/>
      <c r="CC198" s="119"/>
      <c r="CD198" s="119"/>
      <c r="CE198" s="119"/>
      <c r="CF198" s="119"/>
      <c r="CG198" s="119"/>
      <c r="CH198" s="119"/>
      <c r="CI198" s="119"/>
      <c r="CJ198" s="119"/>
      <c r="CK198" s="119"/>
      <c r="CL198" s="119"/>
      <c r="CM198" s="119"/>
      <c r="CN198" s="119"/>
      <c r="CO198" s="119"/>
      <c r="CP198" s="119"/>
      <c r="CQ198" s="119"/>
      <c r="CR198" s="119"/>
      <c r="CS198" s="119"/>
      <c r="CT198" s="119"/>
      <c r="CU198" s="119"/>
      <c r="CV198" s="119"/>
      <c r="CW198" s="119"/>
      <c r="CX198" s="119"/>
      <c r="CY198" s="119"/>
      <c r="CZ198" s="119"/>
      <c r="DA198" s="119"/>
      <c r="DB198" s="119"/>
      <c r="DC198" s="119"/>
      <c r="DD198" s="119"/>
      <c r="DE198" s="119"/>
      <c r="DF198" s="119"/>
      <c r="DG198" s="119"/>
      <c r="DH198" s="119"/>
      <c r="DI198" s="119"/>
      <c r="DJ198" s="173"/>
    </row>
    <row r="199" spans="1:114" ht="30" customHeight="1" x14ac:dyDescent="0.25">
      <c r="A199" s="7" t="s">
        <v>13</v>
      </c>
      <c r="B199" s="7" t="s">
        <v>42</v>
      </c>
      <c r="C199" s="144" t="s">
        <v>1674</v>
      </c>
      <c r="D199" s="120">
        <f>COUNTA($E$191:$E199)</f>
        <v>9</v>
      </c>
      <c r="E199" s="155" t="str">
        <f>IFERROR(A199&amp;"   ("&amp;COUNTIFS(#REF!,"="&amp;A199)&amp;")",A199)</f>
        <v>DOF</v>
      </c>
      <c r="F199" s="132"/>
      <c r="G199" s="133"/>
      <c r="H199" s="134"/>
      <c r="I199" s="135"/>
      <c r="J199" s="132"/>
      <c r="K199" s="133"/>
      <c r="L199" s="134"/>
      <c r="M199" s="139"/>
      <c r="N199" s="142"/>
      <c r="O199" s="119"/>
      <c r="P199" s="119"/>
      <c r="Q199" s="119"/>
      <c r="R199" s="119"/>
      <c r="S199" s="119"/>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119"/>
      <c r="AT199" s="119"/>
      <c r="AU199" s="119"/>
      <c r="AV199" s="119"/>
      <c r="AW199" s="119"/>
      <c r="AX199" s="119"/>
      <c r="AY199" s="119"/>
      <c r="AZ199" s="119"/>
      <c r="BA199" s="119"/>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c r="CB199" s="119"/>
      <c r="CC199" s="119"/>
      <c r="CD199" s="119"/>
      <c r="CE199" s="119"/>
      <c r="CF199" s="119"/>
      <c r="CG199" s="119"/>
      <c r="CH199" s="119"/>
      <c r="CI199" s="119"/>
      <c r="CJ199" s="119"/>
      <c r="CK199" s="119"/>
      <c r="CL199" s="119"/>
      <c r="CM199" s="119"/>
      <c r="CN199" s="119"/>
      <c r="CO199" s="119"/>
      <c r="CP199" s="119"/>
      <c r="CQ199" s="119"/>
      <c r="CR199" s="119"/>
      <c r="CS199" s="119"/>
      <c r="CT199" s="119"/>
      <c r="CU199" s="119"/>
      <c r="CV199" s="119"/>
      <c r="CW199" s="119"/>
      <c r="CX199" s="119"/>
      <c r="CY199" s="119"/>
      <c r="CZ199" s="119"/>
      <c r="DA199" s="119"/>
      <c r="DB199" s="119"/>
      <c r="DC199" s="119"/>
      <c r="DD199" s="119"/>
      <c r="DE199" s="119"/>
      <c r="DF199" s="119"/>
      <c r="DG199" s="119"/>
      <c r="DH199" s="119"/>
      <c r="DI199" s="119"/>
      <c r="DJ199" s="173"/>
    </row>
    <row r="200" spans="1:114" ht="30" customHeight="1" x14ac:dyDescent="0.25">
      <c r="A200" s="7" t="s">
        <v>14</v>
      </c>
      <c r="B200" s="7" t="s">
        <v>42</v>
      </c>
      <c r="C200" s="144" t="s">
        <v>1674</v>
      </c>
      <c r="D200" s="120">
        <f>COUNTA($E$191:$E200)</f>
        <v>10</v>
      </c>
      <c r="E200" s="155" t="str">
        <f>IFERROR(A200&amp;"   ("&amp;COUNTIFS(#REF!,"="&amp;A200)&amp;")",A200)</f>
        <v>DOK</v>
      </c>
      <c r="F200" s="132"/>
      <c r="G200" s="133"/>
      <c r="H200" s="134"/>
      <c r="I200" s="135"/>
      <c r="J200" s="132"/>
      <c r="K200" s="133"/>
      <c r="L200" s="134"/>
      <c r="M200" s="139"/>
      <c r="N200" s="142"/>
      <c r="O200" s="119"/>
      <c r="P200" s="119"/>
      <c r="Q200" s="119"/>
      <c r="R200" s="119"/>
      <c r="S200" s="119"/>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119"/>
      <c r="AT200" s="119"/>
      <c r="AU200" s="119"/>
      <c r="AV200" s="119"/>
      <c r="AW200" s="119"/>
      <c r="AX200" s="119"/>
      <c r="AY200" s="119"/>
      <c r="AZ200" s="119"/>
      <c r="BA200" s="119"/>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c r="CB200" s="119"/>
      <c r="CC200" s="119"/>
      <c r="CD200" s="119"/>
      <c r="CE200" s="119"/>
      <c r="CF200" s="119"/>
      <c r="CG200" s="119"/>
      <c r="CH200" s="119"/>
      <c r="CI200" s="119"/>
      <c r="CJ200" s="119"/>
      <c r="CK200" s="119"/>
      <c r="CL200" s="119"/>
      <c r="CM200" s="119"/>
      <c r="CN200" s="119"/>
      <c r="CO200" s="119"/>
      <c r="CP200" s="119"/>
      <c r="CQ200" s="119"/>
      <c r="CR200" s="119"/>
      <c r="CS200" s="119"/>
      <c r="CT200" s="119"/>
      <c r="CU200" s="119"/>
      <c r="CV200" s="119"/>
      <c r="CW200" s="119"/>
      <c r="CX200" s="119"/>
      <c r="CY200" s="119"/>
      <c r="CZ200" s="119"/>
      <c r="DA200" s="119"/>
      <c r="DB200" s="119"/>
      <c r="DC200" s="119"/>
      <c r="DD200" s="119"/>
      <c r="DE200" s="119"/>
      <c r="DF200" s="119"/>
      <c r="DG200" s="119"/>
      <c r="DH200" s="119"/>
      <c r="DI200" s="119"/>
      <c r="DJ200" s="173"/>
    </row>
    <row r="201" spans="1:114" ht="30" customHeight="1" x14ac:dyDescent="0.25">
      <c r="A201" s="7" t="s">
        <v>18</v>
      </c>
      <c r="B201" s="7" t="s">
        <v>42</v>
      </c>
      <c r="C201" s="144" t="s">
        <v>1674</v>
      </c>
      <c r="D201" s="120">
        <f>COUNTA($E$191:$E201)</f>
        <v>11</v>
      </c>
      <c r="E201" s="155" t="str">
        <f>IFERROR(A201&amp;"   ("&amp;COUNTIFS(#REF!,"="&amp;A201)&amp;")",A201)</f>
        <v>DOM</v>
      </c>
      <c r="F201" s="132"/>
      <c r="G201" s="133"/>
      <c r="H201" s="134"/>
      <c r="I201" s="135"/>
      <c r="J201" s="132"/>
      <c r="K201" s="133"/>
      <c r="L201" s="134"/>
      <c r="M201" s="139"/>
      <c r="N201" s="142"/>
      <c r="O201" s="119"/>
      <c r="P201" s="119"/>
      <c r="Q201" s="119"/>
      <c r="R201" s="119"/>
      <c r="S201" s="119"/>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119"/>
      <c r="AT201" s="119"/>
      <c r="AU201" s="119"/>
      <c r="AV201" s="119"/>
      <c r="AW201" s="119"/>
      <c r="AX201" s="119"/>
      <c r="AY201" s="119"/>
      <c r="AZ201" s="119"/>
      <c r="BA201" s="119"/>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c r="CB201" s="119"/>
      <c r="CC201" s="119"/>
      <c r="CD201" s="119"/>
      <c r="CE201" s="119"/>
      <c r="CF201" s="119"/>
      <c r="CG201" s="119"/>
      <c r="CH201" s="119"/>
      <c r="CI201" s="119"/>
      <c r="CJ201" s="119"/>
      <c r="CK201" s="119"/>
      <c r="CL201" s="119"/>
      <c r="CM201" s="119"/>
      <c r="CN201" s="119"/>
      <c r="CO201" s="119"/>
      <c r="CP201" s="119"/>
      <c r="CQ201" s="119"/>
      <c r="CR201" s="119"/>
      <c r="CS201" s="119"/>
      <c r="CT201" s="119"/>
      <c r="CU201" s="119"/>
      <c r="CV201" s="119"/>
      <c r="CW201" s="119"/>
      <c r="CX201" s="119"/>
      <c r="CY201" s="119"/>
      <c r="CZ201" s="119"/>
      <c r="DA201" s="119"/>
      <c r="DB201" s="119"/>
      <c r="DC201" s="119"/>
      <c r="DD201" s="119"/>
      <c r="DE201" s="119"/>
      <c r="DF201" s="119"/>
      <c r="DG201" s="119"/>
      <c r="DH201" s="119"/>
      <c r="DI201" s="119"/>
      <c r="DJ201" s="173"/>
    </row>
    <row r="202" spans="1:114" ht="30" customHeight="1" x14ac:dyDescent="0.25">
      <c r="A202" s="7" t="s">
        <v>9</v>
      </c>
      <c r="B202" s="7" t="s">
        <v>42</v>
      </c>
      <c r="C202" s="144" t="s">
        <v>1674</v>
      </c>
      <c r="D202" s="120">
        <f>COUNTA($E$191:$E202)</f>
        <v>12</v>
      </c>
      <c r="E202" s="155" t="str">
        <f>IFERROR(A202&amp;"   ("&amp;COUNTIFS(#REF!,"="&amp;A202)&amp;")",A202)</f>
        <v>DOT</v>
      </c>
      <c r="F202" s="132"/>
      <c r="G202" s="133"/>
      <c r="H202" s="134"/>
      <c r="I202" s="135"/>
      <c r="J202" s="132"/>
      <c r="K202" s="133"/>
      <c r="L202" s="134"/>
      <c r="M202" s="139"/>
      <c r="N202" s="142"/>
      <c r="O202" s="119"/>
      <c r="P202" s="119"/>
      <c r="Q202" s="119"/>
      <c r="R202" s="119"/>
      <c r="S202" s="119"/>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119"/>
      <c r="AT202" s="119"/>
      <c r="AU202" s="119"/>
      <c r="AV202" s="119"/>
      <c r="AW202" s="119"/>
      <c r="AX202" s="119"/>
      <c r="AY202" s="119"/>
      <c r="AZ202" s="119"/>
      <c r="BA202" s="119"/>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c r="CB202" s="119"/>
      <c r="CC202" s="119"/>
      <c r="CD202" s="119"/>
      <c r="CE202" s="119"/>
      <c r="CF202" s="119"/>
      <c r="CG202" s="119"/>
      <c r="CH202" s="119"/>
      <c r="CI202" s="119"/>
      <c r="CJ202" s="119"/>
      <c r="CK202" s="119"/>
      <c r="CL202" s="119"/>
      <c r="CM202" s="119"/>
      <c r="CN202" s="119"/>
      <c r="CO202" s="119"/>
      <c r="CP202" s="119"/>
      <c r="CQ202" s="119"/>
      <c r="CR202" s="119"/>
      <c r="CS202" s="119"/>
      <c r="CT202" s="119"/>
      <c r="CU202" s="119"/>
      <c r="CV202" s="119"/>
      <c r="CW202" s="119"/>
      <c r="CX202" s="119"/>
      <c r="CY202" s="119"/>
      <c r="CZ202" s="119"/>
      <c r="DA202" s="119"/>
      <c r="DB202" s="119"/>
      <c r="DC202" s="119"/>
      <c r="DD202" s="119"/>
      <c r="DE202" s="119"/>
      <c r="DF202" s="119"/>
      <c r="DG202" s="119"/>
      <c r="DH202" s="119"/>
      <c r="DI202" s="119"/>
      <c r="DJ202" s="173"/>
    </row>
    <row r="203" spans="1:114" ht="30" customHeight="1" x14ac:dyDescent="0.25">
      <c r="A203" s="7" t="s">
        <v>15</v>
      </c>
      <c r="B203" s="7" t="s">
        <v>42</v>
      </c>
      <c r="C203" s="144" t="s">
        <v>1674</v>
      </c>
      <c r="D203" s="120">
        <f>COUNTA($E$191:$E203)</f>
        <v>13</v>
      </c>
      <c r="E203" s="155" t="str">
        <f>IFERROR(A203&amp;"   ("&amp;COUNTIFS(#REF!,"="&amp;A203)&amp;")",A203)</f>
        <v>DOX</v>
      </c>
      <c r="F203" s="132"/>
      <c r="G203" s="133"/>
      <c r="H203" s="134"/>
      <c r="I203" s="135"/>
      <c r="J203" s="132"/>
      <c r="K203" s="133"/>
      <c r="L203" s="134"/>
      <c r="M203" s="139"/>
      <c r="N203" s="142"/>
      <c r="O203" s="119"/>
      <c r="P203" s="119"/>
      <c r="Q203" s="119"/>
      <c r="R203" s="119"/>
      <c r="S203" s="119"/>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119"/>
      <c r="AT203" s="119"/>
      <c r="AU203" s="119"/>
      <c r="AV203" s="119"/>
      <c r="AW203" s="119"/>
      <c r="AX203" s="119"/>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73"/>
    </row>
    <row r="204" spans="1:114" ht="30" customHeight="1" x14ac:dyDescent="0.25">
      <c r="A204" s="7" t="s">
        <v>10</v>
      </c>
      <c r="B204" s="7" t="s">
        <v>42</v>
      </c>
      <c r="C204" s="144" t="s">
        <v>1674</v>
      </c>
      <c r="D204" s="120">
        <f>COUNTA($E$191:$E204)</f>
        <v>14</v>
      </c>
      <c r="E204" s="155" t="str">
        <f>IFERROR(A204&amp;"   ("&amp;COUNTIFS(#REF!,"="&amp;A204)&amp;")",A204)</f>
        <v>MS</v>
      </c>
      <c r="F204" s="132"/>
      <c r="G204" s="133"/>
      <c r="H204" s="134"/>
      <c r="I204" s="135"/>
      <c r="J204" s="132"/>
      <c r="K204" s="133"/>
      <c r="L204" s="134"/>
      <c r="M204" s="139"/>
      <c r="N204" s="142"/>
      <c r="O204" s="119"/>
      <c r="P204" s="119"/>
      <c r="Q204" s="119"/>
      <c r="R204" s="119"/>
      <c r="S204" s="119"/>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119"/>
      <c r="AT204" s="119"/>
      <c r="AU204" s="119"/>
      <c r="AV204" s="119"/>
      <c r="AW204" s="119"/>
      <c r="AX204" s="119"/>
      <c r="AY204" s="119"/>
      <c r="AZ204" s="119"/>
      <c r="BA204" s="119"/>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c r="CB204" s="119"/>
      <c r="CC204" s="119"/>
      <c r="CD204" s="119"/>
      <c r="CE204" s="119"/>
      <c r="CF204" s="119"/>
      <c r="CG204" s="119"/>
      <c r="CH204" s="119"/>
      <c r="CI204" s="119"/>
      <c r="CJ204" s="119"/>
      <c r="CK204" s="119"/>
      <c r="CL204" s="119"/>
      <c r="CM204" s="119"/>
      <c r="CN204" s="119"/>
      <c r="CO204" s="119"/>
      <c r="CP204" s="119"/>
      <c r="CQ204" s="119"/>
      <c r="CR204" s="119"/>
      <c r="CS204" s="119"/>
      <c r="CT204" s="119"/>
      <c r="CU204" s="119"/>
      <c r="CV204" s="119"/>
      <c r="CW204" s="119"/>
      <c r="CX204" s="119"/>
      <c r="CY204" s="119"/>
      <c r="CZ204" s="119"/>
      <c r="DA204" s="119"/>
      <c r="DB204" s="119"/>
      <c r="DC204" s="119"/>
      <c r="DD204" s="119"/>
      <c r="DE204" s="119"/>
      <c r="DF204" s="119"/>
      <c r="DG204" s="119"/>
      <c r="DH204" s="119"/>
      <c r="DI204" s="119"/>
      <c r="DJ204" s="173"/>
    </row>
    <row r="205" spans="1:114" ht="30" customHeight="1" x14ac:dyDescent="0.25">
      <c r="A205" s="7" t="s">
        <v>16</v>
      </c>
      <c r="B205" s="7" t="s">
        <v>42</v>
      </c>
      <c r="C205" s="144" t="s">
        <v>1674</v>
      </c>
      <c r="D205" s="120">
        <f>COUNTA($E$191:$E205)</f>
        <v>15</v>
      </c>
      <c r="E205" s="155" t="str">
        <f>IFERROR(A205&amp;"   ("&amp;COUNTIFS(#REF!,"="&amp;A205)&amp;")",A205)</f>
        <v>UDM</v>
      </c>
      <c r="F205" s="132"/>
      <c r="G205" s="133"/>
      <c r="H205" s="134"/>
      <c r="I205" s="135"/>
      <c r="J205" s="132"/>
      <c r="K205" s="133"/>
      <c r="L205" s="134"/>
      <c r="M205" s="139"/>
      <c r="N205" s="142"/>
      <c r="O205" s="119"/>
      <c r="P205" s="119"/>
      <c r="Q205" s="119"/>
      <c r="R205" s="119"/>
      <c r="S205" s="119"/>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119"/>
      <c r="AT205" s="119"/>
      <c r="AU205" s="119"/>
      <c r="AV205" s="119"/>
      <c r="AW205" s="119"/>
      <c r="AX205" s="119"/>
      <c r="AY205" s="119"/>
      <c r="AZ205" s="119"/>
      <c r="BA205" s="119"/>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c r="CB205" s="119"/>
      <c r="CC205" s="119"/>
      <c r="CD205" s="119"/>
      <c r="CE205" s="119"/>
      <c r="CF205" s="119"/>
      <c r="CG205" s="119"/>
      <c r="CH205" s="119"/>
      <c r="CI205" s="119"/>
      <c r="CJ205" s="119"/>
      <c r="CK205" s="119"/>
      <c r="CL205" s="119"/>
      <c r="CM205" s="119"/>
      <c r="CN205" s="119"/>
      <c r="CO205" s="119"/>
      <c r="CP205" s="119"/>
      <c r="CQ205" s="119"/>
      <c r="CR205" s="119"/>
      <c r="CS205" s="119"/>
      <c r="CT205" s="119"/>
      <c r="CU205" s="119"/>
      <c r="CV205" s="119"/>
      <c r="CW205" s="119"/>
      <c r="CX205" s="119"/>
      <c r="CY205" s="119"/>
      <c r="CZ205" s="119"/>
      <c r="DA205" s="119"/>
      <c r="DB205" s="119"/>
      <c r="DC205" s="119"/>
      <c r="DD205" s="119"/>
      <c r="DE205" s="119"/>
      <c r="DF205" s="119"/>
      <c r="DG205" s="119"/>
      <c r="DH205" s="119"/>
      <c r="DI205" s="119"/>
      <c r="DJ205" s="173"/>
    </row>
    <row r="206" spans="1:114" ht="30" customHeight="1" x14ac:dyDescent="0.25">
      <c r="A206" s="7" t="s">
        <v>19</v>
      </c>
      <c r="B206" s="7" t="s">
        <v>42</v>
      </c>
      <c r="C206" s="144" t="s">
        <v>1674</v>
      </c>
      <c r="D206" s="120">
        <f>COUNTA($E$191:$E206)</f>
        <v>16</v>
      </c>
      <c r="E206" s="155" t="str">
        <f>IFERROR(A206&amp;"   ("&amp;COUNTIFS(#REF!,"="&amp;A206)&amp;")",A206)</f>
        <v>UTM</v>
      </c>
      <c r="F206" s="132"/>
      <c r="G206" s="133"/>
      <c r="H206" s="134"/>
      <c r="I206" s="135"/>
      <c r="J206" s="132"/>
      <c r="K206" s="133"/>
      <c r="L206" s="134"/>
      <c r="M206" s="139"/>
      <c r="N206" s="142"/>
      <c r="O206" s="119"/>
      <c r="P206" s="119"/>
      <c r="Q206" s="119"/>
      <c r="R206" s="119"/>
      <c r="S206" s="119"/>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119"/>
      <c r="AT206" s="119"/>
      <c r="AU206" s="119"/>
      <c r="AV206" s="119"/>
      <c r="AW206" s="119"/>
      <c r="AX206" s="119"/>
      <c r="AY206" s="119"/>
      <c r="AZ206" s="119"/>
      <c r="BA206" s="119"/>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c r="CB206" s="119"/>
      <c r="CC206" s="119"/>
      <c r="CD206" s="119"/>
      <c r="CE206" s="119"/>
      <c r="CF206" s="119"/>
      <c r="CG206" s="119"/>
      <c r="CH206" s="119"/>
      <c r="CI206" s="119"/>
      <c r="CJ206" s="119"/>
      <c r="CK206" s="119"/>
      <c r="CL206" s="119"/>
      <c r="CM206" s="119"/>
      <c r="CN206" s="119"/>
      <c r="CO206" s="119"/>
      <c r="CP206" s="119"/>
      <c r="CQ206" s="119"/>
      <c r="CR206" s="119"/>
      <c r="CS206" s="119"/>
      <c r="CT206" s="119"/>
      <c r="CU206" s="119"/>
      <c r="CV206" s="119"/>
      <c r="CW206" s="119"/>
      <c r="CX206" s="119"/>
      <c r="CY206" s="119"/>
      <c r="CZ206" s="119"/>
      <c r="DA206" s="119"/>
      <c r="DB206" s="119"/>
      <c r="DC206" s="119"/>
      <c r="DD206" s="119"/>
      <c r="DE206" s="119"/>
      <c r="DF206" s="119"/>
      <c r="DG206" s="119"/>
      <c r="DH206" s="119"/>
      <c r="DI206" s="119"/>
      <c r="DJ206" s="173"/>
    </row>
    <row r="207" spans="1:114" ht="20.100000000000001" customHeight="1" x14ac:dyDescent="0.25">
      <c r="A207" s="7" t="s">
        <v>60</v>
      </c>
      <c r="B207" s="7" t="s">
        <v>42</v>
      </c>
      <c r="C207" s="144"/>
      <c r="D207" s="67"/>
      <c r="E207" s="8"/>
      <c r="N207" s="58"/>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c r="BS207" s="7"/>
      <c r="BT207" s="7"/>
      <c r="BU207" s="7"/>
      <c r="BV207" s="7"/>
      <c r="BW207" s="7"/>
      <c r="BX207" s="7"/>
      <c r="BY207" s="7"/>
      <c r="BZ207" s="7"/>
      <c r="CA207" s="7"/>
      <c r="CB207" s="7"/>
      <c r="CC207" s="7"/>
      <c r="CD207" s="7"/>
      <c r="CE207" s="7"/>
      <c r="CF207" s="7"/>
      <c r="CG207" s="7"/>
      <c r="CH207" s="7"/>
      <c r="CI207" s="7"/>
      <c r="CJ207" s="7"/>
      <c r="CK207" s="7"/>
      <c r="CL207" s="7"/>
      <c r="CM207" s="7"/>
      <c r="CN207" s="7"/>
      <c r="CO207" s="7"/>
      <c r="CP207" s="7"/>
      <c r="CQ207" s="7"/>
      <c r="CR207" s="7"/>
      <c r="CS207" s="7"/>
      <c r="CT207" s="7"/>
      <c r="CU207" s="7"/>
      <c r="CV207" s="7"/>
      <c r="CW207" s="7"/>
      <c r="CX207" s="7"/>
      <c r="CY207" s="7"/>
      <c r="CZ207" s="7"/>
      <c r="DA207" s="7"/>
      <c r="DB207" s="7"/>
      <c r="DC207" s="7"/>
      <c r="DD207" s="7"/>
      <c r="DE207" s="7"/>
      <c r="DF207" s="7"/>
      <c r="DG207" s="7"/>
      <c r="DH207" s="7"/>
      <c r="DI207" s="7"/>
      <c r="DJ207" s="7"/>
    </row>
    <row r="208" spans="1:114" ht="20.100000000000001" customHeight="1" x14ac:dyDescent="0.25">
      <c r="A208" s="7" t="s">
        <v>60</v>
      </c>
      <c r="B208" s="7" t="s">
        <v>62</v>
      </c>
      <c r="C208" s="144"/>
      <c r="D208" s="126" t="s">
        <v>63</v>
      </c>
      <c r="E208" s="160"/>
      <c r="F208" s="137"/>
      <c r="G208" s="137"/>
      <c r="H208" s="137"/>
      <c r="I208" s="137"/>
      <c r="J208" s="137"/>
      <c r="K208" s="137"/>
      <c r="L208" s="137"/>
      <c r="M208" s="137"/>
      <c r="N208" s="141"/>
      <c r="O208" s="215"/>
      <c r="P208" s="215"/>
      <c r="Q208" s="215"/>
      <c r="R208" s="215"/>
      <c r="S208" s="215"/>
      <c r="T208" s="215"/>
      <c r="U208" s="215"/>
      <c r="V208" s="215"/>
      <c r="W208" s="215"/>
      <c r="X208" s="215"/>
      <c r="Y208" s="215"/>
      <c r="Z208" s="215"/>
      <c r="AA208" s="215"/>
      <c r="AB208" s="215"/>
      <c r="AC208" s="215"/>
      <c r="AD208" s="215"/>
      <c r="AE208" s="215"/>
      <c r="AF208" s="215"/>
      <c r="AG208" s="215"/>
      <c r="AH208" s="215"/>
      <c r="AI208" s="215"/>
      <c r="AJ208" s="215"/>
      <c r="AK208" s="215"/>
      <c r="AL208" s="215"/>
      <c r="AM208" s="215"/>
      <c r="AN208" s="215"/>
      <c r="AO208" s="215"/>
      <c r="AP208" s="215"/>
      <c r="AQ208" s="215"/>
      <c r="AR208" s="215"/>
      <c r="AS208" s="215"/>
      <c r="AT208" s="215"/>
      <c r="AU208" s="215"/>
      <c r="AV208" s="215"/>
      <c r="AW208" s="215"/>
      <c r="AX208" s="215"/>
      <c r="AY208" s="215"/>
      <c r="AZ208" s="215"/>
      <c r="BA208" s="215"/>
      <c r="BB208" s="215"/>
      <c r="BC208" s="215"/>
      <c r="BD208" s="215"/>
      <c r="BE208" s="215"/>
      <c r="BF208" s="215"/>
      <c r="BG208" s="215"/>
      <c r="BH208" s="215"/>
      <c r="BI208" s="215"/>
      <c r="BJ208" s="215"/>
      <c r="BK208" s="215"/>
      <c r="BL208" s="215"/>
      <c r="BM208" s="215"/>
      <c r="BN208" s="215"/>
      <c r="BO208" s="215"/>
      <c r="BP208" s="215"/>
      <c r="BQ208" s="215"/>
      <c r="BR208" s="215"/>
      <c r="BS208" s="215"/>
      <c r="BT208" s="215"/>
      <c r="BU208" s="215"/>
      <c r="BV208" s="215"/>
      <c r="BW208" s="215"/>
      <c r="BX208" s="215"/>
      <c r="BY208" s="215"/>
      <c r="BZ208" s="215"/>
      <c r="CA208" s="215"/>
      <c r="CB208" s="215"/>
      <c r="CC208" s="215"/>
      <c r="CD208" s="215"/>
      <c r="CE208" s="215"/>
      <c r="CF208" s="215"/>
      <c r="CG208" s="215"/>
      <c r="CH208" s="215"/>
      <c r="CI208" s="215"/>
      <c r="CJ208" s="215"/>
      <c r="CK208" s="215"/>
      <c r="CL208" s="215"/>
      <c r="CM208" s="215"/>
      <c r="CN208" s="215"/>
      <c r="CO208" s="215"/>
      <c r="CP208" s="215"/>
      <c r="CQ208" s="215"/>
      <c r="CR208" s="215"/>
      <c r="CS208" s="215"/>
      <c r="CT208" s="215"/>
      <c r="CU208" s="215"/>
      <c r="CV208" s="215"/>
      <c r="CW208" s="215"/>
      <c r="CX208" s="215"/>
      <c r="CY208" s="215"/>
      <c r="CZ208" s="215"/>
      <c r="DA208" s="215"/>
      <c r="DB208" s="215"/>
      <c r="DC208" s="215"/>
      <c r="DD208" s="215"/>
      <c r="DE208" s="215"/>
      <c r="DF208" s="215"/>
      <c r="DG208" s="215"/>
      <c r="DH208" s="215"/>
      <c r="DI208" s="215"/>
      <c r="DJ208" s="216"/>
    </row>
    <row r="209" spans="1:114" ht="30" customHeight="1" x14ac:dyDescent="0.25">
      <c r="A209" s="7" t="s">
        <v>4</v>
      </c>
      <c r="B209" s="7" t="s">
        <v>62</v>
      </c>
      <c r="C209" s="144"/>
      <c r="D209" s="120"/>
      <c r="E209" s="155" t="str">
        <f>IFERROR(A209&amp;"   ("&amp;COUNTIFS(#REF!,"="&amp;A209)&amp;")",A209)</f>
        <v>11 SOIS</v>
      </c>
      <c r="F209" s="132"/>
      <c r="G209" s="133"/>
      <c r="H209" s="134"/>
      <c r="I209" s="135"/>
      <c r="J209" s="132"/>
      <c r="K209" s="133"/>
      <c r="L209" s="134"/>
      <c r="M209" s="139"/>
      <c r="N209" s="142"/>
      <c r="O209" s="119"/>
      <c r="P209" s="119"/>
      <c r="Q209" s="119"/>
      <c r="R209" s="119"/>
      <c r="S209" s="119"/>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119"/>
      <c r="AT209" s="119"/>
      <c r="AU209" s="119"/>
      <c r="AV209" s="119"/>
      <c r="AW209" s="119"/>
      <c r="AX209" s="119"/>
      <c r="AY209" s="119"/>
      <c r="AZ209" s="119"/>
      <c r="BA209" s="119"/>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c r="CB209" s="119"/>
      <c r="CC209" s="119"/>
      <c r="CD209" s="119"/>
      <c r="CE209" s="119"/>
      <c r="CF209" s="119"/>
      <c r="CG209" s="119"/>
      <c r="CH209" s="119"/>
      <c r="CI209" s="119"/>
      <c r="CJ209" s="119"/>
      <c r="CK209" s="119"/>
      <c r="CL209" s="119"/>
      <c r="CM209" s="119"/>
      <c r="CN209" s="119"/>
      <c r="CO209" s="119"/>
      <c r="CP209" s="119"/>
      <c r="CQ209" s="119"/>
      <c r="CR209" s="119"/>
      <c r="CS209" s="119"/>
      <c r="CT209" s="119"/>
      <c r="CU209" s="119"/>
      <c r="CV209" s="119"/>
      <c r="CW209" s="119"/>
      <c r="CX209" s="119"/>
      <c r="CY209" s="119"/>
      <c r="CZ209" s="119"/>
      <c r="DA209" s="119"/>
      <c r="DB209" s="119"/>
      <c r="DC209" s="119"/>
      <c r="DD209" s="119"/>
      <c r="DE209" s="119"/>
      <c r="DF209" s="119"/>
      <c r="DG209" s="119"/>
      <c r="DH209" s="119"/>
      <c r="DI209" s="119"/>
      <c r="DJ209" s="173"/>
    </row>
    <row r="210" spans="1:114" ht="9.9499999999999993" customHeight="1" x14ac:dyDescent="0.25">
      <c r="A210" s="7" t="s">
        <v>4</v>
      </c>
      <c r="B210" s="7" t="s">
        <v>62</v>
      </c>
      <c r="C210" s="144"/>
      <c r="D210" s="124"/>
      <c r="E210" s="158"/>
      <c r="F210" s="136"/>
      <c r="G210" s="136"/>
      <c r="H210" s="136"/>
      <c r="I210" s="136"/>
      <c r="J210" s="136"/>
      <c r="K210" s="136"/>
      <c r="L210" s="136"/>
      <c r="M210" s="136"/>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c r="BA210" s="58"/>
      <c r="BB210" s="58"/>
      <c r="BC210" s="58"/>
      <c r="BD210" s="58"/>
      <c r="BE210" s="58"/>
      <c r="BF210" s="58"/>
      <c r="BG210" s="58"/>
      <c r="BH210" s="58"/>
      <c r="BI210" s="58"/>
      <c r="BJ210" s="58"/>
      <c r="BK210" s="58"/>
      <c r="BL210" s="58"/>
      <c r="BM210" s="58"/>
      <c r="BN210" s="58"/>
      <c r="BO210" s="58"/>
      <c r="BP210" s="58"/>
      <c r="BQ210" s="58"/>
      <c r="BR210" s="58"/>
      <c r="BS210" s="58"/>
      <c r="BT210" s="58"/>
      <c r="BU210" s="58"/>
      <c r="BV210" s="58"/>
      <c r="BW210" s="58"/>
      <c r="BX210" s="58"/>
      <c r="BY210" s="58"/>
      <c r="BZ210" s="58"/>
      <c r="CA210" s="58"/>
      <c r="CB210" s="58"/>
      <c r="CC210" s="58"/>
      <c r="CD210" s="58"/>
      <c r="CE210" s="58"/>
      <c r="CF210" s="58"/>
      <c r="CG210" s="58"/>
      <c r="CH210" s="58"/>
      <c r="CI210" s="58"/>
      <c r="CJ210" s="58"/>
      <c r="CK210" s="58"/>
      <c r="CL210" s="58"/>
      <c r="CM210" s="58"/>
      <c r="CN210" s="58"/>
      <c r="CO210" s="58"/>
      <c r="CP210" s="58"/>
      <c r="CQ210" s="58"/>
      <c r="CR210" s="58"/>
      <c r="CS210" s="58"/>
      <c r="CT210" s="58"/>
      <c r="CU210" s="58"/>
      <c r="CV210" s="58"/>
      <c r="CW210" s="58"/>
      <c r="CX210" s="58"/>
      <c r="CY210" s="58"/>
      <c r="CZ210" s="58"/>
      <c r="DA210" s="58"/>
      <c r="DB210" s="58"/>
      <c r="DC210" s="58"/>
      <c r="DD210" s="58"/>
      <c r="DE210" s="58"/>
      <c r="DF210" s="58"/>
      <c r="DG210" s="58"/>
      <c r="DH210" s="58"/>
      <c r="DI210" s="58"/>
      <c r="DJ210" s="58"/>
    </row>
    <row r="211" spans="1:114" ht="30" customHeight="1" x14ac:dyDescent="0.25">
      <c r="A211" s="7" t="s">
        <v>6</v>
      </c>
      <c r="B211" s="7" t="s">
        <v>62</v>
      </c>
      <c r="C211" s="144" t="s">
        <v>1674</v>
      </c>
      <c r="D211" s="120">
        <f>COUNTA($E$211:$E211)</f>
        <v>1</v>
      </c>
      <c r="E211" s="155" t="str">
        <f>IFERROR(A211&amp;"   ("&amp;COUNTIFS(#REF!,"="&amp;A211)&amp;")",A211)</f>
        <v>CCI</v>
      </c>
      <c r="F211" s="132"/>
      <c r="G211" s="133"/>
      <c r="H211" s="134"/>
      <c r="I211" s="135"/>
      <c r="J211" s="132"/>
      <c r="K211" s="133"/>
      <c r="L211" s="134"/>
      <c r="M211" s="139"/>
      <c r="N211" s="142"/>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119"/>
      <c r="AT211" s="119"/>
      <c r="AU211" s="119"/>
      <c r="AV211" s="119"/>
      <c r="AW211" s="119"/>
      <c r="AX211" s="119"/>
      <c r="AY211" s="119"/>
      <c r="AZ211" s="119"/>
      <c r="BA211" s="119"/>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c r="CB211" s="119"/>
      <c r="CC211" s="119"/>
      <c r="CD211" s="119"/>
      <c r="CE211" s="119"/>
      <c r="CF211" s="119"/>
      <c r="CG211" s="119"/>
      <c r="CH211" s="119"/>
      <c r="CI211" s="119"/>
      <c r="CJ211" s="119"/>
      <c r="CK211" s="119"/>
      <c r="CL211" s="119"/>
      <c r="CM211" s="119"/>
      <c r="CN211" s="119"/>
      <c r="CO211" s="119"/>
      <c r="CP211" s="119"/>
      <c r="CQ211" s="119"/>
      <c r="CR211" s="119"/>
      <c r="CS211" s="119"/>
      <c r="CT211" s="119"/>
      <c r="CU211" s="119"/>
      <c r="CV211" s="119"/>
      <c r="CW211" s="119"/>
      <c r="CX211" s="119"/>
      <c r="CY211" s="119"/>
      <c r="CZ211" s="119"/>
      <c r="DA211" s="119"/>
      <c r="DB211" s="119"/>
      <c r="DC211" s="119"/>
      <c r="DD211" s="119"/>
      <c r="DE211" s="119"/>
      <c r="DF211" s="119"/>
      <c r="DG211" s="119"/>
      <c r="DH211" s="119"/>
      <c r="DI211" s="119"/>
      <c r="DJ211" s="173"/>
    </row>
    <row r="212" spans="1:114" ht="30" customHeight="1" x14ac:dyDescent="0.25">
      <c r="A212" s="7" t="s">
        <v>11</v>
      </c>
      <c r="B212" s="7" t="s">
        <v>62</v>
      </c>
      <c r="C212" s="144" t="s">
        <v>1674</v>
      </c>
      <c r="D212" s="120">
        <f>COUNTA($E$211:$E212)</f>
        <v>2</v>
      </c>
      <c r="E212" s="155" t="str">
        <f>IFERROR(A212&amp;"   ("&amp;COUNTIFS(#REF!,"="&amp;A212)&amp;")",A212)</f>
        <v>CCV</v>
      </c>
      <c r="F212" s="132"/>
      <c r="G212" s="133"/>
      <c r="H212" s="134"/>
      <c r="I212" s="135"/>
      <c r="J212" s="132"/>
      <c r="K212" s="133"/>
      <c r="L212" s="134"/>
      <c r="M212" s="139"/>
      <c r="N212" s="142"/>
      <c r="O212" s="122"/>
      <c r="P212" s="122"/>
      <c r="Q212" s="122"/>
      <c r="R212" s="122"/>
      <c r="S212" s="122"/>
      <c r="T212" s="122"/>
      <c r="U212" s="122"/>
      <c r="V212" s="122"/>
      <c r="W212" s="122"/>
      <c r="X212" s="122"/>
      <c r="Y212" s="122"/>
      <c r="Z212" s="122"/>
      <c r="AA212" s="122"/>
      <c r="AB212" s="122"/>
      <c r="AC212" s="122"/>
      <c r="AD212" s="122"/>
      <c r="AE212" s="122"/>
      <c r="AF212" s="122"/>
      <c r="AG212" s="122"/>
      <c r="AH212" s="122"/>
      <c r="AI212" s="122"/>
      <c r="AJ212" s="122"/>
      <c r="AK212" s="122"/>
      <c r="AL212" s="122"/>
      <c r="AM212" s="122"/>
      <c r="AN212" s="122"/>
      <c r="AO212" s="122"/>
      <c r="AP212" s="122"/>
      <c r="AQ212" s="122"/>
      <c r="AR212" s="122"/>
      <c r="AS212" s="122"/>
      <c r="AT212" s="122"/>
      <c r="AU212" s="122"/>
      <c r="AV212" s="122"/>
      <c r="AW212" s="122"/>
      <c r="AX212" s="122"/>
      <c r="AY212" s="122"/>
      <c r="AZ212" s="122"/>
      <c r="BA212" s="122"/>
      <c r="BB212" s="122"/>
      <c r="BC212" s="122"/>
      <c r="BD212" s="122"/>
      <c r="BE212" s="122"/>
      <c r="BF212" s="122"/>
      <c r="BG212" s="122"/>
      <c r="BH212" s="122"/>
      <c r="BI212" s="122"/>
      <c r="BJ212" s="122"/>
      <c r="BK212" s="122"/>
      <c r="BL212" s="122"/>
      <c r="BM212" s="122"/>
      <c r="BN212" s="122"/>
      <c r="BO212" s="122"/>
      <c r="BP212" s="122"/>
      <c r="BQ212" s="122"/>
      <c r="BR212" s="122"/>
      <c r="BS212" s="122"/>
      <c r="BT212" s="122"/>
      <c r="BU212" s="122"/>
      <c r="BV212" s="122"/>
      <c r="BW212" s="122"/>
      <c r="BX212" s="122"/>
      <c r="BY212" s="122"/>
      <c r="BZ212" s="122"/>
      <c r="CA212" s="122"/>
      <c r="CB212" s="122"/>
      <c r="CC212" s="122"/>
      <c r="CD212" s="122"/>
      <c r="CE212" s="122"/>
      <c r="CF212" s="122"/>
      <c r="CG212" s="122"/>
      <c r="CH212" s="122"/>
      <c r="CI212" s="122"/>
      <c r="CJ212" s="122"/>
      <c r="CK212" s="122"/>
      <c r="CL212" s="122"/>
      <c r="CM212" s="122"/>
      <c r="CN212" s="122"/>
      <c r="CO212" s="122"/>
      <c r="CP212" s="122"/>
      <c r="CQ212" s="122"/>
      <c r="CR212" s="122"/>
      <c r="CS212" s="122"/>
      <c r="CT212" s="122"/>
      <c r="CU212" s="122"/>
      <c r="CV212" s="122"/>
      <c r="CW212" s="122"/>
      <c r="CX212" s="122"/>
      <c r="CY212" s="122"/>
      <c r="CZ212" s="122"/>
      <c r="DA212" s="122"/>
      <c r="DB212" s="122"/>
      <c r="DC212" s="122"/>
      <c r="DD212" s="122"/>
      <c r="DE212" s="122"/>
      <c r="DF212" s="122"/>
      <c r="DG212" s="122"/>
      <c r="DH212" s="122"/>
      <c r="DI212" s="122"/>
      <c r="DJ212" s="121"/>
    </row>
    <row r="213" spans="1:114" ht="30" customHeight="1" x14ac:dyDescent="0.25">
      <c r="A213" s="7" t="s">
        <v>1670</v>
      </c>
      <c r="B213" s="7" t="s">
        <v>62</v>
      </c>
      <c r="C213" s="144" t="s">
        <v>1674</v>
      </c>
      <c r="D213" s="120">
        <f>COUNTA($E$211:$E213)</f>
        <v>3</v>
      </c>
      <c r="E213" s="155" t="str">
        <f>IFERROR(A213&amp;"   ("&amp;COUNTIFS(#REF!,"="&amp;A213)&amp;")",A213)</f>
        <v>CMD</v>
      </c>
      <c r="F213" s="132"/>
      <c r="G213" s="133"/>
      <c r="H213" s="134"/>
      <c r="I213" s="135"/>
      <c r="J213" s="132"/>
      <c r="K213" s="133"/>
      <c r="L213" s="134"/>
      <c r="M213" s="139"/>
      <c r="N213" s="142"/>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119"/>
      <c r="AT213" s="119"/>
      <c r="AU213" s="119"/>
      <c r="AV213" s="119"/>
      <c r="AW213" s="119"/>
      <c r="AX213" s="119"/>
      <c r="AY213" s="119"/>
      <c r="AZ213" s="119"/>
      <c r="BA213" s="119"/>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c r="CB213" s="119"/>
      <c r="CC213" s="119"/>
      <c r="CD213" s="119"/>
      <c r="CE213" s="119"/>
      <c r="CF213" s="119"/>
      <c r="CG213" s="119"/>
      <c r="CH213" s="119"/>
      <c r="CI213" s="119"/>
      <c r="CJ213" s="119"/>
      <c r="CK213" s="119"/>
      <c r="CL213" s="119"/>
      <c r="CM213" s="119"/>
      <c r="CN213" s="119"/>
      <c r="CO213" s="119"/>
      <c r="CP213" s="119"/>
      <c r="CQ213" s="119"/>
      <c r="CR213" s="119"/>
      <c r="CS213" s="119"/>
      <c r="CT213" s="119"/>
      <c r="CU213" s="119"/>
      <c r="CV213" s="119"/>
      <c r="CW213" s="119"/>
      <c r="CX213" s="119"/>
      <c r="CY213" s="119"/>
      <c r="CZ213" s="119"/>
      <c r="DA213" s="119"/>
      <c r="DB213" s="119"/>
      <c r="DC213" s="119"/>
      <c r="DD213" s="119"/>
      <c r="DE213" s="119"/>
      <c r="DF213" s="119"/>
      <c r="DG213" s="119"/>
      <c r="DH213" s="119"/>
      <c r="DI213" s="119"/>
      <c r="DJ213" s="173"/>
    </row>
    <row r="214" spans="1:114" ht="30" customHeight="1" x14ac:dyDescent="0.25">
      <c r="A214" s="7" t="s">
        <v>17</v>
      </c>
      <c r="B214" s="7" t="s">
        <v>62</v>
      </c>
      <c r="C214" s="144" t="s">
        <v>1674</v>
      </c>
      <c r="D214" s="120">
        <f>COUNTA($E$211:$E214)</f>
        <v>4</v>
      </c>
      <c r="E214" s="155" t="str">
        <f>IFERROR(A214&amp;"   ("&amp;COUNTIFS(#REF!,"="&amp;A214)&amp;")",A214)</f>
        <v>DO</v>
      </c>
      <c r="F214" s="132"/>
      <c r="G214" s="133"/>
      <c r="H214" s="134"/>
      <c r="I214" s="135"/>
      <c r="J214" s="132"/>
      <c r="K214" s="133"/>
      <c r="L214" s="134"/>
      <c r="M214" s="139"/>
      <c r="N214" s="142"/>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119"/>
      <c r="AT214" s="119"/>
      <c r="AU214" s="119"/>
      <c r="AV214" s="119"/>
      <c r="AW214" s="119"/>
      <c r="AX214" s="119"/>
      <c r="AY214" s="119"/>
      <c r="AZ214" s="119"/>
      <c r="BA214" s="119"/>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119"/>
      <c r="CH214" s="119"/>
      <c r="CI214" s="119"/>
      <c r="CJ214" s="119"/>
      <c r="CK214" s="119"/>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119"/>
      <c r="DH214" s="119"/>
      <c r="DI214" s="119"/>
      <c r="DJ214" s="173"/>
    </row>
    <row r="215" spans="1:114" ht="30" customHeight="1" x14ac:dyDescent="0.25">
      <c r="A215" s="7" t="s">
        <v>8</v>
      </c>
      <c r="B215" s="7" t="s">
        <v>62</v>
      </c>
      <c r="C215" s="144" t="s">
        <v>1674</v>
      </c>
      <c r="D215" s="120">
        <f>COUNTA($E$211:$E215)</f>
        <v>5</v>
      </c>
      <c r="E215" s="155" t="str">
        <f>IFERROR(A215&amp;"   ("&amp;COUNTIFS(#REF!,"="&amp;A215)&amp;")",A215)</f>
        <v>DOA</v>
      </c>
      <c r="F215" s="132"/>
      <c r="G215" s="133"/>
      <c r="H215" s="134"/>
      <c r="I215" s="135"/>
      <c r="J215" s="132"/>
      <c r="K215" s="133"/>
      <c r="L215" s="134"/>
      <c r="M215" s="139"/>
      <c r="N215" s="142"/>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119"/>
      <c r="AT215" s="119"/>
      <c r="AU215" s="119"/>
      <c r="AV215" s="119"/>
      <c r="AW215" s="119"/>
      <c r="AX215" s="119"/>
      <c r="AY215" s="119"/>
      <c r="AZ215" s="119"/>
      <c r="BA215" s="119"/>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c r="CB215" s="119"/>
      <c r="CC215" s="119"/>
      <c r="CD215" s="119"/>
      <c r="CE215" s="119"/>
      <c r="CF215" s="119"/>
      <c r="CG215" s="119"/>
      <c r="CH215" s="119"/>
      <c r="CI215" s="119"/>
      <c r="CJ215" s="119"/>
      <c r="CK215" s="119"/>
      <c r="CL215" s="119"/>
      <c r="CM215" s="119"/>
      <c r="CN215" s="119"/>
      <c r="CO215" s="119"/>
      <c r="CP215" s="119"/>
      <c r="CQ215" s="119"/>
      <c r="CR215" s="119"/>
      <c r="CS215" s="119"/>
      <c r="CT215" s="119"/>
      <c r="CU215" s="119"/>
      <c r="CV215" s="119"/>
      <c r="CW215" s="119"/>
      <c r="CX215" s="119"/>
      <c r="CY215" s="119"/>
      <c r="CZ215" s="119"/>
      <c r="DA215" s="119"/>
      <c r="DB215" s="119"/>
      <c r="DC215" s="119"/>
      <c r="DD215" s="119"/>
      <c r="DE215" s="119"/>
      <c r="DF215" s="119"/>
      <c r="DG215" s="119"/>
      <c r="DH215" s="119"/>
      <c r="DI215" s="119"/>
      <c r="DJ215" s="173"/>
    </row>
    <row r="216" spans="1:114" ht="30" customHeight="1" x14ac:dyDescent="0.25">
      <c r="A216" s="7" t="s">
        <v>12</v>
      </c>
      <c r="B216" s="7" t="s">
        <v>62</v>
      </c>
      <c r="C216" s="144" t="s">
        <v>1674</v>
      </c>
      <c r="D216" s="120">
        <f>COUNTA($E$211:$E216)</f>
        <v>6</v>
      </c>
      <c r="E216" s="155" t="str">
        <f>IFERROR(A216&amp;"   ("&amp;COUNTIFS(#REF!,"="&amp;A216)&amp;")",A216)</f>
        <v>DOB</v>
      </c>
      <c r="F216" s="132"/>
      <c r="G216" s="133"/>
      <c r="H216" s="134"/>
      <c r="I216" s="135"/>
      <c r="J216" s="132"/>
      <c r="K216" s="133"/>
      <c r="L216" s="134"/>
      <c r="M216" s="139"/>
      <c r="N216" s="142"/>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119"/>
      <c r="AT216" s="119"/>
      <c r="AU216" s="119"/>
      <c r="AV216" s="119"/>
      <c r="AW216" s="119"/>
      <c r="AX216" s="119"/>
      <c r="AY216" s="119"/>
      <c r="AZ216" s="119"/>
      <c r="BA216" s="119"/>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c r="CB216" s="119"/>
      <c r="CC216" s="119"/>
      <c r="CD216" s="119"/>
      <c r="CE216" s="119"/>
      <c r="CF216" s="119"/>
      <c r="CG216" s="119"/>
      <c r="CH216" s="119"/>
      <c r="CI216" s="119"/>
      <c r="CJ216" s="119"/>
      <c r="CK216" s="119"/>
      <c r="CL216" s="119"/>
      <c r="CM216" s="119"/>
      <c r="CN216" s="119"/>
      <c r="CO216" s="119"/>
      <c r="CP216" s="119"/>
      <c r="CQ216" s="119"/>
      <c r="CR216" s="119"/>
      <c r="CS216" s="119"/>
      <c r="CT216" s="119"/>
      <c r="CU216" s="119"/>
      <c r="CV216" s="119"/>
      <c r="CW216" s="119"/>
      <c r="CX216" s="119"/>
      <c r="CY216" s="119"/>
      <c r="CZ216" s="119"/>
      <c r="DA216" s="119"/>
      <c r="DB216" s="119"/>
      <c r="DC216" s="119"/>
      <c r="DD216" s="119"/>
      <c r="DE216" s="119"/>
      <c r="DF216" s="119"/>
      <c r="DG216" s="119"/>
      <c r="DH216" s="119"/>
      <c r="DI216" s="119"/>
      <c r="DJ216" s="173"/>
    </row>
    <row r="217" spans="1:114" ht="30" customHeight="1" x14ac:dyDescent="0.25">
      <c r="A217" s="7" t="s">
        <v>5</v>
      </c>
      <c r="B217" s="7" t="s">
        <v>62</v>
      </c>
      <c r="C217" s="144" t="s">
        <v>1674</v>
      </c>
      <c r="D217" s="120">
        <f>COUNTA($E$211:$E217)</f>
        <v>7</v>
      </c>
      <c r="E217" s="155" t="str">
        <f>IFERROR(A217&amp;"   ("&amp;COUNTIFS(#REF!,"="&amp;A217)&amp;")",A217)</f>
        <v>DOC</v>
      </c>
      <c r="F217" s="132"/>
      <c r="G217" s="133"/>
      <c r="H217" s="134"/>
      <c r="I217" s="135"/>
      <c r="J217" s="132"/>
      <c r="K217" s="133"/>
      <c r="L217" s="134"/>
      <c r="M217" s="139"/>
      <c r="N217" s="142"/>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119"/>
      <c r="AT217" s="119"/>
      <c r="AU217" s="119"/>
      <c r="AV217" s="119"/>
      <c r="AW217" s="119"/>
      <c r="AX217" s="119"/>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73"/>
    </row>
    <row r="218" spans="1:114" ht="30" customHeight="1" x14ac:dyDescent="0.25">
      <c r="A218" s="7" t="s">
        <v>7</v>
      </c>
      <c r="B218" s="7" t="s">
        <v>62</v>
      </c>
      <c r="C218" s="144" t="s">
        <v>1674</v>
      </c>
      <c r="D218" s="120">
        <f>COUNTA($E$211:$E218)</f>
        <v>8</v>
      </c>
      <c r="E218" s="155" t="str">
        <f>IFERROR(A218&amp;"   ("&amp;COUNTIFS(#REF!,"="&amp;A218)&amp;")",A218)</f>
        <v>DOD</v>
      </c>
      <c r="F218" s="132"/>
      <c r="G218" s="133"/>
      <c r="H218" s="134"/>
      <c r="I218" s="135"/>
      <c r="J218" s="132"/>
      <c r="K218" s="133"/>
      <c r="L218" s="134"/>
      <c r="M218" s="139"/>
      <c r="N218" s="142"/>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119"/>
      <c r="AT218" s="119"/>
      <c r="AU218" s="119"/>
      <c r="AV218" s="119"/>
      <c r="AW218" s="119"/>
      <c r="AX218" s="119"/>
      <c r="AY218" s="119"/>
      <c r="AZ218" s="119"/>
      <c r="BA218" s="119"/>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c r="CB218" s="119"/>
      <c r="CC218" s="119"/>
      <c r="CD218" s="119"/>
      <c r="CE218" s="119"/>
      <c r="CF218" s="119"/>
      <c r="CG218" s="119"/>
      <c r="CH218" s="119"/>
      <c r="CI218" s="119"/>
      <c r="CJ218" s="119"/>
      <c r="CK218" s="119"/>
      <c r="CL218" s="119"/>
      <c r="CM218" s="119"/>
      <c r="CN218" s="119"/>
      <c r="CO218" s="119"/>
      <c r="CP218" s="119"/>
      <c r="CQ218" s="119"/>
      <c r="CR218" s="119"/>
      <c r="CS218" s="119"/>
      <c r="CT218" s="119"/>
      <c r="CU218" s="119"/>
      <c r="CV218" s="119"/>
      <c r="CW218" s="119"/>
      <c r="CX218" s="119"/>
      <c r="CY218" s="119"/>
      <c r="CZ218" s="119"/>
      <c r="DA218" s="119"/>
      <c r="DB218" s="119"/>
      <c r="DC218" s="119"/>
      <c r="DD218" s="119"/>
      <c r="DE218" s="119"/>
      <c r="DF218" s="119"/>
      <c r="DG218" s="119"/>
      <c r="DH218" s="119"/>
      <c r="DI218" s="119"/>
      <c r="DJ218" s="173"/>
    </row>
    <row r="219" spans="1:114" ht="30" customHeight="1" x14ac:dyDescent="0.25">
      <c r="A219" s="7" t="s">
        <v>13</v>
      </c>
      <c r="B219" s="7" t="s">
        <v>62</v>
      </c>
      <c r="C219" s="144" t="s">
        <v>1674</v>
      </c>
      <c r="D219" s="120">
        <f>COUNTA($E$211:$E219)</f>
        <v>9</v>
      </c>
      <c r="E219" s="155" t="str">
        <f>IFERROR(A219&amp;"   ("&amp;COUNTIFS(#REF!,"="&amp;A219)&amp;")",A219)</f>
        <v>DOF</v>
      </c>
      <c r="F219" s="132"/>
      <c r="G219" s="133"/>
      <c r="H219" s="134"/>
      <c r="I219" s="135"/>
      <c r="J219" s="132"/>
      <c r="K219" s="133"/>
      <c r="L219" s="134"/>
      <c r="M219" s="139"/>
      <c r="N219" s="142"/>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119"/>
      <c r="AT219" s="119"/>
      <c r="AU219" s="119"/>
      <c r="AV219" s="119"/>
      <c r="AW219" s="119"/>
      <c r="AX219" s="119"/>
      <c r="AY219" s="119"/>
      <c r="AZ219" s="119"/>
      <c r="BA219" s="119"/>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c r="CB219" s="119"/>
      <c r="CC219" s="119"/>
      <c r="CD219" s="119"/>
      <c r="CE219" s="119"/>
      <c r="CF219" s="119"/>
      <c r="CG219" s="119"/>
      <c r="CH219" s="119"/>
      <c r="CI219" s="119"/>
      <c r="CJ219" s="119"/>
      <c r="CK219" s="119"/>
      <c r="CL219" s="119"/>
      <c r="CM219" s="119"/>
      <c r="CN219" s="119"/>
      <c r="CO219" s="119"/>
      <c r="CP219" s="119"/>
      <c r="CQ219" s="119"/>
      <c r="CR219" s="119"/>
      <c r="CS219" s="119"/>
      <c r="CT219" s="119"/>
      <c r="CU219" s="119"/>
      <c r="CV219" s="119"/>
      <c r="CW219" s="119"/>
      <c r="CX219" s="119"/>
      <c r="CY219" s="119"/>
      <c r="CZ219" s="119"/>
      <c r="DA219" s="119"/>
      <c r="DB219" s="119"/>
      <c r="DC219" s="119"/>
      <c r="DD219" s="119"/>
      <c r="DE219" s="119"/>
      <c r="DF219" s="119"/>
      <c r="DG219" s="119"/>
      <c r="DH219" s="119"/>
      <c r="DI219" s="119"/>
      <c r="DJ219" s="173"/>
    </row>
    <row r="220" spans="1:114" ht="30" customHeight="1" x14ac:dyDescent="0.25">
      <c r="A220" s="7" t="s">
        <v>14</v>
      </c>
      <c r="B220" s="7" t="s">
        <v>62</v>
      </c>
      <c r="C220" s="144" t="s">
        <v>1674</v>
      </c>
      <c r="D220" s="120">
        <f>COUNTA($E$211:$E220)</f>
        <v>10</v>
      </c>
      <c r="E220" s="155" t="str">
        <f>IFERROR(A220&amp;"   ("&amp;COUNTIFS(#REF!,"="&amp;A220)&amp;")",A220)</f>
        <v>DOK</v>
      </c>
      <c r="F220" s="132"/>
      <c r="G220" s="133"/>
      <c r="H220" s="134"/>
      <c r="I220" s="135"/>
      <c r="J220" s="132"/>
      <c r="K220" s="133"/>
      <c r="L220" s="134"/>
      <c r="M220" s="139"/>
      <c r="N220" s="142"/>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119"/>
      <c r="AT220" s="119"/>
      <c r="AU220" s="119"/>
      <c r="AV220" s="119"/>
      <c r="AW220" s="119"/>
      <c r="AX220" s="119"/>
      <c r="AY220" s="119"/>
      <c r="AZ220" s="119"/>
      <c r="BA220" s="119"/>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c r="CB220" s="119"/>
      <c r="CC220" s="119"/>
      <c r="CD220" s="119"/>
      <c r="CE220" s="119"/>
      <c r="CF220" s="119"/>
      <c r="CG220" s="119"/>
      <c r="CH220" s="119"/>
      <c r="CI220" s="119"/>
      <c r="CJ220" s="119"/>
      <c r="CK220" s="119"/>
      <c r="CL220" s="119"/>
      <c r="CM220" s="119"/>
      <c r="CN220" s="119"/>
      <c r="CO220" s="119"/>
      <c r="CP220" s="119"/>
      <c r="CQ220" s="119"/>
      <c r="CR220" s="119"/>
      <c r="CS220" s="119"/>
      <c r="CT220" s="119"/>
      <c r="CU220" s="119"/>
      <c r="CV220" s="119"/>
      <c r="CW220" s="119"/>
      <c r="CX220" s="119"/>
      <c r="CY220" s="119"/>
      <c r="CZ220" s="119"/>
      <c r="DA220" s="119"/>
      <c r="DB220" s="119"/>
      <c r="DC220" s="119"/>
      <c r="DD220" s="119"/>
      <c r="DE220" s="119"/>
      <c r="DF220" s="119"/>
      <c r="DG220" s="119"/>
      <c r="DH220" s="119"/>
      <c r="DI220" s="119"/>
      <c r="DJ220" s="173"/>
    </row>
    <row r="221" spans="1:114" ht="30" customHeight="1" x14ac:dyDescent="0.25">
      <c r="A221" s="7" t="s">
        <v>18</v>
      </c>
      <c r="B221" s="7" t="s">
        <v>62</v>
      </c>
      <c r="C221" s="144" t="s">
        <v>1674</v>
      </c>
      <c r="D221" s="120">
        <f>COUNTA($E$211:$E221)</f>
        <v>11</v>
      </c>
      <c r="E221" s="155" t="str">
        <f>IFERROR(A221&amp;"   ("&amp;COUNTIFS(#REF!,"="&amp;A221)&amp;")",A221)</f>
        <v>DOM</v>
      </c>
      <c r="F221" s="132"/>
      <c r="G221" s="133"/>
      <c r="H221" s="134"/>
      <c r="I221" s="135"/>
      <c r="J221" s="132"/>
      <c r="K221" s="133"/>
      <c r="L221" s="134"/>
      <c r="M221" s="139"/>
      <c r="N221" s="142"/>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119"/>
      <c r="AT221" s="119"/>
      <c r="AU221" s="119"/>
      <c r="AV221" s="119"/>
      <c r="AW221" s="119"/>
      <c r="AX221" s="119"/>
      <c r="AY221" s="119"/>
      <c r="AZ221" s="119"/>
      <c r="BA221" s="119"/>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c r="CB221" s="119"/>
      <c r="CC221" s="119"/>
      <c r="CD221" s="119"/>
      <c r="CE221" s="119"/>
      <c r="CF221" s="119"/>
      <c r="CG221" s="119"/>
      <c r="CH221" s="119"/>
      <c r="CI221" s="119"/>
      <c r="CJ221" s="119"/>
      <c r="CK221" s="119"/>
      <c r="CL221" s="119"/>
      <c r="CM221" s="119"/>
      <c r="CN221" s="119"/>
      <c r="CO221" s="119"/>
      <c r="CP221" s="119"/>
      <c r="CQ221" s="119"/>
      <c r="CR221" s="119"/>
      <c r="CS221" s="119"/>
      <c r="CT221" s="119"/>
      <c r="CU221" s="119"/>
      <c r="CV221" s="119"/>
      <c r="CW221" s="119"/>
      <c r="CX221" s="119"/>
      <c r="CY221" s="119"/>
      <c r="CZ221" s="119"/>
      <c r="DA221" s="119"/>
      <c r="DB221" s="119"/>
      <c r="DC221" s="119"/>
      <c r="DD221" s="119"/>
      <c r="DE221" s="119"/>
      <c r="DF221" s="119"/>
      <c r="DG221" s="119"/>
      <c r="DH221" s="119"/>
      <c r="DI221" s="119"/>
      <c r="DJ221" s="173"/>
    </row>
    <row r="222" spans="1:114" ht="30" customHeight="1" x14ac:dyDescent="0.25">
      <c r="A222" s="7" t="s">
        <v>9</v>
      </c>
      <c r="B222" s="7" t="s">
        <v>62</v>
      </c>
      <c r="C222" s="144" t="s">
        <v>1674</v>
      </c>
      <c r="D222" s="120">
        <f>COUNTA($E$211:$E222)</f>
        <v>12</v>
      </c>
      <c r="E222" s="155" t="str">
        <f>IFERROR(A222&amp;"   ("&amp;COUNTIFS(#REF!,"="&amp;A222)&amp;")",A222)</f>
        <v>DOT</v>
      </c>
      <c r="F222" s="132"/>
      <c r="G222" s="133"/>
      <c r="H222" s="134"/>
      <c r="I222" s="135"/>
      <c r="J222" s="132"/>
      <c r="K222" s="133"/>
      <c r="L222" s="134"/>
      <c r="M222" s="139"/>
      <c r="N222" s="142"/>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119"/>
      <c r="AT222" s="119"/>
      <c r="AU222" s="119"/>
      <c r="AV222" s="119"/>
      <c r="AW222" s="119"/>
      <c r="AX222" s="119"/>
      <c r="AY222" s="119"/>
      <c r="AZ222" s="119"/>
      <c r="BA222" s="119"/>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c r="CB222" s="119"/>
      <c r="CC222" s="119"/>
      <c r="CD222" s="119"/>
      <c r="CE222" s="119"/>
      <c r="CF222" s="119"/>
      <c r="CG222" s="119"/>
      <c r="CH222" s="119"/>
      <c r="CI222" s="119"/>
      <c r="CJ222" s="119"/>
      <c r="CK222" s="119"/>
      <c r="CL222" s="119"/>
      <c r="CM222" s="119"/>
      <c r="CN222" s="119"/>
      <c r="CO222" s="119"/>
      <c r="CP222" s="119"/>
      <c r="CQ222" s="119"/>
      <c r="CR222" s="119"/>
      <c r="CS222" s="119"/>
      <c r="CT222" s="119"/>
      <c r="CU222" s="119"/>
      <c r="CV222" s="119"/>
      <c r="CW222" s="119"/>
      <c r="CX222" s="119"/>
      <c r="CY222" s="119"/>
      <c r="CZ222" s="119"/>
      <c r="DA222" s="119"/>
      <c r="DB222" s="119"/>
      <c r="DC222" s="119"/>
      <c r="DD222" s="119"/>
      <c r="DE222" s="119"/>
      <c r="DF222" s="119"/>
      <c r="DG222" s="119"/>
      <c r="DH222" s="119"/>
      <c r="DI222" s="119"/>
      <c r="DJ222" s="173"/>
    </row>
    <row r="223" spans="1:114" ht="30" customHeight="1" x14ac:dyDescent="0.25">
      <c r="A223" s="7" t="s">
        <v>15</v>
      </c>
      <c r="B223" s="7" t="s">
        <v>62</v>
      </c>
      <c r="C223" s="144" t="s">
        <v>1674</v>
      </c>
      <c r="D223" s="120">
        <f>COUNTA($E$211:$E223)</f>
        <v>13</v>
      </c>
      <c r="E223" s="155" t="str">
        <f>IFERROR(A223&amp;"   ("&amp;COUNTIFS(#REF!,"="&amp;A223)&amp;")",A223)</f>
        <v>DOX</v>
      </c>
      <c r="F223" s="132"/>
      <c r="G223" s="133"/>
      <c r="H223" s="134"/>
      <c r="I223" s="135"/>
      <c r="J223" s="132"/>
      <c r="K223" s="133"/>
      <c r="L223" s="134"/>
      <c r="M223" s="139"/>
      <c r="N223" s="142"/>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119"/>
      <c r="AT223" s="119"/>
      <c r="AU223" s="119"/>
      <c r="AV223" s="119"/>
      <c r="AW223" s="119"/>
      <c r="AX223" s="119"/>
      <c r="AY223" s="119"/>
      <c r="AZ223" s="119"/>
      <c r="BA223" s="119"/>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c r="CB223" s="119"/>
      <c r="CC223" s="119"/>
      <c r="CD223" s="119"/>
      <c r="CE223" s="119"/>
      <c r="CF223" s="119"/>
      <c r="CG223" s="119"/>
      <c r="CH223" s="119"/>
      <c r="CI223" s="119"/>
      <c r="CJ223" s="119"/>
      <c r="CK223" s="119"/>
      <c r="CL223" s="119"/>
      <c r="CM223" s="119"/>
      <c r="CN223" s="119"/>
      <c r="CO223" s="119"/>
      <c r="CP223" s="119"/>
      <c r="CQ223" s="119"/>
      <c r="CR223" s="119"/>
      <c r="CS223" s="119"/>
      <c r="CT223" s="119"/>
      <c r="CU223" s="119"/>
      <c r="CV223" s="119"/>
      <c r="CW223" s="119"/>
      <c r="CX223" s="119"/>
      <c r="CY223" s="119"/>
      <c r="CZ223" s="119"/>
      <c r="DA223" s="119"/>
      <c r="DB223" s="119"/>
      <c r="DC223" s="119"/>
      <c r="DD223" s="119"/>
      <c r="DE223" s="119"/>
      <c r="DF223" s="119"/>
      <c r="DG223" s="119"/>
      <c r="DH223" s="119"/>
      <c r="DI223" s="119"/>
      <c r="DJ223" s="173"/>
    </row>
    <row r="224" spans="1:114" ht="30" customHeight="1" x14ac:dyDescent="0.25">
      <c r="A224" s="7" t="s">
        <v>10</v>
      </c>
      <c r="B224" s="7" t="s">
        <v>62</v>
      </c>
      <c r="C224" s="144" t="s">
        <v>1674</v>
      </c>
      <c r="D224" s="120">
        <f>COUNTA($E$211:$E224)</f>
        <v>14</v>
      </c>
      <c r="E224" s="155" t="str">
        <f>IFERROR(A224&amp;"   ("&amp;COUNTIFS(#REF!,"="&amp;A224)&amp;")",A224)</f>
        <v>MS</v>
      </c>
      <c r="F224" s="132"/>
      <c r="G224" s="133"/>
      <c r="H224" s="134"/>
      <c r="I224" s="135"/>
      <c r="J224" s="132"/>
      <c r="K224" s="133"/>
      <c r="L224" s="134"/>
      <c r="M224" s="139"/>
      <c r="N224" s="142"/>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119"/>
      <c r="AT224" s="119"/>
      <c r="AU224" s="119"/>
      <c r="AV224" s="119"/>
      <c r="AW224" s="119"/>
      <c r="AX224" s="119"/>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73"/>
    </row>
    <row r="225" spans="1:114" ht="30" customHeight="1" x14ac:dyDescent="0.25">
      <c r="A225" s="7" t="s">
        <v>16</v>
      </c>
      <c r="B225" s="7" t="s">
        <v>62</v>
      </c>
      <c r="C225" s="144" t="s">
        <v>1674</v>
      </c>
      <c r="D225" s="120">
        <f>COUNTA($E$211:$E225)</f>
        <v>15</v>
      </c>
      <c r="E225" s="155" t="str">
        <f>IFERROR(A225&amp;"   ("&amp;COUNTIFS(#REF!,"="&amp;A225)&amp;")",A225)</f>
        <v>UDM</v>
      </c>
      <c r="F225" s="132"/>
      <c r="G225" s="133"/>
      <c r="H225" s="134"/>
      <c r="I225" s="135"/>
      <c r="J225" s="132"/>
      <c r="K225" s="133"/>
      <c r="L225" s="134"/>
      <c r="M225" s="139"/>
      <c r="N225" s="142"/>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119"/>
      <c r="AT225" s="119"/>
      <c r="AU225" s="119"/>
      <c r="AV225" s="119"/>
      <c r="AW225" s="119"/>
      <c r="AX225" s="119"/>
      <c r="AY225" s="119"/>
      <c r="AZ225" s="119"/>
      <c r="BA225" s="119"/>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c r="CB225" s="119"/>
      <c r="CC225" s="119"/>
      <c r="CD225" s="119"/>
      <c r="CE225" s="119"/>
      <c r="CF225" s="119"/>
      <c r="CG225" s="119"/>
      <c r="CH225" s="119"/>
      <c r="CI225" s="119"/>
      <c r="CJ225" s="119"/>
      <c r="CK225" s="119"/>
      <c r="CL225" s="119"/>
      <c r="CM225" s="119"/>
      <c r="CN225" s="119"/>
      <c r="CO225" s="119"/>
      <c r="CP225" s="119"/>
      <c r="CQ225" s="119"/>
      <c r="CR225" s="119"/>
      <c r="CS225" s="119"/>
      <c r="CT225" s="119"/>
      <c r="CU225" s="119"/>
      <c r="CV225" s="119"/>
      <c r="CW225" s="119"/>
      <c r="CX225" s="119"/>
      <c r="CY225" s="119"/>
      <c r="CZ225" s="119"/>
      <c r="DA225" s="119"/>
      <c r="DB225" s="119"/>
      <c r="DC225" s="119"/>
      <c r="DD225" s="119"/>
      <c r="DE225" s="119"/>
      <c r="DF225" s="119"/>
      <c r="DG225" s="119"/>
      <c r="DH225" s="119"/>
      <c r="DI225" s="119"/>
      <c r="DJ225" s="173"/>
    </row>
    <row r="226" spans="1:114" ht="30" customHeight="1" x14ac:dyDescent="0.25">
      <c r="A226" s="7" t="s">
        <v>19</v>
      </c>
      <c r="B226" s="7" t="s">
        <v>62</v>
      </c>
      <c r="C226" s="144" t="s">
        <v>1674</v>
      </c>
      <c r="D226" s="120">
        <f>COUNTA($E$211:$E226)</f>
        <v>16</v>
      </c>
      <c r="E226" s="155" t="str">
        <f>IFERROR(A226&amp;"   ("&amp;COUNTIFS(#REF!,"="&amp;A226)&amp;")",A226)</f>
        <v>UTM</v>
      </c>
      <c r="F226" s="132"/>
      <c r="G226" s="133"/>
      <c r="H226" s="134"/>
      <c r="I226" s="135"/>
      <c r="J226" s="132"/>
      <c r="K226" s="133"/>
      <c r="L226" s="134"/>
      <c r="M226" s="139"/>
      <c r="N226" s="142"/>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119"/>
      <c r="AT226" s="119"/>
      <c r="AU226" s="119"/>
      <c r="AV226" s="119"/>
      <c r="AW226" s="119"/>
      <c r="AX226" s="119"/>
      <c r="AY226" s="119"/>
      <c r="AZ226" s="119"/>
      <c r="BA226" s="119"/>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c r="CB226" s="119"/>
      <c r="CC226" s="119"/>
      <c r="CD226" s="119"/>
      <c r="CE226" s="119"/>
      <c r="CF226" s="119"/>
      <c r="CG226" s="119"/>
      <c r="CH226" s="119"/>
      <c r="CI226" s="119"/>
      <c r="CJ226" s="119"/>
      <c r="CK226" s="119"/>
      <c r="CL226" s="119"/>
      <c r="CM226" s="119"/>
      <c r="CN226" s="119"/>
      <c r="CO226" s="119"/>
      <c r="CP226" s="119"/>
      <c r="CQ226" s="119"/>
      <c r="CR226" s="119"/>
      <c r="CS226" s="119"/>
      <c r="CT226" s="119"/>
      <c r="CU226" s="119"/>
      <c r="CV226" s="119"/>
      <c r="CW226" s="119"/>
      <c r="CX226" s="119"/>
      <c r="CY226" s="119"/>
      <c r="CZ226" s="119"/>
      <c r="DA226" s="119"/>
      <c r="DB226" s="119"/>
      <c r="DC226" s="119"/>
      <c r="DD226" s="119"/>
      <c r="DE226" s="119"/>
      <c r="DF226" s="119"/>
      <c r="DG226" s="119"/>
      <c r="DH226" s="119"/>
      <c r="DI226" s="119"/>
      <c r="DJ226" s="173"/>
    </row>
    <row r="227" spans="1:114" ht="20.100000000000001" customHeight="1" x14ac:dyDescent="0.25">
      <c r="A227" s="7" t="s">
        <v>60</v>
      </c>
      <c r="B227" s="7" t="s">
        <v>62</v>
      </c>
      <c r="C227" s="144"/>
      <c r="D227" s="67"/>
      <c r="E227" s="8"/>
      <c r="N227" s="58"/>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c r="AQ227" s="7"/>
      <c r="AR227" s="7"/>
      <c r="AS227" s="7"/>
      <c r="AT227" s="7"/>
      <c r="AU227" s="7"/>
      <c r="AV227" s="7"/>
      <c r="AW227" s="7"/>
      <c r="AX227" s="7"/>
      <c r="AY227" s="7"/>
      <c r="AZ227" s="7"/>
      <c r="BA227" s="7"/>
      <c r="BB227" s="7"/>
      <c r="BC227" s="7"/>
      <c r="BD227" s="7"/>
      <c r="BE227" s="7"/>
      <c r="BF227" s="7"/>
      <c r="BG227" s="7"/>
      <c r="BH227" s="7"/>
      <c r="BI227" s="7"/>
      <c r="BJ227" s="7"/>
      <c r="BK227" s="7"/>
      <c r="BL227" s="7"/>
      <c r="BM227" s="7"/>
      <c r="BN227" s="7"/>
      <c r="BO227" s="7"/>
      <c r="BP227" s="7"/>
      <c r="BQ227" s="7"/>
      <c r="BR227" s="7"/>
      <c r="BS227" s="7"/>
      <c r="BT227" s="7"/>
      <c r="BU227" s="7"/>
      <c r="BV227" s="7"/>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c r="DA227" s="7"/>
      <c r="DB227" s="7"/>
      <c r="DC227" s="7"/>
      <c r="DD227" s="7"/>
      <c r="DE227" s="7"/>
      <c r="DF227" s="7"/>
      <c r="DG227" s="7"/>
      <c r="DH227" s="7"/>
      <c r="DI227" s="7"/>
      <c r="DJ227" s="7"/>
    </row>
  </sheetData>
  <mergeCells count="15">
    <mergeCell ref="O168:DJ168"/>
    <mergeCell ref="O188:DJ188"/>
    <mergeCell ref="O208:DJ208"/>
    <mergeCell ref="O48:DJ48"/>
    <mergeCell ref="O68:DJ68"/>
    <mergeCell ref="O88:DJ88"/>
    <mergeCell ref="O108:DJ108"/>
    <mergeCell ref="O128:DJ128"/>
    <mergeCell ref="O148:DJ148"/>
    <mergeCell ref="O28:DJ28"/>
    <mergeCell ref="O1:DJ1"/>
    <mergeCell ref="D2:DJ2"/>
    <mergeCell ref="D3:DJ3"/>
    <mergeCell ref="D4:DJ4"/>
    <mergeCell ref="O8:DJ8"/>
  </mergeCells>
  <conditionalFormatting sqref="O9:DJ27 O228:DJ1004">
    <cfRule type="expression" priority="51" stopIfTrue="1">
      <formula>$F9=""</formula>
    </cfRule>
    <cfRule type="expression" dxfId="43" priority="52">
      <formula>AND(COLUMNS($O$9:O9)&gt;($F9+$G9+$H9),COLUMNS(O$9:O9)&lt;=100)</formula>
    </cfRule>
    <cfRule type="expression" dxfId="42" priority="53">
      <formula>AND(COLUMNS($O$9:O9)&gt;($F9+$G9),COLUMNS($O$9:O9)&lt;=($F9+$G9+$H9))</formula>
    </cfRule>
    <cfRule type="expression" dxfId="41" priority="54">
      <formula>AND(COLUMNS($O$9:O9)&gt;$F9,COLUMNS($O$9:O9)&lt;=($F9+$G9))</formula>
    </cfRule>
    <cfRule type="expression" dxfId="40" priority="55">
      <formula>COLUMNS($O$9:O9)&lt;=$F9</formula>
    </cfRule>
  </conditionalFormatting>
  <conditionalFormatting sqref="O29:DJ47">
    <cfRule type="expression" priority="46" stopIfTrue="1">
      <formula>$F29=""</formula>
    </cfRule>
    <cfRule type="expression" dxfId="39" priority="47">
      <formula>AND(COLUMNS($O$9:O29)&gt;($F29+$G29+$H29),COLUMNS(O$9:O29)&lt;=100)</formula>
    </cfRule>
    <cfRule type="expression" dxfId="38" priority="48">
      <formula>AND(COLUMNS($O$9:O29)&gt;($F29+$G29),COLUMNS($O$9:O29)&lt;=($F29+$G29+$H29))</formula>
    </cfRule>
    <cfRule type="expression" dxfId="37" priority="49">
      <formula>AND(COLUMNS($O$9:O29)&gt;$F29,COLUMNS($O$9:O29)&lt;=($F29+$G29))</formula>
    </cfRule>
    <cfRule type="expression" dxfId="36" priority="50">
      <formula>COLUMNS($O$9:O29)&lt;=$F29</formula>
    </cfRule>
  </conditionalFormatting>
  <conditionalFormatting sqref="O49:DJ67">
    <cfRule type="expression" priority="41" stopIfTrue="1">
      <formula>$F49=""</formula>
    </cfRule>
    <cfRule type="expression" dxfId="35" priority="42">
      <formula>AND(COLUMNS($O$9:O49)&gt;($F49+$G49+$H49),COLUMNS(O$9:O49)&lt;=100)</formula>
    </cfRule>
    <cfRule type="expression" dxfId="34" priority="43">
      <formula>AND(COLUMNS($O$9:O49)&gt;($F49+$G49),COLUMNS($O$9:O49)&lt;=($F49+$G49+$H49))</formula>
    </cfRule>
    <cfRule type="expression" dxfId="33" priority="44">
      <formula>AND(COLUMNS($O$9:O49)&gt;$F49,COLUMNS($O$9:O49)&lt;=($F49+$G49))</formula>
    </cfRule>
    <cfRule type="expression" dxfId="32" priority="45">
      <formula>COLUMNS($O$9:O49)&lt;=$F49</formula>
    </cfRule>
  </conditionalFormatting>
  <conditionalFormatting sqref="O69:DJ87">
    <cfRule type="expression" priority="36" stopIfTrue="1">
      <formula>$F69=""</formula>
    </cfRule>
    <cfRule type="expression" dxfId="31" priority="37">
      <formula>AND(COLUMNS($O$9:O69)&gt;($F69+$G69+$H69),COLUMNS(O$9:O69)&lt;=100)</formula>
    </cfRule>
    <cfRule type="expression" dxfId="30" priority="38">
      <formula>AND(COLUMNS($O$9:O69)&gt;($F69+$G69),COLUMNS($O$9:O69)&lt;=($F69+$G69+$H69))</formula>
    </cfRule>
    <cfRule type="expression" dxfId="29" priority="39">
      <formula>AND(COLUMNS($O$9:O69)&gt;$F69,COLUMNS($O$9:O69)&lt;=($F69+$G69))</formula>
    </cfRule>
    <cfRule type="expression" dxfId="28" priority="40">
      <formula>COLUMNS($O$9:O69)&lt;=$F69</formula>
    </cfRule>
  </conditionalFormatting>
  <conditionalFormatting sqref="O89:DJ107">
    <cfRule type="expression" priority="31" stopIfTrue="1">
      <formula>$F89=""</formula>
    </cfRule>
    <cfRule type="expression" dxfId="27" priority="32">
      <formula>AND(COLUMNS($O$9:O89)&gt;($F89+$G89+$H89),COLUMNS(O$9:O89)&lt;=100)</formula>
    </cfRule>
    <cfRule type="expression" dxfId="26" priority="33">
      <formula>AND(COLUMNS($O$9:O89)&gt;($F89+$G89),COLUMNS($O$9:O89)&lt;=($F89+$G89+$H89))</formula>
    </cfRule>
    <cfRule type="expression" dxfId="25" priority="34">
      <formula>AND(COLUMNS($O$9:O89)&gt;$F89,COLUMNS($O$9:O89)&lt;=($F89+$G89))</formula>
    </cfRule>
    <cfRule type="expression" dxfId="24" priority="35">
      <formula>COLUMNS($O$9:O89)&lt;=$F89</formula>
    </cfRule>
  </conditionalFormatting>
  <conditionalFormatting sqref="O109:DJ127">
    <cfRule type="expression" priority="26" stopIfTrue="1">
      <formula>$F109=""</formula>
    </cfRule>
    <cfRule type="expression" dxfId="23" priority="27">
      <formula>AND(COLUMNS($O$9:O109)&gt;($F109+$G109+$H109),COLUMNS(O$9:O109)&lt;=100)</formula>
    </cfRule>
    <cfRule type="expression" dxfId="22" priority="28">
      <formula>AND(COLUMNS($O$9:O109)&gt;($F109+$G109),COLUMNS($O$9:O109)&lt;=($F109+$G109+$H109))</formula>
    </cfRule>
    <cfRule type="expression" dxfId="21" priority="29">
      <formula>AND(COLUMNS($O$9:O109)&gt;$F109,COLUMNS($O$9:O109)&lt;=($F109+$G109))</formula>
    </cfRule>
    <cfRule type="expression" dxfId="20" priority="30">
      <formula>COLUMNS($O$9:O109)&lt;=$F109</formula>
    </cfRule>
  </conditionalFormatting>
  <conditionalFormatting sqref="O129:DJ147">
    <cfRule type="expression" priority="21" stopIfTrue="1">
      <formula>$F129=""</formula>
    </cfRule>
    <cfRule type="expression" dxfId="19" priority="22">
      <formula>AND(COLUMNS($O$9:O129)&gt;($F129+$G129+$H129),COLUMNS(O$9:O129)&lt;=100)</formula>
    </cfRule>
    <cfRule type="expression" dxfId="18" priority="23">
      <formula>AND(COLUMNS($O$9:O129)&gt;($F129+$G129),COLUMNS($O$9:O129)&lt;=($F129+$G129+$H129))</formula>
    </cfRule>
    <cfRule type="expression" dxfId="17" priority="24">
      <formula>AND(COLUMNS($O$9:O129)&gt;$F129,COLUMNS($O$9:O129)&lt;=($F129+$G129))</formula>
    </cfRule>
    <cfRule type="expression" dxfId="16" priority="25">
      <formula>COLUMNS($O$9:O129)&lt;=$F129</formula>
    </cfRule>
  </conditionalFormatting>
  <conditionalFormatting sqref="O149:DJ167">
    <cfRule type="expression" priority="16" stopIfTrue="1">
      <formula>$F149=""</formula>
    </cfRule>
    <cfRule type="expression" dxfId="15" priority="17">
      <formula>AND(COLUMNS($O$9:O149)&gt;($F149+$G149+$H149),COLUMNS(O$9:O149)&lt;=100)</formula>
    </cfRule>
    <cfRule type="expression" dxfId="14" priority="18">
      <formula>AND(COLUMNS($O$9:O149)&gt;($F149+$G149),COLUMNS($O$9:O149)&lt;=($F149+$G149+$H149))</formula>
    </cfRule>
    <cfRule type="expression" dxfId="13" priority="19">
      <formula>AND(COLUMNS($O$9:O149)&gt;$F149,COLUMNS($O$9:O149)&lt;=($F149+$G149))</formula>
    </cfRule>
    <cfRule type="expression" dxfId="12" priority="20">
      <formula>COLUMNS($O$9:O149)&lt;=$F149</formula>
    </cfRule>
  </conditionalFormatting>
  <conditionalFormatting sqref="O169:DJ187">
    <cfRule type="expression" priority="11" stopIfTrue="1">
      <formula>$F169=""</formula>
    </cfRule>
    <cfRule type="expression" dxfId="11" priority="12">
      <formula>AND(COLUMNS($O$9:O169)&gt;($F169+$G169+$H169),COLUMNS(O$9:O169)&lt;=100)</formula>
    </cfRule>
    <cfRule type="expression" dxfId="10" priority="13">
      <formula>AND(COLUMNS($O$9:O169)&gt;($F169+$G169),COLUMNS($O$9:O169)&lt;=($F169+$G169+$H169))</formula>
    </cfRule>
    <cfRule type="expression" dxfId="9" priority="14">
      <formula>AND(COLUMNS($O$9:O169)&gt;$F169,COLUMNS($O$9:O169)&lt;=($F169+$G169))</formula>
    </cfRule>
    <cfRule type="expression" dxfId="8" priority="15">
      <formula>COLUMNS($O$9:O169)&lt;=$F169</formula>
    </cfRule>
  </conditionalFormatting>
  <conditionalFormatting sqref="O189:DJ207">
    <cfRule type="expression" priority="6" stopIfTrue="1">
      <formula>$F189=""</formula>
    </cfRule>
    <cfRule type="expression" dxfId="7" priority="7">
      <formula>AND(COLUMNS($O$9:O189)&gt;($F189+$G189+$H189),COLUMNS(O$9:O189)&lt;=100)</formula>
    </cfRule>
    <cfRule type="expression" dxfId="6" priority="8">
      <formula>AND(COLUMNS($O$9:O189)&gt;($F189+$G189),COLUMNS($O$9:O189)&lt;=($F189+$G189+$H189))</formula>
    </cfRule>
    <cfRule type="expression" dxfId="5" priority="9">
      <formula>AND(COLUMNS($O$9:O189)&gt;$F189,COLUMNS($O$9:O189)&lt;=($F189+$G189))</formula>
    </cfRule>
    <cfRule type="expression" dxfId="4" priority="10">
      <formula>COLUMNS($O$9:O189)&lt;=$F189</formula>
    </cfRule>
  </conditionalFormatting>
  <conditionalFormatting sqref="O209:DJ227">
    <cfRule type="expression" priority="1" stopIfTrue="1">
      <formula>$F209=""</formula>
    </cfRule>
    <cfRule type="expression" dxfId="3" priority="2">
      <formula>AND(COLUMNS($O$9:O209)&gt;($F209+$G209+$H209),COLUMNS(O$9:O209)&lt;=100)</formula>
    </cfRule>
    <cfRule type="expression" dxfId="2" priority="3">
      <formula>AND(COLUMNS($O$9:O209)&gt;($F209+$G209),COLUMNS($O$9:O209)&lt;=($F209+$G209+$H209))</formula>
    </cfRule>
    <cfRule type="expression" dxfId="1" priority="4">
      <formula>AND(COLUMNS($O$9:O209)&gt;$F209,COLUMNS($O$9:O209)&lt;=($F209+$G209))</formula>
    </cfRule>
    <cfRule type="expression" dxfId="0" priority="5">
      <formula>COLUMNS($O$9:O209)&lt;=$F209</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AE552E827002D46BAB91BA982A669A6" ma:contentTypeVersion="1" ma:contentTypeDescription="Create a new document." ma:contentTypeScope="" ma:versionID="80693e7087f052ae55015829d8205add">
  <xsd:schema xmlns:xsd="http://www.w3.org/2001/XMLSchema" xmlns:xs="http://www.w3.org/2001/XMLSchema" xmlns:p="http://schemas.microsoft.com/office/2006/metadata/properties" targetNamespace="http://schemas.microsoft.com/office/2006/metadata/properties" ma:root="true" ma:fieldsID="b9ab8c2b3c1d2a690bc60d382cab7cd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07B1BB7-7A44-44DF-9A8C-CE20CE188DDF}">
  <ds:schemaRefs>
    <ds:schemaRef ds:uri="http://schemas.microsoft.com/sharepoint/v3/contenttype/forms"/>
  </ds:schemaRefs>
</ds:datastoreItem>
</file>

<file path=customXml/itemProps2.xml><?xml version="1.0" encoding="utf-8"?>
<ds:datastoreItem xmlns:ds="http://schemas.openxmlformats.org/officeDocument/2006/customXml" ds:itemID="{530B7147-543A-4DBE-A4AB-DBB5CCE6E42D}">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D9C45ECD-B7C8-4841-82DF-53FBEFEECC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DATABASE</vt:lpstr>
      <vt:lpstr>REPORT TEMPLATE</vt:lpstr>
      <vt:lpstr>INDIVIDUAL TEMPLATE</vt:lpstr>
      <vt:lpstr>OFFICE RANKINGS BY SYSTEM</vt:lpstr>
      <vt:lpstr>LISTBOXES</vt:lpstr>
      <vt:lpstr>REPORT TEMPLATE (2)</vt:lpstr>
      <vt:lpstr>INDIVIDUAL TEMPLATE (2)</vt:lpstr>
      <vt:lpstr>OFFICE RANKINGS BY SYSTEM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gregg.jewell.3@us.af.mil</dc:creator>
  <cp:lastModifiedBy>JEWELL, GREGG K GG-11 USAF AFSOC 11 SOIS/CCK</cp:lastModifiedBy>
  <cp:lastPrinted>2018-04-12T20:06:14Z</cp:lastPrinted>
  <dcterms:created xsi:type="dcterms:W3CDTF">2015-06-05T18:17:20Z</dcterms:created>
  <dcterms:modified xsi:type="dcterms:W3CDTF">2019-02-27T16:27:51Z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0x0101003AE552E827002D46BAB91BA982A669A6</vt:lpwstr>
  </property>
</Properties>
</file>